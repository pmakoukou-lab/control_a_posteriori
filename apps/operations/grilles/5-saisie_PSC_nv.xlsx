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theme/themeOverride1.xml" ContentType="application/vnd.openxmlformats-officedocument.themeOverride+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filterPrivacy="1" codeName="ThisWorkbook" defaultThemeVersion="124226"/>
  <xr:revisionPtr revIDLastSave="0" documentId="8_{90FBB8E4-3909-4640-BF0A-CBFA68B4BDC6}" xr6:coauthVersionLast="47" xr6:coauthVersionMax="47" xr10:uidLastSave="{00000000-0000-0000-0000-000000000000}"/>
  <bookViews>
    <workbookView xWindow="0" yWindow="14220" windowWidth="21600" windowHeight="12780" xr2:uid="{C8691AD2-7F6C-4101-9C78-41908FB9A9D7}"/>
  </bookViews>
  <sheets>
    <sheet name="Saisie" sheetId="21" r:id="rId1"/>
    <sheet name="Formule" sheetId="3" r:id="rId2"/>
    <sheet name="Tableau" sheetId="20" r:id="rId3"/>
    <sheet name="QUESTIONNAIRE" sheetId="1" state="hidden" r:id="rId4"/>
  </sheets>
  <definedNames>
    <definedName name="_xlnm._FilterDatabase" localSheetId="1" hidden="1">Formule!$A$6:$BN$611</definedName>
    <definedName name="_xlnm._FilterDatabase" localSheetId="0" hidden="1">Saisie!$A$6:$BD$611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7" i="20" l="1"/>
  <c r="D38" i="20"/>
  <c r="B7" i="3"/>
  <c r="C7" i="3"/>
  <c r="D7" i="3"/>
  <c r="E7" i="3"/>
  <c r="F7" i="3"/>
  <c r="G7" i="3"/>
  <c r="H7" i="3"/>
  <c r="I7" i="3"/>
  <c r="J7" i="3"/>
  <c r="K7" i="3"/>
  <c r="L7" i="3"/>
  <c r="M7" i="3" a="1"/>
  <c r="N7" i="3"/>
  <c r="O7" i="3"/>
  <c r="P7" i="3"/>
  <c r="Q7" i="3" a="1"/>
  <c r="R7" i="3"/>
  <c r="S7" i="3"/>
  <c r="T7" i="3"/>
  <c r="U7" i="3"/>
  <c r="V7" i="3" a="1"/>
  <c r="W7" i="3" a="1"/>
  <c r="X7" i="3"/>
  <c r="Y7" i="3"/>
  <c r="Z7" i="3"/>
  <c r="AA7" i="3"/>
  <c r="AB7" i="3" a="1"/>
  <c r="AC7" i="3"/>
  <c r="AD7" i="3" a="1"/>
  <c r="AE7" i="3"/>
  <c r="AG7" i="3"/>
  <c r="AH7" i="3"/>
  <c r="AI7" i="3"/>
  <c r="AJ7" i="3"/>
  <c r="AK7" i="3"/>
  <c r="AL7" i="3"/>
  <c r="AM7" i="3"/>
  <c r="AN7" i="3"/>
  <c r="AO7" i="3"/>
  <c r="AP7" i="3"/>
  <c r="AQ7" i="3" a="1"/>
  <c r="AR7" i="3" a="1"/>
  <c r="AS7" i="3"/>
  <c r="AT7" i="3" a="1"/>
  <c r="AU7" i="3"/>
  <c r="AV7" i="3" a="1"/>
  <c r="AW7" i="3"/>
  <c r="AX7" i="3"/>
  <c r="AY7" i="3"/>
  <c r="AZ7" i="3"/>
  <c r="BA7" i="3"/>
  <c r="BB7" i="3"/>
  <c r="BC7" i="3"/>
  <c r="BD7" i="3"/>
  <c r="BE7" i="3" a="1"/>
  <c r="BF7" i="3"/>
  <c r="BG7" i="3"/>
  <c r="BH7" i="3" a="1"/>
  <c r="BI7" i="3"/>
  <c r="BJ7" i="3" a="1"/>
  <c r="BK7" i="3" a="1"/>
  <c r="BL7" i="3"/>
  <c r="B8" i="3"/>
  <c r="C8" i="3"/>
  <c r="D8" i="3"/>
  <c r="E8" i="3"/>
  <c r="F8" i="3"/>
  <c r="G8" i="3"/>
  <c r="H8" i="3"/>
  <c r="I8" i="3"/>
  <c r="J8" i="3"/>
  <c r="K8" i="3"/>
  <c r="L8" i="3"/>
  <c r="M8" i="3" a="1"/>
  <c r="N8" i="3"/>
  <c r="O8" i="3"/>
  <c r="P8" i="3"/>
  <c r="Q8" i="3" a="1"/>
  <c r="R8" i="3"/>
  <c r="S8" i="3"/>
  <c r="T8" i="3"/>
  <c r="U8" i="3"/>
  <c r="V8" i="3" a="1"/>
  <c r="W8" i="3" a="1"/>
  <c r="X8" i="3"/>
  <c r="Y8" i="3"/>
  <c r="Z8" i="3"/>
  <c r="AA8" i="3"/>
  <c r="AB8" i="3" a="1"/>
  <c r="AC8" i="3"/>
  <c r="AD8" i="3" a="1"/>
  <c r="AE8" i="3"/>
  <c r="AG8" i="3"/>
  <c r="AH8" i="3"/>
  <c r="AI8" i="3"/>
  <c r="AJ8" i="3"/>
  <c r="AK8" i="3"/>
  <c r="AL8" i="3"/>
  <c r="AM8" i="3"/>
  <c r="AN8" i="3"/>
  <c r="AO8" i="3"/>
  <c r="AP8" i="3"/>
  <c r="AQ8" i="3" a="1"/>
  <c r="AR8" i="3" a="1"/>
  <c r="AS8" i="3"/>
  <c r="AT8" i="3" a="1"/>
  <c r="AU8" i="3"/>
  <c r="AV8" i="3" a="1"/>
  <c r="AW8" i="3"/>
  <c r="AX8" i="3"/>
  <c r="AY8" i="3"/>
  <c r="AZ8" i="3"/>
  <c r="BA8" i="3"/>
  <c r="BB8" i="3"/>
  <c r="BC8" i="3"/>
  <c r="BD8" i="3"/>
  <c r="BE8" i="3" a="1"/>
  <c r="BF8" i="3"/>
  <c r="BG8" i="3"/>
  <c r="BH8" i="3" a="1"/>
  <c r="BI8" i="3"/>
  <c r="BJ8" i="3" a="1"/>
  <c r="BK8" i="3" a="1"/>
  <c r="BL8" i="3"/>
  <c r="B9" i="3"/>
  <c r="C9" i="3"/>
  <c r="D9" i="3"/>
  <c r="E9" i="3"/>
  <c r="F9" i="3"/>
  <c r="G9" i="3"/>
  <c r="H9" i="3"/>
  <c r="I9" i="3"/>
  <c r="J9" i="3"/>
  <c r="K9" i="3"/>
  <c r="L9" i="3"/>
  <c r="M9" i="3" a="1"/>
  <c r="N9" i="3"/>
  <c r="O9" i="3"/>
  <c r="P9" i="3"/>
  <c r="Q9" i="3" a="1"/>
  <c r="R9" i="3"/>
  <c r="S9" i="3"/>
  <c r="T9" i="3"/>
  <c r="U9" i="3"/>
  <c r="V9" i="3" a="1"/>
  <c r="W9" i="3" a="1"/>
  <c r="X9" i="3"/>
  <c r="Y9" i="3"/>
  <c r="Z9" i="3"/>
  <c r="AA9" i="3"/>
  <c r="AB9" i="3" a="1"/>
  <c r="AC9" i="3"/>
  <c r="AD9" i="3" a="1"/>
  <c r="AE9" i="3"/>
  <c r="AG9" i="3"/>
  <c r="AH9" i="3"/>
  <c r="AI9" i="3"/>
  <c r="AJ9" i="3"/>
  <c r="AK9" i="3"/>
  <c r="AL9" i="3"/>
  <c r="AM9" i="3"/>
  <c r="AN9" i="3"/>
  <c r="AO9" i="3"/>
  <c r="AP9" i="3"/>
  <c r="AQ9" i="3" a="1"/>
  <c r="AR9" i="3" a="1"/>
  <c r="AS9" i="3"/>
  <c r="AT9" i="3" a="1"/>
  <c r="AU9" i="3"/>
  <c r="AV9" i="3" a="1"/>
  <c r="AW9" i="3"/>
  <c r="AX9" i="3"/>
  <c r="AY9" i="3"/>
  <c r="AZ9" i="3"/>
  <c r="BA9" i="3"/>
  <c r="BB9" i="3"/>
  <c r="BC9" i="3"/>
  <c r="BD9" i="3"/>
  <c r="BE9" i="3" a="1"/>
  <c r="BF9" i="3"/>
  <c r="BG9" i="3"/>
  <c r="BH9" i="3" a="1"/>
  <c r="BI9" i="3"/>
  <c r="BJ9" i="3" a="1"/>
  <c r="BK9" i="3" a="1"/>
  <c r="BL9" i="3"/>
  <c r="B10" i="3"/>
  <c r="C10" i="3"/>
  <c r="D10" i="3"/>
  <c r="E10" i="3"/>
  <c r="F10" i="3"/>
  <c r="G10" i="3"/>
  <c r="H10" i="3"/>
  <c r="I10" i="3"/>
  <c r="J10" i="3"/>
  <c r="K10" i="3"/>
  <c r="L10" i="3"/>
  <c r="M10" i="3" a="1"/>
  <c r="N10" i="3"/>
  <c r="O10" i="3"/>
  <c r="P10" i="3"/>
  <c r="Q10" i="3" a="1"/>
  <c r="R10" i="3"/>
  <c r="S10" i="3"/>
  <c r="T10" i="3"/>
  <c r="U10" i="3"/>
  <c r="V10" i="3" a="1"/>
  <c r="W10" i="3" a="1"/>
  <c r="X10" i="3"/>
  <c r="Y10" i="3"/>
  <c r="Z10" i="3"/>
  <c r="AA10" i="3"/>
  <c r="AB10" i="3" a="1"/>
  <c r="AC10" i="3"/>
  <c r="AD10" i="3" a="1"/>
  <c r="AE10" i="3"/>
  <c r="AG10" i="3"/>
  <c r="AH10" i="3"/>
  <c r="AI10" i="3"/>
  <c r="AJ10" i="3"/>
  <c r="AK10" i="3"/>
  <c r="AL10" i="3"/>
  <c r="AM10" i="3"/>
  <c r="AN10" i="3"/>
  <c r="AO10" i="3"/>
  <c r="AP10" i="3"/>
  <c r="AQ10" i="3" a="1"/>
  <c r="AR10" i="3" a="1"/>
  <c r="AS10" i="3"/>
  <c r="AT10" i="3" a="1"/>
  <c r="AU10" i="3"/>
  <c r="AV10" i="3" a="1"/>
  <c r="AW10" i="3"/>
  <c r="AX10" i="3"/>
  <c r="AY10" i="3"/>
  <c r="AZ10" i="3"/>
  <c r="BA10" i="3"/>
  <c r="BB10" i="3"/>
  <c r="BC10" i="3"/>
  <c r="BD10" i="3"/>
  <c r="BE10" i="3" a="1"/>
  <c r="BF10" i="3"/>
  <c r="BG10" i="3"/>
  <c r="BH10" i="3" a="1"/>
  <c r="BI10" i="3"/>
  <c r="BJ10" i="3" a="1"/>
  <c r="BK10" i="3" a="1"/>
  <c r="BL10" i="3"/>
  <c r="B11" i="3"/>
  <c r="C11" i="3"/>
  <c r="D11" i="3"/>
  <c r="E11" i="3"/>
  <c r="F11" i="3"/>
  <c r="G11" i="3"/>
  <c r="H11" i="3"/>
  <c r="I11" i="3"/>
  <c r="J11" i="3"/>
  <c r="K11" i="3"/>
  <c r="L11" i="3"/>
  <c r="M11" i="3" a="1"/>
  <c r="N11" i="3"/>
  <c r="O11" i="3"/>
  <c r="P11" i="3"/>
  <c r="Q11" i="3" a="1"/>
  <c r="R11" i="3"/>
  <c r="S11" i="3"/>
  <c r="T11" i="3"/>
  <c r="U11" i="3"/>
  <c r="V11" i="3" a="1"/>
  <c r="W11" i="3" a="1"/>
  <c r="X11" i="3"/>
  <c r="Y11" i="3"/>
  <c r="Z11" i="3"/>
  <c r="AA11" i="3"/>
  <c r="AB11" i="3" a="1"/>
  <c r="AC11" i="3"/>
  <c r="AD11" i="3" a="1"/>
  <c r="AE11" i="3"/>
  <c r="AG11" i="3"/>
  <c r="AH11" i="3"/>
  <c r="AI11" i="3"/>
  <c r="AJ11" i="3"/>
  <c r="AK11" i="3"/>
  <c r="AL11" i="3"/>
  <c r="AM11" i="3"/>
  <c r="AN11" i="3"/>
  <c r="AO11" i="3"/>
  <c r="AP11" i="3"/>
  <c r="AQ11" i="3" a="1"/>
  <c r="AR11" i="3" a="1"/>
  <c r="AS11" i="3"/>
  <c r="AT11" i="3" a="1"/>
  <c r="AU11" i="3"/>
  <c r="AV11" i="3" a="1"/>
  <c r="AW11" i="3"/>
  <c r="AX11" i="3"/>
  <c r="AY11" i="3"/>
  <c r="AZ11" i="3"/>
  <c r="BA11" i="3"/>
  <c r="BB11" i="3"/>
  <c r="BC11" i="3"/>
  <c r="BD11" i="3"/>
  <c r="BE11" i="3" a="1"/>
  <c r="BF11" i="3"/>
  <c r="BG11" i="3"/>
  <c r="BH11" i="3" a="1"/>
  <c r="BI11" i="3"/>
  <c r="BJ11" i="3" a="1"/>
  <c r="BK11" i="3" a="1"/>
  <c r="BL11" i="3"/>
  <c r="B12" i="3"/>
  <c r="C12" i="3"/>
  <c r="D12" i="3"/>
  <c r="E12" i="3"/>
  <c r="F12" i="3"/>
  <c r="G12" i="3"/>
  <c r="H12" i="3"/>
  <c r="I12" i="3"/>
  <c r="J12" i="3"/>
  <c r="K12" i="3"/>
  <c r="L12" i="3"/>
  <c r="M12" i="3" a="1"/>
  <c r="N12" i="3"/>
  <c r="O12" i="3"/>
  <c r="P12" i="3"/>
  <c r="Q12" i="3" a="1"/>
  <c r="R12" i="3"/>
  <c r="S12" i="3"/>
  <c r="T12" i="3"/>
  <c r="U12" i="3"/>
  <c r="V12" i="3" a="1"/>
  <c r="W12" i="3" a="1"/>
  <c r="X12" i="3"/>
  <c r="Y12" i="3"/>
  <c r="Z12" i="3"/>
  <c r="AA12" i="3"/>
  <c r="AB12" i="3" a="1"/>
  <c r="AC12" i="3"/>
  <c r="AD12" i="3" a="1"/>
  <c r="AE12" i="3"/>
  <c r="AG12" i="3"/>
  <c r="AH12" i="3"/>
  <c r="AI12" i="3"/>
  <c r="AJ12" i="3"/>
  <c r="AK12" i="3"/>
  <c r="AL12" i="3"/>
  <c r="AM12" i="3"/>
  <c r="AN12" i="3"/>
  <c r="AO12" i="3"/>
  <c r="AP12" i="3"/>
  <c r="AQ12" i="3" a="1"/>
  <c r="AR12" i="3" a="1"/>
  <c r="AS12" i="3"/>
  <c r="AT12" i="3" a="1"/>
  <c r="AU12" i="3"/>
  <c r="AV12" i="3" a="1"/>
  <c r="AW12" i="3"/>
  <c r="AX12" i="3"/>
  <c r="AY12" i="3"/>
  <c r="AZ12" i="3"/>
  <c r="BA12" i="3"/>
  <c r="BB12" i="3"/>
  <c r="BC12" i="3"/>
  <c r="BD12" i="3"/>
  <c r="BE12" i="3" a="1"/>
  <c r="BF12" i="3"/>
  <c r="BG12" i="3"/>
  <c r="BH12" i="3" a="1"/>
  <c r="BI12" i="3"/>
  <c r="BJ12" i="3" a="1"/>
  <c r="BK12" i="3" a="1"/>
  <c r="BL12" i="3"/>
  <c r="B13" i="3"/>
  <c r="C13" i="3"/>
  <c r="D13" i="3"/>
  <c r="E13" i="3"/>
  <c r="F13" i="3"/>
  <c r="G13" i="3"/>
  <c r="H13" i="3"/>
  <c r="I13" i="3"/>
  <c r="J13" i="3"/>
  <c r="K13" i="3"/>
  <c r="L13" i="3"/>
  <c r="M13" i="3" a="1"/>
  <c r="N13" i="3"/>
  <c r="O13" i="3"/>
  <c r="P13" i="3"/>
  <c r="Q13" i="3" a="1"/>
  <c r="R13" i="3"/>
  <c r="S13" i="3"/>
  <c r="T13" i="3"/>
  <c r="U13" i="3"/>
  <c r="V13" i="3" a="1"/>
  <c r="W13" i="3" a="1"/>
  <c r="X13" i="3"/>
  <c r="Y13" i="3"/>
  <c r="Z13" i="3"/>
  <c r="AA13" i="3"/>
  <c r="AB13" i="3" a="1"/>
  <c r="AC13" i="3"/>
  <c r="AD13" i="3" a="1"/>
  <c r="AE13" i="3"/>
  <c r="AG13" i="3"/>
  <c r="AH13" i="3"/>
  <c r="AI13" i="3"/>
  <c r="AJ13" i="3"/>
  <c r="AK13" i="3"/>
  <c r="AL13" i="3"/>
  <c r="AM13" i="3"/>
  <c r="AN13" i="3"/>
  <c r="AO13" i="3"/>
  <c r="AP13" i="3"/>
  <c r="AQ13" i="3" a="1"/>
  <c r="AR13" i="3" a="1"/>
  <c r="AS13" i="3"/>
  <c r="AT13" i="3" a="1"/>
  <c r="AU13" i="3"/>
  <c r="AV13" i="3" a="1"/>
  <c r="AW13" i="3"/>
  <c r="AX13" i="3"/>
  <c r="AY13" i="3"/>
  <c r="AZ13" i="3"/>
  <c r="BA13" i="3"/>
  <c r="BB13" i="3"/>
  <c r="BC13" i="3"/>
  <c r="BD13" i="3"/>
  <c r="BE13" i="3" a="1"/>
  <c r="BF13" i="3"/>
  <c r="BG13" i="3"/>
  <c r="BH13" i="3" a="1"/>
  <c r="BI13" i="3"/>
  <c r="BJ13" i="3" a="1"/>
  <c r="BK13" i="3" a="1"/>
  <c r="BL13" i="3"/>
  <c r="B14" i="3"/>
  <c r="C14" i="3"/>
  <c r="D14" i="3"/>
  <c r="E14" i="3"/>
  <c r="F14" i="3"/>
  <c r="G14" i="3"/>
  <c r="H14" i="3"/>
  <c r="I14" i="3"/>
  <c r="J14" i="3"/>
  <c r="K14" i="3"/>
  <c r="L14" i="3"/>
  <c r="M14" i="3" a="1"/>
  <c r="N14" i="3"/>
  <c r="O14" i="3"/>
  <c r="P14" i="3"/>
  <c r="Q14" i="3" a="1"/>
  <c r="R14" i="3"/>
  <c r="S14" i="3"/>
  <c r="T14" i="3"/>
  <c r="U14" i="3"/>
  <c r="V14" i="3" a="1"/>
  <c r="W14" i="3" a="1"/>
  <c r="X14" i="3"/>
  <c r="Y14" i="3"/>
  <c r="Z14" i="3"/>
  <c r="AA14" i="3"/>
  <c r="AB14" i="3" a="1"/>
  <c r="AC14" i="3"/>
  <c r="AD14" i="3" a="1"/>
  <c r="AE14" i="3"/>
  <c r="AG14" i="3"/>
  <c r="AH14" i="3"/>
  <c r="AI14" i="3"/>
  <c r="AJ14" i="3"/>
  <c r="AK14" i="3"/>
  <c r="AL14" i="3"/>
  <c r="AM14" i="3"/>
  <c r="AN14" i="3"/>
  <c r="AO14" i="3"/>
  <c r="AP14" i="3"/>
  <c r="AQ14" i="3" a="1"/>
  <c r="AR14" i="3" a="1"/>
  <c r="AS14" i="3"/>
  <c r="AT14" i="3" a="1"/>
  <c r="AU14" i="3"/>
  <c r="AV14" i="3" a="1"/>
  <c r="AW14" i="3"/>
  <c r="AX14" i="3"/>
  <c r="AY14" i="3"/>
  <c r="AZ14" i="3"/>
  <c r="BA14" i="3"/>
  <c r="BB14" i="3"/>
  <c r="BC14" i="3"/>
  <c r="BD14" i="3"/>
  <c r="BE14" i="3" a="1"/>
  <c r="BF14" i="3"/>
  <c r="BG14" i="3"/>
  <c r="BH14" i="3" a="1"/>
  <c r="BI14" i="3"/>
  <c r="BJ14" i="3" a="1"/>
  <c r="BK14" i="3" a="1"/>
  <c r="BL14" i="3"/>
  <c r="B15" i="3"/>
  <c r="C15" i="3"/>
  <c r="D15" i="3"/>
  <c r="E15" i="3"/>
  <c r="F15" i="3"/>
  <c r="G15" i="3"/>
  <c r="H15" i="3"/>
  <c r="I15" i="3"/>
  <c r="J15" i="3"/>
  <c r="K15" i="3"/>
  <c r="L15" i="3"/>
  <c r="M15" i="3" a="1"/>
  <c r="N15" i="3"/>
  <c r="O15" i="3"/>
  <c r="P15" i="3"/>
  <c r="Q15" i="3" a="1"/>
  <c r="R15" i="3"/>
  <c r="S15" i="3"/>
  <c r="T15" i="3"/>
  <c r="U15" i="3"/>
  <c r="V15" i="3" a="1"/>
  <c r="W15" i="3" a="1"/>
  <c r="X15" i="3"/>
  <c r="Y15" i="3"/>
  <c r="Z15" i="3"/>
  <c r="AA15" i="3"/>
  <c r="AB15" i="3" a="1"/>
  <c r="AC15" i="3"/>
  <c r="AD15" i="3" a="1"/>
  <c r="AE15" i="3"/>
  <c r="AG15" i="3"/>
  <c r="AH15" i="3"/>
  <c r="AI15" i="3"/>
  <c r="AJ15" i="3"/>
  <c r="AK15" i="3"/>
  <c r="AL15" i="3"/>
  <c r="AM15" i="3"/>
  <c r="AN15" i="3"/>
  <c r="AO15" i="3"/>
  <c r="AP15" i="3"/>
  <c r="AQ15" i="3" a="1"/>
  <c r="AR15" i="3" a="1"/>
  <c r="AS15" i="3"/>
  <c r="AT15" i="3" a="1"/>
  <c r="AU15" i="3"/>
  <c r="AV15" i="3" a="1"/>
  <c r="AW15" i="3"/>
  <c r="AX15" i="3"/>
  <c r="AY15" i="3"/>
  <c r="AZ15" i="3"/>
  <c r="BA15" i="3"/>
  <c r="BB15" i="3"/>
  <c r="BC15" i="3"/>
  <c r="BD15" i="3"/>
  <c r="BE15" i="3" a="1"/>
  <c r="BF15" i="3"/>
  <c r="BG15" i="3"/>
  <c r="BH15" i="3" a="1"/>
  <c r="BI15" i="3"/>
  <c r="BJ15" i="3" a="1"/>
  <c r="BK15" i="3" a="1"/>
  <c r="BL15" i="3"/>
  <c r="B16" i="3"/>
  <c r="C16" i="3"/>
  <c r="D16" i="3"/>
  <c r="E16" i="3"/>
  <c r="F16" i="3"/>
  <c r="G16" i="3"/>
  <c r="H16" i="3"/>
  <c r="I16" i="3"/>
  <c r="J16" i="3"/>
  <c r="K16" i="3"/>
  <c r="L16" i="3"/>
  <c r="M16" i="3" a="1"/>
  <c r="N16" i="3"/>
  <c r="O16" i="3"/>
  <c r="P16" i="3"/>
  <c r="Q16" i="3" a="1"/>
  <c r="R16" i="3"/>
  <c r="S16" i="3"/>
  <c r="T16" i="3"/>
  <c r="U16" i="3"/>
  <c r="V16" i="3" a="1"/>
  <c r="W16" i="3" a="1"/>
  <c r="X16" i="3"/>
  <c r="Y16" i="3"/>
  <c r="Z16" i="3"/>
  <c r="AA16" i="3"/>
  <c r="AB16" i="3" a="1"/>
  <c r="AC16" i="3"/>
  <c r="AD16" i="3" a="1"/>
  <c r="AE16" i="3"/>
  <c r="AG16" i="3"/>
  <c r="AH16" i="3"/>
  <c r="AI16" i="3"/>
  <c r="AJ16" i="3"/>
  <c r="AK16" i="3"/>
  <c r="AL16" i="3"/>
  <c r="AM16" i="3"/>
  <c r="AN16" i="3"/>
  <c r="AO16" i="3"/>
  <c r="AP16" i="3"/>
  <c r="AQ16" i="3" a="1"/>
  <c r="AR16" i="3" a="1"/>
  <c r="AS16" i="3"/>
  <c r="AT16" i="3" a="1"/>
  <c r="AU16" i="3"/>
  <c r="AV16" i="3" a="1"/>
  <c r="AW16" i="3"/>
  <c r="AX16" i="3"/>
  <c r="AY16" i="3"/>
  <c r="AZ16" i="3"/>
  <c r="BA16" i="3"/>
  <c r="BB16" i="3"/>
  <c r="BC16" i="3"/>
  <c r="BD16" i="3"/>
  <c r="BE16" i="3" a="1"/>
  <c r="BF16" i="3"/>
  <c r="BG16" i="3"/>
  <c r="BH16" i="3" a="1"/>
  <c r="BI16" i="3"/>
  <c r="BJ16" i="3" a="1"/>
  <c r="BK16" i="3" a="1"/>
  <c r="BL16" i="3"/>
  <c r="B17" i="3"/>
  <c r="C17" i="3"/>
  <c r="D17" i="3"/>
  <c r="E17" i="3"/>
  <c r="F17" i="3"/>
  <c r="G17" i="3"/>
  <c r="H17" i="3"/>
  <c r="I17" i="3"/>
  <c r="J17" i="3"/>
  <c r="K17" i="3"/>
  <c r="L17" i="3"/>
  <c r="M17" i="3" a="1"/>
  <c r="N17" i="3"/>
  <c r="O17" i="3"/>
  <c r="P17" i="3"/>
  <c r="Q17" i="3" a="1"/>
  <c r="R17" i="3"/>
  <c r="S17" i="3"/>
  <c r="T17" i="3"/>
  <c r="U17" i="3"/>
  <c r="V17" i="3" a="1"/>
  <c r="W17" i="3" a="1"/>
  <c r="X17" i="3"/>
  <c r="Y17" i="3"/>
  <c r="Z17" i="3"/>
  <c r="AA17" i="3"/>
  <c r="AB17" i="3" a="1"/>
  <c r="AC17" i="3"/>
  <c r="AD17" i="3" a="1"/>
  <c r="AE17" i="3"/>
  <c r="AG17" i="3"/>
  <c r="AH17" i="3"/>
  <c r="AI17" i="3"/>
  <c r="AJ17" i="3"/>
  <c r="AK17" i="3"/>
  <c r="AL17" i="3"/>
  <c r="AM17" i="3"/>
  <c r="AN17" i="3"/>
  <c r="AO17" i="3"/>
  <c r="AP17" i="3"/>
  <c r="AQ17" i="3" a="1"/>
  <c r="AR17" i="3" a="1"/>
  <c r="AS17" i="3"/>
  <c r="AT17" i="3" a="1"/>
  <c r="AU17" i="3"/>
  <c r="AV17" i="3" a="1"/>
  <c r="AW17" i="3"/>
  <c r="AX17" i="3"/>
  <c r="AY17" i="3"/>
  <c r="AZ17" i="3"/>
  <c r="BA17" i="3"/>
  <c r="BB17" i="3"/>
  <c r="BC17" i="3"/>
  <c r="BD17" i="3"/>
  <c r="BE17" i="3" a="1"/>
  <c r="BF17" i="3"/>
  <c r="BG17" i="3"/>
  <c r="BH17" i="3" a="1"/>
  <c r="BI17" i="3"/>
  <c r="BJ17" i="3" a="1"/>
  <c r="BK17" i="3" a="1"/>
  <c r="BL17" i="3"/>
  <c r="B18" i="3"/>
  <c r="C18" i="3"/>
  <c r="D18" i="3"/>
  <c r="E18" i="3"/>
  <c r="F18" i="3"/>
  <c r="G18" i="3"/>
  <c r="H18" i="3"/>
  <c r="I18" i="3"/>
  <c r="J18" i="3"/>
  <c r="K18" i="3"/>
  <c r="L18" i="3"/>
  <c r="M18" i="3" a="1"/>
  <c r="N18" i="3"/>
  <c r="O18" i="3"/>
  <c r="P18" i="3"/>
  <c r="Q18" i="3" a="1"/>
  <c r="R18" i="3"/>
  <c r="S18" i="3"/>
  <c r="T18" i="3"/>
  <c r="U18" i="3"/>
  <c r="V18" i="3" a="1"/>
  <c r="W18" i="3" a="1"/>
  <c r="X18" i="3"/>
  <c r="Y18" i="3"/>
  <c r="Z18" i="3"/>
  <c r="AA18" i="3"/>
  <c r="AB18" i="3" a="1"/>
  <c r="AC18" i="3"/>
  <c r="AD18" i="3" a="1"/>
  <c r="AE18" i="3"/>
  <c r="AG18" i="3"/>
  <c r="AH18" i="3"/>
  <c r="AI18" i="3"/>
  <c r="AJ18" i="3"/>
  <c r="AK18" i="3"/>
  <c r="AL18" i="3"/>
  <c r="AM18" i="3"/>
  <c r="AN18" i="3"/>
  <c r="AO18" i="3"/>
  <c r="AP18" i="3"/>
  <c r="AQ18" i="3" a="1"/>
  <c r="AR18" i="3" a="1"/>
  <c r="AS18" i="3"/>
  <c r="AT18" i="3" a="1"/>
  <c r="AU18" i="3"/>
  <c r="AV18" i="3" a="1"/>
  <c r="AW18" i="3"/>
  <c r="AX18" i="3"/>
  <c r="AY18" i="3"/>
  <c r="AZ18" i="3"/>
  <c r="BA18" i="3"/>
  <c r="BB18" i="3"/>
  <c r="BC18" i="3"/>
  <c r="BD18" i="3"/>
  <c r="BE18" i="3" a="1"/>
  <c r="BF18" i="3"/>
  <c r="BG18" i="3"/>
  <c r="BH18" i="3" a="1"/>
  <c r="BI18" i="3"/>
  <c r="BJ18" i="3" a="1"/>
  <c r="BK18" i="3" a="1"/>
  <c r="BL18" i="3"/>
  <c r="BM18" i="3"/>
  <c r="B19" i="3"/>
  <c r="C19" i="3"/>
  <c r="D19" i="3"/>
  <c r="E19" i="3"/>
  <c r="F19" i="3"/>
  <c r="G19" i="3"/>
  <c r="H19" i="3"/>
  <c r="I19" i="3"/>
  <c r="J19" i="3"/>
  <c r="K19" i="3"/>
  <c r="L19" i="3"/>
  <c r="M19" i="3" a="1"/>
  <c r="N19" i="3"/>
  <c r="O19" i="3"/>
  <c r="P19" i="3"/>
  <c r="Q19" i="3" a="1"/>
  <c r="R19" i="3"/>
  <c r="S19" i="3"/>
  <c r="T19" i="3"/>
  <c r="U19" i="3"/>
  <c r="V19" i="3" a="1"/>
  <c r="W19" i="3" a="1"/>
  <c r="X19" i="3"/>
  <c r="Y19" i="3"/>
  <c r="Z19" i="3"/>
  <c r="AA19" i="3"/>
  <c r="AB19" i="3" a="1"/>
  <c r="AC19" i="3"/>
  <c r="AD19" i="3" a="1"/>
  <c r="AE19" i="3"/>
  <c r="AG19" i="3"/>
  <c r="AH19" i="3"/>
  <c r="AI19" i="3"/>
  <c r="AJ19" i="3"/>
  <c r="AK19" i="3"/>
  <c r="AL19" i="3"/>
  <c r="AM19" i="3"/>
  <c r="AN19" i="3"/>
  <c r="AO19" i="3"/>
  <c r="AP19" i="3"/>
  <c r="AQ19" i="3" a="1"/>
  <c r="AR19" i="3" a="1"/>
  <c r="AS19" i="3"/>
  <c r="AT19" i="3" a="1"/>
  <c r="AU19" i="3"/>
  <c r="AV19" i="3" a="1"/>
  <c r="AW19" i="3"/>
  <c r="AX19" i="3"/>
  <c r="AY19" i="3"/>
  <c r="AZ19" i="3"/>
  <c r="BA19" i="3"/>
  <c r="BB19" i="3"/>
  <c r="BC19" i="3"/>
  <c r="BD19" i="3"/>
  <c r="BE19" i="3" a="1"/>
  <c r="BF19" i="3"/>
  <c r="BG19" i="3"/>
  <c r="BH19" i="3" a="1"/>
  <c r="BI19" i="3"/>
  <c r="BJ19" i="3" a="1"/>
  <c r="BK19" i="3" a="1"/>
  <c r="BL19" i="3"/>
  <c r="BM19" i="3"/>
  <c r="B20" i="3"/>
  <c r="C20" i="3"/>
  <c r="D20" i="3"/>
  <c r="E20" i="3"/>
  <c r="F20" i="3"/>
  <c r="G20" i="3"/>
  <c r="H20" i="3"/>
  <c r="I20" i="3"/>
  <c r="J20" i="3"/>
  <c r="K20" i="3"/>
  <c r="L20" i="3"/>
  <c r="M20" i="3" a="1"/>
  <c r="N20" i="3"/>
  <c r="O20" i="3"/>
  <c r="P20" i="3"/>
  <c r="Q20" i="3" a="1"/>
  <c r="R20" i="3"/>
  <c r="S20" i="3"/>
  <c r="T20" i="3"/>
  <c r="U20" i="3"/>
  <c r="V20" i="3" a="1"/>
  <c r="W20" i="3" a="1"/>
  <c r="X20" i="3"/>
  <c r="Y20" i="3"/>
  <c r="Z20" i="3"/>
  <c r="AA20" i="3"/>
  <c r="AB20" i="3" a="1"/>
  <c r="AC20" i="3"/>
  <c r="AD20" i="3" a="1"/>
  <c r="AE20" i="3"/>
  <c r="AG20" i="3"/>
  <c r="AH20" i="3"/>
  <c r="AI20" i="3"/>
  <c r="AJ20" i="3"/>
  <c r="AK20" i="3"/>
  <c r="AL20" i="3"/>
  <c r="AM20" i="3"/>
  <c r="AN20" i="3"/>
  <c r="AO20" i="3"/>
  <c r="AP20" i="3"/>
  <c r="AQ20" i="3" a="1"/>
  <c r="AR20" i="3" a="1"/>
  <c r="AS20" i="3"/>
  <c r="AT20" i="3" a="1"/>
  <c r="AU20" i="3"/>
  <c r="AV20" i="3" a="1"/>
  <c r="AW20" i="3"/>
  <c r="AX20" i="3"/>
  <c r="AY20" i="3"/>
  <c r="AZ20" i="3"/>
  <c r="BA20" i="3"/>
  <c r="BB20" i="3"/>
  <c r="BC20" i="3"/>
  <c r="BD20" i="3"/>
  <c r="BE20" i="3" a="1"/>
  <c r="BF20" i="3"/>
  <c r="BG20" i="3"/>
  <c r="BH20" i="3" a="1"/>
  <c r="BI20" i="3"/>
  <c r="BJ20" i="3" a="1"/>
  <c r="BK20" i="3" a="1"/>
  <c r="BL20" i="3"/>
  <c r="BM20" i="3"/>
  <c r="B21" i="3"/>
  <c r="C21" i="3"/>
  <c r="D21" i="3"/>
  <c r="E21" i="3"/>
  <c r="F21" i="3"/>
  <c r="G21" i="3"/>
  <c r="H21" i="3"/>
  <c r="I21" i="3"/>
  <c r="J21" i="3"/>
  <c r="K21" i="3"/>
  <c r="L21" i="3"/>
  <c r="M21" i="3" a="1"/>
  <c r="N21" i="3"/>
  <c r="O21" i="3"/>
  <c r="P21" i="3"/>
  <c r="Q21" i="3" a="1"/>
  <c r="R21" i="3"/>
  <c r="S21" i="3"/>
  <c r="T21" i="3"/>
  <c r="U21" i="3"/>
  <c r="V21" i="3" a="1"/>
  <c r="W21" i="3" a="1"/>
  <c r="X21" i="3"/>
  <c r="Y21" i="3"/>
  <c r="Z21" i="3"/>
  <c r="AA21" i="3"/>
  <c r="AB21" i="3" a="1"/>
  <c r="AC21" i="3"/>
  <c r="AD21" i="3" a="1"/>
  <c r="AE21" i="3"/>
  <c r="AG21" i="3"/>
  <c r="AH21" i="3"/>
  <c r="AI21" i="3"/>
  <c r="AJ21" i="3"/>
  <c r="AK21" i="3"/>
  <c r="AL21" i="3"/>
  <c r="AM21" i="3"/>
  <c r="AN21" i="3"/>
  <c r="AO21" i="3"/>
  <c r="AP21" i="3"/>
  <c r="AQ21" i="3" a="1"/>
  <c r="AR21" i="3" a="1"/>
  <c r="AS21" i="3"/>
  <c r="AT21" i="3" a="1"/>
  <c r="AU21" i="3"/>
  <c r="AV21" i="3" a="1"/>
  <c r="AW21" i="3"/>
  <c r="AX21" i="3"/>
  <c r="AY21" i="3"/>
  <c r="AZ21" i="3"/>
  <c r="BA21" i="3"/>
  <c r="BB21" i="3"/>
  <c r="BC21" i="3"/>
  <c r="BD21" i="3"/>
  <c r="BE21" i="3" a="1"/>
  <c r="BF21" i="3"/>
  <c r="BG21" i="3"/>
  <c r="BH21" i="3" a="1"/>
  <c r="BI21" i="3"/>
  <c r="BJ21" i="3" a="1"/>
  <c r="BK21" i="3" a="1"/>
  <c r="BL21" i="3"/>
  <c r="BM21" i="3"/>
  <c r="B22" i="3"/>
  <c r="C22" i="3"/>
  <c r="D22" i="3"/>
  <c r="E22" i="3"/>
  <c r="F22" i="3"/>
  <c r="G22" i="3"/>
  <c r="H22" i="3"/>
  <c r="I22" i="3"/>
  <c r="J22" i="3"/>
  <c r="K22" i="3"/>
  <c r="L22" i="3"/>
  <c r="M22" i="3" a="1"/>
  <c r="N22" i="3"/>
  <c r="O22" i="3"/>
  <c r="P22" i="3"/>
  <c r="Q22" i="3" a="1"/>
  <c r="R22" i="3"/>
  <c r="S22" i="3"/>
  <c r="T22" i="3"/>
  <c r="U22" i="3"/>
  <c r="V22" i="3" a="1"/>
  <c r="W22" i="3" a="1"/>
  <c r="X22" i="3"/>
  <c r="Y22" i="3"/>
  <c r="Z22" i="3"/>
  <c r="AA22" i="3"/>
  <c r="AB22" i="3" a="1"/>
  <c r="AC22" i="3"/>
  <c r="AD22" i="3" a="1"/>
  <c r="AE22" i="3"/>
  <c r="AG22" i="3"/>
  <c r="AH22" i="3"/>
  <c r="AI22" i="3"/>
  <c r="AJ22" i="3"/>
  <c r="AK22" i="3"/>
  <c r="AL22" i="3"/>
  <c r="AM22" i="3"/>
  <c r="AN22" i="3"/>
  <c r="AO22" i="3"/>
  <c r="AP22" i="3"/>
  <c r="AQ22" i="3" a="1"/>
  <c r="AR22" i="3" a="1"/>
  <c r="AS22" i="3"/>
  <c r="AT22" i="3" a="1"/>
  <c r="AU22" i="3"/>
  <c r="AV22" i="3" a="1"/>
  <c r="AW22" i="3"/>
  <c r="AX22" i="3"/>
  <c r="AY22" i="3"/>
  <c r="AZ22" i="3"/>
  <c r="BA22" i="3"/>
  <c r="BB22" i="3"/>
  <c r="BC22" i="3"/>
  <c r="BD22" i="3"/>
  <c r="BE22" i="3" a="1"/>
  <c r="BF22" i="3"/>
  <c r="BG22" i="3"/>
  <c r="BH22" i="3" a="1"/>
  <c r="BI22" i="3"/>
  <c r="BJ22" i="3" a="1"/>
  <c r="BK22" i="3" a="1"/>
  <c r="BL22" i="3"/>
  <c r="BM22" i="3"/>
  <c r="B23" i="3"/>
  <c r="C23" i="3"/>
  <c r="D23" i="3"/>
  <c r="E23" i="3"/>
  <c r="F23" i="3"/>
  <c r="G23" i="3"/>
  <c r="H23" i="3"/>
  <c r="I23" i="3"/>
  <c r="J23" i="3"/>
  <c r="K23" i="3"/>
  <c r="L23" i="3"/>
  <c r="M23" i="3" a="1"/>
  <c r="N23" i="3"/>
  <c r="O23" i="3"/>
  <c r="P23" i="3"/>
  <c r="Q23" i="3" a="1"/>
  <c r="R23" i="3"/>
  <c r="S23" i="3"/>
  <c r="T23" i="3"/>
  <c r="U23" i="3"/>
  <c r="V23" i="3" a="1"/>
  <c r="W23" i="3" a="1"/>
  <c r="X23" i="3"/>
  <c r="Y23" i="3"/>
  <c r="Z23" i="3"/>
  <c r="AA23" i="3"/>
  <c r="AB23" i="3" a="1"/>
  <c r="AC23" i="3"/>
  <c r="AD23" i="3" a="1"/>
  <c r="AE23" i="3"/>
  <c r="AG23" i="3"/>
  <c r="AH23" i="3"/>
  <c r="AI23" i="3"/>
  <c r="AJ23" i="3"/>
  <c r="AK23" i="3"/>
  <c r="AL23" i="3"/>
  <c r="AM23" i="3"/>
  <c r="AN23" i="3"/>
  <c r="AO23" i="3"/>
  <c r="AP23" i="3"/>
  <c r="AQ23" i="3" a="1"/>
  <c r="AR23" i="3" a="1"/>
  <c r="AS23" i="3"/>
  <c r="AT23" i="3" a="1"/>
  <c r="AU23" i="3"/>
  <c r="AV23" i="3" a="1"/>
  <c r="AW23" i="3"/>
  <c r="AX23" i="3"/>
  <c r="AY23" i="3"/>
  <c r="AZ23" i="3"/>
  <c r="BA23" i="3"/>
  <c r="BB23" i="3"/>
  <c r="BC23" i="3"/>
  <c r="BD23" i="3"/>
  <c r="BE23" i="3" a="1"/>
  <c r="BF23" i="3"/>
  <c r="BG23" i="3"/>
  <c r="BH23" i="3" a="1"/>
  <c r="BI23" i="3"/>
  <c r="BJ23" i="3" a="1"/>
  <c r="BK23" i="3" a="1"/>
  <c r="BL23" i="3"/>
  <c r="BM23" i="3"/>
  <c r="B24" i="3"/>
  <c r="C24" i="3"/>
  <c r="D24" i="3"/>
  <c r="E24" i="3"/>
  <c r="F24" i="3"/>
  <c r="G24" i="3"/>
  <c r="H24" i="3"/>
  <c r="I24" i="3"/>
  <c r="J24" i="3"/>
  <c r="K24" i="3"/>
  <c r="L24" i="3"/>
  <c r="M24" i="3" a="1"/>
  <c r="N24" i="3"/>
  <c r="O24" i="3"/>
  <c r="P24" i="3"/>
  <c r="Q24" i="3" a="1"/>
  <c r="R24" i="3"/>
  <c r="S24" i="3"/>
  <c r="T24" i="3"/>
  <c r="U24" i="3"/>
  <c r="V24" i="3" a="1"/>
  <c r="W24" i="3" a="1"/>
  <c r="X24" i="3"/>
  <c r="Y24" i="3"/>
  <c r="Z24" i="3"/>
  <c r="AA24" i="3"/>
  <c r="AB24" i="3" a="1"/>
  <c r="AC24" i="3"/>
  <c r="AD24" i="3" a="1"/>
  <c r="AE24" i="3"/>
  <c r="AG24" i="3"/>
  <c r="AH24" i="3"/>
  <c r="AI24" i="3"/>
  <c r="AJ24" i="3"/>
  <c r="AK24" i="3"/>
  <c r="AL24" i="3"/>
  <c r="AM24" i="3"/>
  <c r="AN24" i="3"/>
  <c r="AO24" i="3"/>
  <c r="AP24" i="3"/>
  <c r="AQ24" i="3" a="1"/>
  <c r="AR24" i="3" a="1"/>
  <c r="AS24" i="3"/>
  <c r="AT24" i="3" a="1"/>
  <c r="AU24" i="3"/>
  <c r="AV24" i="3" a="1"/>
  <c r="AW24" i="3"/>
  <c r="AX24" i="3"/>
  <c r="AY24" i="3"/>
  <c r="AZ24" i="3"/>
  <c r="BA24" i="3"/>
  <c r="BB24" i="3"/>
  <c r="BC24" i="3"/>
  <c r="BD24" i="3"/>
  <c r="BE24" i="3" a="1"/>
  <c r="BF24" i="3"/>
  <c r="BG24" i="3"/>
  <c r="BH24" i="3" a="1"/>
  <c r="BI24" i="3"/>
  <c r="BJ24" i="3" a="1"/>
  <c r="BK24" i="3" a="1"/>
  <c r="BL24" i="3"/>
  <c r="BM24" i="3"/>
  <c r="B25" i="3"/>
  <c r="C25" i="3"/>
  <c r="D25" i="3"/>
  <c r="E25" i="3"/>
  <c r="F25" i="3"/>
  <c r="G25" i="3"/>
  <c r="H25" i="3"/>
  <c r="I25" i="3"/>
  <c r="J25" i="3"/>
  <c r="K25" i="3"/>
  <c r="L25" i="3"/>
  <c r="M25" i="3" a="1"/>
  <c r="N25" i="3"/>
  <c r="O25" i="3"/>
  <c r="P25" i="3"/>
  <c r="Q25" i="3" a="1"/>
  <c r="R25" i="3"/>
  <c r="S25" i="3"/>
  <c r="T25" i="3"/>
  <c r="U25" i="3"/>
  <c r="V25" i="3" a="1"/>
  <c r="W25" i="3" a="1"/>
  <c r="X25" i="3"/>
  <c r="Y25" i="3"/>
  <c r="Z25" i="3"/>
  <c r="AA25" i="3"/>
  <c r="AB25" i="3" a="1"/>
  <c r="AC25" i="3"/>
  <c r="AD25" i="3" a="1"/>
  <c r="AE25" i="3"/>
  <c r="AG25" i="3"/>
  <c r="AH25" i="3"/>
  <c r="AI25" i="3"/>
  <c r="AJ25" i="3"/>
  <c r="AK25" i="3"/>
  <c r="AL25" i="3"/>
  <c r="AM25" i="3"/>
  <c r="AN25" i="3"/>
  <c r="AO25" i="3"/>
  <c r="AP25" i="3"/>
  <c r="AQ25" i="3" a="1"/>
  <c r="AR25" i="3" a="1"/>
  <c r="AS25" i="3"/>
  <c r="AT25" i="3" a="1"/>
  <c r="AU25" i="3"/>
  <c r="AV25" i="3" a="1"/>
  <c r="AW25" i="3"/>
  <c r="AX25" i="3"/>
  <c r="AY25" i="3"/>
  <c r="AZ25" i="3"/>
  <c r="BA25" i="3"/>
  <c r="BB25" i="3"/>
  <c r="BC25" i="3"/>
  <c r="BD25" i="3"/>
  <c r="BE25" i="3" a="1"/>
  <c r="BF25" i="3"/>
  <c r="BG25" i="3"/>
  <c r="BH25" i="3" a="1"/>
  <c r="BI25" i="3"/>
  <c r="BJ25" i="3" a="1"/>
  <c r="BK25" i="3" a="1"/>
  <c r="BL25" i="3"/>
  <c r="BM25" i="3"/>
  <c r="B26" i="3"/>
  <c r="C26" i="3"/>
  <c r="D26" i="3"/>
  <c r="E26" i="3"/>
  <c r="F26" i="3"/>
  <c r="G26" i="3"/>
  <c r="H26" i="3"/>
  <c r="I26" i="3"/>
  <c r="J26" i="3"/>
  <c r="K26" i="3"/>
  <c r="L26" i="3"/>
  <c r="M26" i="3" a="1"/>
  <c r="N26" i="3"/>
  <c r="O26" i="3"/>
  <c r="P26" i="3"/>
  <c r="Q26" i="3" a="1"/>
  <c r="R26" i="3"/>
  <c r="S26" i="3"/>
  <c r="T26" i="3"/>
  <c r="U26" i="3"/>
  <c r="V26" i="3" a="1"/>
  <c r="W26" i="3" a="1"/>
  <c r="X26" i="3"/>
  <c r="Y26" i="3"/>
  <c r="Z26" i="3"/>
  <c r="AA26" i="3"/>
  <c r="AB26" i="3" a="1"/>
  <c r="AC26" i="3"/>
  <c r="AD26" i="3" a="1"/>
  <c r="AE26" i="3"/>
  <c r="AG26" i="3"/>
  <c r="AH26" i="3"/>
  <c r="AI26" i="3"/>
  <c r="AJ26" i="3"/>
  <c r="AK26" i="3"/>
  <c r="AL26" i="3"/>
  <c r="AM26" i="3"/>
  <c r="AN26" i="3"/>
  <c r="AO26" i="3"/>
  <c r="AP26" i="3"/>
  <c r="AQ26" i="3" a="1"/>
  <c r="AR26" i="3" a="1"/>
  <c r="AS26" i="3"/>
  <c r="AT26" i="3" a="1"/>
  <c r="AU26" i="3"/>
  <c r="AV26" i="3" a="1"/>
  <c r="AW26" i="3"/>
  <c r="AX26" i="3"/>
  <c r="AY26" i="3"/>
  <c r="AZ26" i="3"/>
  <c r="BA26" i="3"/>
  <c r="BB26" i="3"/>
  <c r="BC26" i="3"/>
  <c r="BD26" i="3"/>
  <c r="BE26" i="3" a="1"/>
  <c r="BF26" i="3"/>
  <c r="BG26" i="3"/>
  <c r="BH26" i="3" a="1"/>
  <c r="BI26" i="3"/>
  <c r="BJ26" i="3" a="1"/>
  <c r="BK26" i="3" a="1"/>
  <c r="BL26" i="3"/>
  <c r="BM26" i="3"/>
  <c r="B27" i="3"/>
  <c r="C27" i="3"/>
  <c r="D27" i="3"/>
  <c r="E27" i="3"/>
  <c r="F27" i="3"/>
  <c r="G27" i="3"/>
  <c r="H27" i="3"/>
  <c r="I27" i="3"/>
  <c r="J27" i="3"/>
  <c r="K27" i="3"/>
  <c r="L27" i="3"/>
  <c r="M27" i="3" a="1"/>
  <c r="N27" i="3"/>
  <c r="O27" i="3"/>
  <c r="P27" i="3"/>
  <c r="Q27" i="3" a="1"/>
  <c r="R27" i="3"/>
  <c r="S27" i="3"/>
  <c r="T27" i="3"/>
  <c r="U27" i="3"/>
  <c r="V27" i="3" a="1"/>
  <c r="W27" i="3" a="1"/>
  <c r="X27" i="3"/>
  <c r="Y27" i="3"/>
  <c r="Z27" i="3"/>
  <c r="AA27" i="3"/>
  <c r="AB27" i="3" a="1"/>
  <c r="AC27" i="3"/>
  <c r="AD27" i="3" a="1"/>
  <c r="AE27" i="3"/>
  <c r="AG27" i="3"/>
  <c r="AH27" i="3"/>
  <c r="AI27" i="3"/>
  <c r="AJ27" i="3"/>
  <c r="AK27" i="3"/>
  <c r="AL27" i="3"/>
  <c r="AM27" i="3"/>
  <c r="AN27" i="3"/>
  <c r="AO27" i="3"/>
  <c r="AP27" i="3"/>
  <c r="AQ27" i="3" a="1"/>
  <c r="AR27" i="3" a="1"/>
  <c r="AS27" i="3"/>
  <c r="AT27" i="3" a="1"/>
  <c r="AU27" i="3"/>
  <c r="AV27" i="3" a="1"/>
  <c r="AW27" i="3"/>
  <c r="AX27" i="3"/>
  <c r="AY27" i="3"/>
  <c r="AZ27" i="3"/>
  <c r="BA27" i="3"/>
  <c r="BB27" i="3"/>
  <c r="BC27" i="3"/>
  <c r="BD27" i="3"/>
  <c r="BE27" i="3" a="1"/>
  <c r="BF27" i="3"/>
  <c r="BG27" i="3"/>
  <c r="BH27" i="3" a="1"/>
  <c r="BI27" i="3"/>
  <c r="BJ27" i="3" a="1"/>
  <c r="BK27" i="3" a="1"/>
  <c r="BL27" i="3"/>
  <c r="BM27" i="3"/>
  <c r="B28" i="3"/>
  <c r="C28" i="3"/>
  <c r="D28" i="3"/>
  <c r="E28" i="3"/>
  <c r="F28" i="3"/>
  <c r="G28" i="3"/>
  <c r="H28" i="3"/>
  <c r="I28" i="3"/>
  <c r="J28" i="3"/>
  <c r="K28" i="3"/>
  <c r="L28" i="3"/>
  <c r="M28" i="3" a="1"/>
  <c r="N28" i="3"/>
  <c r="O28" i="3"/>
  <c r="P28" i="3"/>
  <c r="Q28" i="3" a="1"/>
  <c r="R28" i="3"/>
  <c r="S28" i="3"/>
  <c r="T28" i="3"/>
  <c r="U28" i="3"/>
  <c r="V28" i="3" a="1"/>
  <c r="W28" i="3" a="1"/>
  <c r="X28" i="3"/>
  <c r="Y28" i="3"/>
  <c r="Z28" i="3"/>
  <c r="AA28" i="3"/>
  <c r="AB28" i="3" a="1"/>
  <c r="AC28" i="3"/>
  <c r="AD28" i="3" a="1"/>
  <c r="AE28" i="3"/>
  <c r="AG28" i="3"/>
  <c r="AH28" i="3"/>
  <c r="AI28" i="3"/>
  <c r="AJ28" i="3"/>
  <c r="AK28" i="3"/>
  <c r="AL28" i="3"/>
  <c r="AM28" i="3"/>
  <c r="AN28" i="3"/>
  <c r="AO28" i="3"/>
  <c r="AP28" i="3"/>
  <c r="AQ28" i="3" a="1"/>
  <c r="AR28" i="3" a="1"/>
  <c r="AS28" i="3"/>
  <c r="AT28" i="3" a="1"/>
  <c r="AU28" i="3"/>
  <c r="AV28" i="3" a="1"/>
  <c r="AW28" i="3"/>
  <c r="AX28" i="3"/>
  <c r="AY28" i="3"/>
  <c r="AZ28" i="3"/>
  <c r="BA28" i="3"/>
  <c r="BB28" i="3"/>
  <c r="BC28" i="3"/>
  <c r="BD28" i="3"/>
  <c r="BE28" i="3" a="1"/>
  <c r="BF28" i="3"/>
  <c r="BG28" i="3"/>
  <c r="BH28" i="3" a="1"/>
  <c r="BI28" i="3"/>
  <c r="BJ28" i="3" a="1"/>
  <c r="BK28" i="3" a="1"/>
  <c r="BL28" i="3"/>
  <c r="BM28" i="3"/>
  <c r="B29" i="3"/>
  <c r="C29" i="3"/>
  <c r="D29" i="3"/>
  <c r="E29" i="3"/>
  <c r="F29" i="3"/>
  <c r="G29" i="3"/>
  <c r="H29" i="3"/>
  <c r="I29" i="3"/>
  <c r="J29" i="3"/>
  <c r="K29" i="3"/>
  <c r="L29" i="3"/>
  <c r="M29" i="3" a="1"/>
  <c r="N29" i="3"/>
  <c r="O29" i="3"/>
  <c r="P29" i="3"/>
  <c r="Q29" i="3" a="1"/>
  <c r="R29" i="3"/>
  <c r="S29" i="3"/>
  <c r="T29" i="3"/>
  <c r="U29" i="3"/>
  <c r="V29" i="3" a="1"/>
  <c r="W29" i="3" a="1"/>
  <c r="X29" i="3"/>
  <c r="Y29" i="3"/>
  <c r="Z29" i="3"/>
  <c r="AA29" i="3"/>
  <c r="AB29" i="3" a="1"/>
  <c r="AC29" i="3"/>
  <c r="AD29" i="3" a="1"/>
  <c r="AE29" i="3"/>
  <c r="AG29" i="3"/>
  <c r="AH29" i="3"/>
  <c r="AI29" i="3"/>
  <c r="AJ29" i="3"/>
  <c r="AK29" i="3"/>
  <c r="AL29" i="3"/>
  <c r="AM29" i="3"/>
  <c r="AN29" i="3"/>
  <c r="AO29" i="3"/>
  <c r="AP29" i="3"/>
  <c r="AQ29" i="3" a="1"/>
  <c r="AR29" i="3" a="1"/>
  <c r="AS29" i="3"/>
  <c r="AT29" i="3" a="1"/>
  <c r="AU29" i="3"/>
  <c r="AV29" i="3" a="1"/>
  <c r="AW29" i="3"/>
  <c r="AX29" i="3"/>
  <c r="AY29" i="3"/>
  <c r="AZ29" i="3"/>
  <c r="BA29" i="3"/>
  <c r="BB29" i="3"/>
  <c r="BC29" i="3"/>
  <c r="BD29" i="3"/>
  <c r="BE29" i="3" a="1"/>
  <c r="BF29" i="3"/>
  <c r="BG29" i="3"/>
  <c r="BH29" i="3" a="1"/>
  <c r="BI29" i="3"/>
  <c r="BJ29" i="3" a="1"/>
  <c r="BK29" i="3" a="1"/>
  <c r="BL29" i="3"/>
  <c r="BM29" i="3"/>
  <c r="B30" i="3"/>
  <c r="C30" i="3"/>
  <c r="D30" i="3"/>
  <c r="E30" i="3"/>
  <c r="F30" i="3"/>
  <c r="G30" i="3"/>
  <c r="H30" i="3"/>
  <c r="I30" i="3"/>
  <c r="J30" i="3"/>
  <c r="K30" i="3"/>
  <c r="L30" i="3"/>
  <c r="M30" i="3" a="1"/>
  <c r="N30" i="3"/>
  <c r="O30" i="3"/>
  <c r="P30" i="3"/>
  <c r="Q30" i="3" a="1"/>
  <c r="R30" i="3"/>
  <c r="S30" i="3"/>
  <c r="T30" i="3"/>
  <c r="U30" i="3"/>
  <c r="V30" i="3" a="1"/>
  <c r="W30" i="3" a="1"/>
  <c r="X30" i="3"/>
  <c r="Y30" i="3"/>
  <c r="Z30" i="3"/>
  <c r="AA30" i="3"/>
  <c r="AB30" i="3" a="1"/>
  <c r="AC30" i="3"/>
  <c r="AD30" i="3" a="1"/>
  <c r="AE30" i="3"/>
  <c r="AG30" i="3"/>
  <c r="AH30" i="3"/>
  <c r="AI30" i="3"/>
  <c r="AJ30" i="3"/>
  <c r="AK30" i="3"/>
  <c r="AL30" i="3"/>
  <c r="AM30" i="3"/>
  <c r="AN30" i="3"/>
  <c r="AO30" i="3"/>
  <c r="AP30" i="3"/>
  <c r="AQ30" i="3" a="1"/>
  <c r="AR30" i="3" a="1"/>
  <c r="AS30" i="3"/>
  <c r="AT30" i="3" a="1"/>
  <c r="AU30" i="3"/>
  <c r="AV30" i="3" a="1"/>
  <c r="AW30" i="3"/>
  <c r="AX30" i="3"/>
  <c r="AY30" i="3"/>
  <c r="AZ30" i="3"/>
  <c r="BA30" i="3"/>
  <c r="BB30" i="3"/>
  <c r="BC30" i="3"/>
  <c r="BD30" i="3"/>
  <c r="BE30" i="3" a="1"/>
  <c r="BF30" i="3"/>
  <c r="BG30" i="3"/>
  <c r="BH30" i="3" a="1"/>
  <c r="BI30" i="3"/>
  <c r="BJ30" i="3" a="1"/>
  <c r="BK30" i="3" a="1"/>
  <c r="BL30" i="3"/>
  <c r="BM30" i="3"/>
  <c r="B31" i="3"/>
  <c r="C31" i="3"/>
  <c r="D31" i="3"/>
  <c r="E31" i="3"/>
  <c r="F31" i="3"/>
  <c r="G31" i="3"/>
  <c r="H31" i="3"/>
  <c r="I31" i="3"/>
  <c r="J31" i="3"/>
  <c r="K31" i="3"/>
  <c r="L31" i="3"/>
  <c r="M31" i="3" a="1"/>
  <c r="N31" i="3"/>
  <c r="O31" i="3"/>
  <c r="P31" i="3"/>
  <c r="Q31" i="3" a="1"/>
  <c r="R31" i="3"/>
  <c r="S31" i="3"/>
  <c r="T31" i="3"/>
  <c r="U31" i="3"/>
  <c r="V31" i="3" a="1"/>
  <c r="W31" i="3" a="1"/>
  <c r="X31" i="3"/>
  <c r="Y31" i="3"/>
  <c r="Z31" i="3"/>
  <c r="AA31" i="3"/>
  <c r="AB31" i="3" a="1"/>
  <c r="AC31" i="3"/>
  <c r="AD31" i="3" a="1"/>
  <c r="AE31" i="3"/>
  <c r="AG31" i="3"/>
  <c r="AH31" i="3"/>
  <c r="AI31" i="3"/>
  <c r="AJ31" i="3"/>
  <c r="AK31" i="3"/>
  <c r="AL31" i="3"/>
  <c r="AM31" i="3"/>
  <c r="AN31" i="3"/>
  <c r="AO31" i="3"/>
  <c r="AP31" i="3"/>
  <c r="AQ31" i="3" a="1"/>
  <c r="AR31" i="3" a="1"/>
  <c r="AS31" i="3"/>
  <c r="AT31" i="3" a="1"/>
  <c r="AU31" i="3"/>
  <c r="AV31" i="3" a="1"/>
  <c r="AW31" i="3"/>
  <c r="AX31" i="3"/>
  <c r="AY31" i="3"/>
  <c r="AZ31" i="3"/>
  <c r="BA31" i="3"/>
  <c r="BB31" i="3"/>
  <c r="BC31" i="3"/>
  <c r="BD31" i="3"/>
  <c r="BE31" i="3" a="1"/>
  <c r="BF31" i="3"/>
  <c r="BG31" i="3"/>
  <c r="BH31" i="3" a="1"/>
  <c r="BI31" i="3"/>
  <c r="BJ31" i="3" a="1"/>
  <c r="BK31" i="3" a="1"/>
  <c r="BL31" i="3"/>
  <c r="BM31" i="3"/>
  <c r="B32" i="3"/>
  <c r="C32" i="3"/>
  <c r="D32" i="3"/>
  <c r="E32" i="3"/>
  <c r="F32" i="3"/>
  <c r="G32" i="3"/>
  <c r="H32" i="3"/>
  <c r="I32" i="3"/>
  <c r="J32" i="3"/>
  <c r="K32" i="3"/>
  <c r="L32" i="3"/>
  <c r="M32" i="3" a="1"/>
  <c r="N32" i="3"/>
  <c r="O32" i="3"/>
  <c r="P32" i="3"/>
  <c r="Q32" i="3" a="1"/>
  <c r="R32" i="3"/>
  <c r="S32" i="3"/>
  <c r="T32" i="3"/>
  <c r="U32" i="3"/>
  <c r="V32" i="3" a="1"/>
  <c r="W32" i="3" a="1"/>
  <c r="X32" i="3"/>
  <c r="Y32" i="3"/>
  <c r="Z32" i="3"/>
  <c r="AA32" i="3"/>
  <c r="AB32" i="3" a="1"/>
  <c r="AC32" i="3"/>
  <c r="AD32" i="3" a="1"/>
  <c r="AE32" i="3"/>
  <c r="AG32" i="3"/>
  <c r="AH32" i="3"/>
  <c r="AI32" i="3"/>
  <c r="AJ32" i="3"/>
  <c r="AK32" i="3"/>
  <c r="AL32" i="3"/>
  <c r="AM32" i="3"/>
  <c r="AN32" i="3"/>
  <c r="AO32" i="3"/>
  <c r="AP32" i="3"/>
  <c r="AQ32" i="3" a="1"/>
  <c r="AR32" i="3" a="1"/>
  <c r="AS32" i="3"/>
  <c r="AT32" i="3" a="1"/>
  <c r="AU32" i="3"/>
  <c r="AV32" i="3" a="1"/>
  <c r="AW32" i="3"/>
  <c r="AX32" i="3"/>
  <c r="AY32" i="3"/>
  <c r="AZ32" i="3"/>
  <c r="BA32" i="3"/>
  <c r="BB32" i="3"/>
  <c r="BC32" i="3"/>
  <c r="BD32" i="3"/>
  <c r="BE32" i="3" a="1"/>
  <c r="BF32" i="3"/>
  <c r="BG32" i="3"/>
  <c r="BH32" i="3" a="1"/>
  <c r="BI32" i="3"/>
  <c r="BJ32" i="3" a="1"/>
  <c r="BK32" i="3" a="1"/>
  <c r="BL32" i="3"/>
  <c r="BM32" i="3"/>
  <c r="B33" i="3"/>
  <c r="C33" i="3"/>
  <c r="D33" i="3"/>
  <c r="E33" i="3"/>
  <c r="F33" i="3"/>
  <c r="G33" i="3"/>
  <c r="H33" i="3"/>
  <c r="I33" i="3"/>
  <c r="J33" i="3"/>
  <c r="K33" i="3"/>
  <c r="L33" i="3"/>
  <c r="M33" i="3" a="1"/>
  <c r="N33" i="3"/>
  <c r="O33" i="3"/>
  <c r="P33" i="3"/>
  <c r="Q33" i="3" a="1"/>
  <c r="R33" i="3"/>
  <c r="S33" i="3"/>
  <c r="T33" i="3"/>
  <c r="U33" i="3"/>
  <c r="V33" i="3" a="1"/>
  <c r="W33" i="3" a="1"/>
  <c r="X33" i="3"/>
  <c r="Y33" i="3"/>
  <c r="Z33" i="3"/>
  <c r="AA33" i="3"/>
  <c r="AB33" i="3" a="1"/>
  <c r="AC33" i="3"/>
  <c r="AD33" i="3" a="1"/>
  <c r="AE33" i="3"/>
  <c r="AG33" i="3"/>
  <c r="AH33" i="3"/>
  <c r="AI33" i="3"/>
  <c r="AJ33" i="3"/>
  <c r="AK33" i="3"/>
  <c r="AL33" i="3"/>
  <c r="AM33" i="3"/>
  <c r="AN33" i="3"/>
  <c r="AO33" i="3"/>
  <c r="AP33" i="3"/>
  <c r="AQ33" i="3" a="1"/>
  <c r="AR33" i="3" a="1"/>
  <c r="AS33" i="3"/>
  <c r="AT33" i="3" a="1"/>
  <c r="AU33" i="3"/>
  <c r="AV33" i="3" a="1"/>
  <c r="AW33" i="3"/>
  <c r="AX33" i="3"/>
  <c r="AY33" i="3"/>
  <c r="AZ33" i="3"/>
  <c r="BA33" i="3"/>
  <c r="BB33" i="3"/>
  <c r="BC33" i="3"/>
  <c r="BD33" i="3"/>
  <c r="BE33" i="3" a="1"/>
  <c r="BF33" i="3"/>
  <c r="BG33" i="3"/>
  <c r="BH33" i="3" a="1"/>
  <c r="BI33" i="3"/>
  <c r="BJ33" i="3" a="1"/>
  <c r="BK33" i="3" a="1"/>
  <c r="BL33" i="3"/>
  <c r="BM33" i="3"/>
  <c r="B34" i="3"/>
  <c r="C34" i="3"/>
  <c r="D34" i="3"/>
  <c r="E34" i="3"/>
  <c r="F34" i="3"/>
  <c r="G34" i="3"/>
  <c r="H34" i="3"/>
  <c r="I34" i="3"/>
  <c r="J34" i="3"/>
  <c r="K34" i="3"/>
  <c r="L34" i="3"/>
  <c r="M34" i="3" a="1"/>
  <c r="N34" i="3"/>
  <c r="O34" i="3"/>
  <c r="P34" i="3"/>
  <c r="Q34" i="3" a="1"/>
  <c r="R34" i="3"/>
  <c r="S34" i="3"/>
  <c r="T34" i="3"/>
  <c r="U34" i="3"/>
  <c r="V34" i="3" a="1"/>
  <c r="W34" i="3" a="1"/>
  <c r="X34" i="3"/>
  <c r="Y34" i="3"/>
  <c r="Z34" i="3"/>
  <c r="AA34" i="3"/>
  <c r="AB34" i="3" a="1"/>
  <c r="AC34" i="3"/>
  <c r="AD34" i="3" a="1"/>
  <c r="AE34" i="3"/>
  <c r="AG34" i="3"/>
  <c r="AH34" i="3"/>
  <c r="AI34" i="3"/>
  <c r="AJ34" i="3"/>
  <c r="AK34" i="3"/>
  <c r="AL34" i="3"/>
  <c r="AM34" i="3"/>
  <c r="AN34" i="3"/>
  <c r="AO34" i="3"/>
  <c r="AP34" i="3"/>
  <c r="AQ34" i="3" a="1"/>
  <c r="AR34" i="3" a="1"/>
  <c r="AS34" i="3"/>
  <c r="AT34" i="3" a="1"/>
  <c r="AU34" i="3"/>
  <c r="AV34" i="3" a="1"/>
  <c r="AW34" i="3"/>
  <c r="AX34" i="3"/>
  <c r="AY34" i="3"/>
  <c r="AZ34" i="3"/>
  <c r="BA34" i="3"/>
  <c r="BB34" i="3"/>
  <c r="BC34" i="3"/>
  <c r="BD34" i="3"/>
  <c r="BE34" i="3" a="1"/>
  <c r="BF34" i="3"/>
  <c r="BG34" i="3"/>
  <c r="BH34" i="3" a="1"/>
  <c r="BI34" i="3"/>
  <c r="BJ34" i="3" a="1"/>
  <c r="BK34" i="3" a="1"/>
  <c r="BL34" i="3"/>
  <c r="BM34" i="3"/>
  <c r="B35" i="3"/>
  <c r="C35" i="3"/>
  <c r="D35" i="3"/>
  <c r="E35" i="3"/>
  <c r="F35" i="3"/>
  <c r="G35" i="3"/>
  <c r="H35" i="3"/>
  <c r="I35" i="3"/>
  <c r="J35" i="3"/>
  <c r="K35" i="3"/>
  <c r="L35" i="3"/>
  <c r="M35" i="3" a="1"/>
  <c r="N35" i="3"/>
  <c r="O35" i="3"/>
  <c r="P35" i="3"/>
  <c r="Q35" i="3" a="1"/>
  <c r="R35" i="3"/>
  <c r="S35" i="3"/>
  <c r="T35" i="3"/>
  <c r="U35" i="3"/>
  <c r="V35" i="3" a="1"/>
  <c r="W35" i="3" a="1"/>
  <c r="X35" i="3"/>
  <c r="Y35" i="3"/>
  <c r="Z35" i="3"/>
  <c r="AA35" i="3"/>
  <c r="AB35" i="3" a="1"/>
  <c r="AC35" i="3"/>
  <c r="AD35" i="3" a="1"/>
  <c r="AE35" i="3"/>
  <c r="AG35" i="3"/>
  <c r="AH35" i="3"/>
  <c r="AI35" i="3"/>
  <c r="AJ35" i="3"/>
  <c r="AK35" i="3"/>
  <c r="AL35" i="3"/>
  <c r="AM35" i="3"/>
  <c r="AN35" i="3"/>
  <c r="AO35" i="3"/>
  <c r="AP35" i="3"/>
  <c r="AQ35" i="3" a="1"/>
  <c r="AR35" i="3" a="1"/>
  <c r="AS35" i="3"/>
  <c r="AT35" i="3" a="1"/>
  <c r="AU35" i="3"/>
  <c r="AV35" i="3" a="1"/>
  <c r="AW35" i="3"/>
  <c r="AX35" i="3"/>
  <c r="AY35" i="3"/>
  <c r="AZ35" i="3"/>
  <c r="BA35" i="3"/>
  <c r="BB35" i="3"/>
  <c r="BC35" i="3"/>
  <c r="BD35" i="3"/>
  <c r="BE35" i="3" a="1"/>
  <c r="BF35" i="3"/>
  <c r="BG35" i="3"/>
  <c r="BH35" i="3" a="1"/>
  <c r="BI35" i="3"/>
  <c r="BJ35" i="3" a="1"/>
  <c r="BK35" i="3" a="1"/>
  <c r="BL35" i="3"/>
  <c r="BM35" i="3"/>
  <c r="B36" i="3"/>
  <c r="C36" i="3"/>
  <c r="D36" i="3"/>
  <c r="E36" i="3"/>
  <c r="F36" i="3"/>
  <c r="G36" i="3"/>
  <c r="H36" i="3"/>
  <c r="I36" i="3"/>
  <c r="J36" i="3"/>
  <c r="K36" i="3"/>
  <c r="L36" i="3"/>
  <c r="M36" i="3" a="1"/>
  <c r="N36" i="3"/>
  <c r="O36" i="3"/>
  <c r="P36" i="3"/>
  <c r="Q36" i="3" a="1"/>
  <c r="R36" i="3"/>
  <c r="S36" i="3"/>
  <c r="T36" i="3"/>
  <c r="U36" i="3"/>
  <c r="V36" i="3" a="1"/>
  <c r="W36" i="3" a="1"/>
  <c r="X36" i="3"/>
  <c r="Y36" i="3"/>
  <c r="Z36" i="3"/>
  <c r="AA36" i="3"/>
  <c r="AB36" i="3" a="1"/>
  <c r="AC36" i="3"/>
  <c r="AD36" i="3" a="1"/>
  <c r="AE36" i="3"/>
  <c r="AG36" i="3"/>
  <c r="AH36" i="3"/>
  <c r="AI36" i="3"/>
  <c r="AJ36" i="3"/>
  <c r="AK36" i="3"/>
  <c r="AL36" i="3"/>
  <c r="AM36" i="3"/>
  <c r="AN36" i="3"/>
  <c r="AO36" i="3"/>
  <c r="AP36" i="3"/>
  <c r="AQ36" i="3" a="1"/>
  <c r="AR36" i="3" a="1"/>
  <c r="AS36" i="3"/>
  <c r="AT36" i="3" a="1"/>
  <c r="AU36" i="3"/>
  <c r="AV36" i="3" a="1"/>
  <c r="AW36" i="3"/>
  <c r="AX36" i="3"/>
  <c r="AY36" i="3"/>
  <c r="AZ36" i="3"/>
  <c r="BA36" i="3"/>
  <c r="BB36" i="3"/>
  <c r="BC36" i="3"/>
  <c r="BD36" i="3"/>
  <c r="BE36" i="3" a="1"/>
  <c r="BF36" i="3"/>
  <c r="BG36" i="3"/>
  <c r="BH36" i="3" a="1"/>
  <c r="BI36" i="3"/>
  <c r="BJ36" i="3" a="1"/>
  <c r="BK36" i="3" a="1"/>
  <c r="BL36" i="3"/>
  <c r="BM36" i="3"/>
  <c r="B37" i="3"/>
  <c r="C37" i="3"/>
  <c r="D37" i="3"/>
  <c r="E37" i="3"/>
  <c r="F37" i="3"/>
  <c r="G37" i="3"/>
  <c r="H37" i="3"/>
  <c r="I37" i="3"/>
  <c r="J37" i="3"/>
  <c r="K37" i="3"/>
  <c r="L37" i="3"/>
  <c r="M37" i="3" a="1"/>
  <c r="N37" i="3"/>
  <c r="O37" i="3"/>
  <c r="P37" i="3"/>
  <c r="Q37" i="3" a="1"/>
  <c r="R37" i="3"/>
  <c r="S37" i="3"/>
  <c r="T37" i="3"/>
  <c r="U37" i="3"/>
  <c r="V37" i="3" a="1"/>
  <c r="W37" i="3" a="1"/>
  <c r="X37" i="3"/>
  <c r="Y37" i="3"/>
  <c r="Z37" i="3"/>
  <c r="AA37" i="3"/>
  <c r="AB37" i="3" a="1"/>
  <c r="AC37" i="3"/>
  <c r="AD37" i="3" a="1"/>
  <c r="AE37" i="3"/>
  <c r="AG37" i="3"/>
  <c r="AH37" i="3"/>
  <c r="AI37" i="3"/>
  <c r="AJ37" i="3"/>
  <c r="AK37" i="3"/>
  <c r="AL37" i="3"/>
  <c r="AM37" i="3"/>
  <c r="AN37" i="3"/>
  <c r="AO37" i="3"/>
  <c r="AP37" i="3"/>
  <c r="AQ37" i="3" a="1"/>
  <c r="AR37" i="3" a="1"/>
  <c r="AS37" i="3"/>
  <c r="AT37" i="3" a="1"/>
  <c r="AU37" i="3"/>
  <c r="AV37" i="3" a="1"/>
  <c r="AW37" i="3"/>
  <c r="AX37" i="3"/>
  <c r="AY37" i="3"/>
  <c r="AZ37" i="3"/>
  <c r="BA37" i="3"/>
  <c r="BB37" i="3"/>
  <c r="BC37" i="3"/>
  <c r="BD37" i="3"/>
  <c r="BE37" i="3" a="1"/>
  <c r="BF37" i="3"/>
  <c r="BG37" i="3"/>
  <c r="BH37" i="3" a="1"/>
  <c r="BI37" i="3"/>
  <c r="BJ37" i="3" a="1"/>
  <c r="BK37" i="3" a="1"/>
  <c r="BL37" i="3"/>
  <c r="BM37" i="3"/>
  <c r="B38" i="3"/>
  <c r="C38" i="3"/>
  <c r="D38" i="3"/>
  <c r="E38" i="3"/>
  <c r="F38" i="3"/>
  <c r="G38" i="3"/>
  <c r="H38" i="3"/>
  <c r="I38" i="3"/>
  <c r="J38" i="3"/>
  <c r="K38" i="3"/>
  <c r="L38" i="3"/>
  <c r="M38" i="3" a="1"/>
  <c r="N38" i="3"/>
  <c r="O38" i="3"/>
  <c r="P38" i="3"/>
  <c r="Q38" i="3" a="1"/>
  <c r="R38" i="3"/>
  <c r="S38" i="3"/>
  <c r="T38" i="3"/>
  <c r="U38" i="3"/>
  <c r="V38" i="3" a="1"/>
  <c r="W38" i="3" a="1"/>
  <c r="X38" i="3"/>
  <c r="Y38" i="3"/>
  <c r="Z38" i="3"/>
  <c r="AA38" i="3"/>
  <c r="AB38" i="3" a="1"/>
  <c r="AC38" i="3"/>
  <c r="AD38" i="3" a="1"/>
  <c r="AE38" i="3"/>
  <c r="AG38" i="3"/>
  <c r="AH38" i="3"/>
  <c r="AI38" i="3"/>
  <c r="AJ38" i="3"/>
  <c r="AK38" i="3"/>
  <c r="AL38" i="3"/>
  <c r="AM38" i="3"/>
  <c r="AN38" i="3"/>
  <c r="AO38" i="3"/>
  <c r="AP38" i="3"/>
  <c r="AQ38" i="3" a="1"/>
  <c r="AR38" i="3" a="1"/>
  <c r="AS38" i="3"/>
  <c r="AT38" i="3" a="1"/>
  <c r="AU38" i="3"/>
  <c r="AV38" i="3" a="1"/>
  <c r="AW38" i="3"/>
  <c r="AX38" i="3"/>
  <c r="AY38" i="3"/>
  <c r="AZ38" i="3"/>
  <c r="BA38" i="3"/>
  <c r="BB38" i="3"/>
  <c r="BC38" i="3"/>
  <c r="BD38" i="3"/>
  <c r="BE38" i="3" a="1"/>
  <c r="BF38" i="3"/>
  <c r="BG38" i="3"/>
  <c r="BH38" i="3" a="1"/>
  <c r="BI38" i="3"/>
  <c r="BJ38" i="3" a="1"/>
  <c r="BK38" i="3" a="1"/>
  <c r="BL38" i="3"/>
  <c r="BM38" i="3"/>
  <c r="B39" i="3"/>
  <c r="C39" i="3"/>
  <c r="D39" i="3"/>
  <c r="E39" i="3"/>
  <c r="F39" i="3"/>
  <c r="G39" i="3"/>
  <c r="H39" i="3"/>
  <c r="I39" i="3"/>
  <c r="J39" i="3"/>
  <c r="K39" i="3"/>
  <c r="L39" i="3"/>
  <c r="M39" i="3" a="1"/>
  <c r="N39" i="3"/>
  <c r="O39" i="3"/>
  <c r="P39" i="3"/>
  <c r="Q39" i="3" a="1"/>
  <c r="R39" i="3"/>
  <c r="S39" i="3"/>
  <c r="T39" i="3"/>
  <c r="U39" i="3"/>
  <c r="V39" i="3" a="1"/>
  <c r="W39" i="3" a="1"/>
  <c r="X39" i="3"/>
  <c r="Y39" i="3"/>
  <c r="Z39" i="3"/>
  <c r="AA39" i="3"/>
  <c r="AB39" i="3" a="1"/>
  <c r="AC39" i="3"/>
  <c r="AD39" i="3" a="1"/>
  <c r="AE39" i="3"/>
  <c r="AG39" i="3"/>
  <c r="AH39" i="3"/>
  <c r="AI39" i="3"/>
  <c r="AJ39" i="3"/>
  <c r="AK39" i="3"/>
  <c r="AL39" i="3"/>
  <c r="AM39" i="3"/>
  <c r="AN39" i="3"/>
  <c r="AO39" i="3"/>
  <c r="AP39" i="3"/>
  <c r="AQ39" i="3" a="1"/>
  <c r="AR39" i="3" a="1"/>
  <c r="AS39" i="3"/>
  <c r="AT39" i="3" a="1"/>
  <c r="AU39" i="3"/>
  <c r="AV39" i="3" a="1"/>
  <c r="AW39" i="3"/>
  <c r="AX39" i="3"/>
  <c r="AY39" i="3"/>
  <c r="AZ39" i="3"/>
  <c r="BA39" i="3"/>
  <c r="BB39" i="3"/>
  <c r="BC39" i="3"/>
  <c r="BD39" i="3"/>
  <c r="BE39" i="3" a="1"/>
  <c r="BF39" i="3"/>
  <c r="BG39" i="3"/>
  <c r="BH39" i="3" a="1"/>
  <c r="BI39" i="3"/>
  <c r="BJ39" i="3" a="1"/>
  <c r="BK39" i="3" a="1"/>
  <c r="BL39" i="3"/>
  <c r="BM39" i="3"/>
  <c r="B40" i="3"/>
  <c r="C40" i="3"/>
  <c r="D40" i="3"/>
  <c r="E40" i="3"/>
  <c r="F40" i="3"/>
  <c r="G40" i="3"/>
  <c r="H40" i="3"/>
  <c r="I40" i="3"/>
  <c r="J40" i="3"/>
  <c r="K40" i="3"/>
  <c r="L40" i="3"/>
  <c r="M40" i="3" a="1"/>
  <c r="N40" i="3"/>
  <c r="O40" i="3"/>
  <c r="P40" i="3"/>
  <c r="Q40" i="3" a="1"/>
  <c r="R40" i="3"/>
  <c r="S40" i="3"/>
  <c r="T40" i="3"/>
  <c r="U40" i="3"/>
  <c r="V40" i="3" a="1"/>
  <c r="W40" i="3" a="1"/>
  <c r="X40" i="3"/>
  <c r="Y40" i="3"/>
  <c r="Z40" i="3"/>
  <c r="AA40" i="3"/>
  <c r="AB40" i="3" a="1"/>
  <c r="AC40" i="3"/>
  <c r="AD40" i="3" a="1"/>
  <c r="AE40" i="3"/>
  <c r="AG40" i="3"/>
  <c r="AH40" i="3"/>
  <c r="AI40" i="3"/>
  <c r="AJ40" i="3"/>
  <c r="AK40" i="3"/>
  <c r="AL40" i="3"/>
  <c r="AM40" i="3"/>
  <c r="AN40" i="3"/>
  <c r="AO40" i="3"/>
  <c r="AP40" i="3"/>
  <c r="AQ40" i="3" a="1"/>
  <c r="AR40" i="3" a="1"/>
  <c r="AS40" i="3"/>
  <c r="AT40" i="3" a="1"/>
  <c r="AU40" i="3"/>
  <c r="AV40" i="3" a="1"/>
  <c r="AW40" i="3"/>
  <c r="AX40" i="3"/>
  <c r="AY40" i="3"/>
  <c r="AZ40" i="3"/>
  <c r="BA40" i="3"/>
  <c r="BB40" i="3"/>
  <c r="BC40" i="3"/>
  <c r="BD40" i="3"/>
  <c r="BE40" i="3" a="1"/>
  <c r="BF40" i="3"/>
  <c r="BG40" i="3"/>
  <c r="BH40" i="3" a="1"/>
  <c r="BI40" i="3"/>
  <c r="BJ40" i="3" a="1"/>
  <c r="BK40" i="3" a="1"/>
  <c r="BL40" i="3"/>
  <c r="BM40" i="3"/>
  <c r="B41" i="3"/>
  <c r="C41" i="3"/>
  <c r="D41" i="3"/>
  <c r="E41" i="3"/>
  <c r="F41" i="3"/>
  <c r="G41" i="3"/>
  <c r="H41" i="3"/>
  <c r="I41" i="3"/>
  <c r="J41" i="3"/>
  <c r="K41" i="3"/>
  <c r="L41" i="3"/>
  <c r="M41" i="3" a="1"/>
  <c r="N41" i="3"/>
  <c r="O41" i="3"/>
  <c r="P41" i="3"/>
  <c r="Q41" i="3" a="1"/>
  <c r="R41" i="3"/>
  <c r="S41" i="3"/>
  <c r="T41" i="3"/>
  <c r="U41" i="3"/>
  <c r="V41" i="3" a="1"/>
  <c r="W41" i="3" a="1"/>
  <c r="X41" i="3"/>
  <c r="Y41" i="3"/>
  <c r="Z41" i="3"/>
  <c r="AA41" i="3"/>
  <c r="AB41" i="3" a="1"/>
  <c r="AC41" i="3"/>
  <c r="AD41" i="3" a="1"/>
  <c r="AE41" i="3"/>
  <c r="AG41" i="3"/>
  <c r="AH41" i="3"/>
  <c r="AI41" i="3"/>
  <c r="AJ41" i="3"/>
  <c r="AK41" i="3"/>
  <c r="AL41" i="3"/>
  <c r="AM41" i="3"/>
  <c r="AN41" i="3"/>
  <c r="AO41" i="3"/>
  <c r="AP41" i="3"/>
  <c r="AQ41" i="3" a="1"/>
  <c r="AR41" i="3" a="1"/>
  <c r="AS41" i="3"/>
  <c r="AT41" i="3" a="1"/>
  <c r="AU41" i="3"/>
  <c r="AV41" i="3" a="1"/>
  <c r="AW41" i="3"/>
  <c r="AX41" i="3"/>
  <c r="AY41" i="3"/>
  <c r="AZ41" i="3"/>
  <c r="BA41" i="3"/>
  <c r="BB41" i="3"/>
  <c r="BC41" i="3"/>
  <c r="BD41" i="3"/>
  <c r="BE41" i="3" a="1"/>
  <c r="BF41" i="3"/>
  <c r="BG41" i="3"/>
  <c r="BH41" i="3" a="1"/>
  <c r="BI41" i="3"/>
  <c r="BJ41" i="3" a="1"/>
  <c r="BK41" i="3" a="1"/>
  <c r="BL41" i="3"/>
  <c r="BM41" i="3"/>
  <c r="B42" i="3"/>
  <c r="C42" i="3"/>
  <c r="D42" i="3"/>
  <c r="E42" i="3"/>
  <c r="F42" i="3"/>
  <c r="G42" i="3"/>
  <c r="H42" i="3"/>
  <c r="I42" i="3"/>
  <c r="J42" i="3"/>
  <c r="K42" i="3"/>
  <c r="L42" i="3"/>
  <c r="M42" i="3" a="1"/>
  <c r="N42" i="3"/>
  <c r="O42" i="3"/>
  <c r="P42" i="3"/>
  <c r="Q42" i="3" a="1"/>
  <c r="R42" i="3"/>
  <c r="S42" i="3"/>
  <c r="T42" i="3"/>
  <c r="U42" i="3"/>
  <c r="V42" i="3" a="1"/>
  <c r="W42" i="3" a="1"/>
  <c r="X42" i="3"/>
  <c r="Y42" i="3"/>
  <c r="Z42" i="3"/>
  <c r="AA42" i="3"/>
  <c r="AB42" i="3" a="1"/>
  <c r="AC42" i="3"/>
  <c r="AD42" i="3" a="1"/>
  <c r="AE42" i="3"/>
  <c r="AG42" i="3"/>
  <c r="AH42" i="3"/>
  <c r="AI42" i="3"/>
  <c r="AJ42" i="3"/>
  <c r="AK42" i="3"/>
  <c r="AL42" i="3"/>
  <c r="AM42" i="3"/>
  <c r="AN42" i="3"/>
  <c r="AO42" i="3"/>
  <c r="AP42" i="3"/>
  <c r="AQ42" i="3" a="1"/>
  <c r="AR42" i="3" a="1"/>
  <c r="AS42" i="3"/>
  <c r="AT42" i="3" a="1"/>
  <c r="AU42" i="3"/>
  <c r="AV42" i="3" a="1"/>
  <c r="AW42" i="3"/>
  <c r="AX42" i="3"/>
  <c r="AY42" i="3"/>
  <c r="AZ42" i="3"/>
  <c r="BA42" i="3"/>
  <c r="BB42" i="3"/>
  <c r="BC42" i="3"/>
  <c r="BD42" i="3"/>
  <c r="BE42" i="3" a="1"/>
  <c r="BF42" i="3"/>
  <c r="BG42" i="3"/>
  <c r="BH42" i="3" a="1"/>
  <c r="BI42" i="3"/>
  <c r="BJ42" i="3" a="1"/>
  <c r="BK42" i="3" a="1"/>
  <c r="BL42" i="3"/>
  <c r="BM42" i="3"/>
  <c r="B43" i="3"/>
  <c r="C43" i="3"/>
  <c r="D43" i="3"/>
  <c r="E43" i="3"/>
  <c r="F43" i="3"/>
  <c r="G43" i="3"/>
  <c r="H43" i="3"/>
  <c r="I43" i="3"/>
  <c r="J43" i="3"/>
  <c r="K43" i="3"/>
  <c r="L43" i="3"/>
  <c r="M43" i="3" a="1"/>
  <c r="N43" i="3"/>
  <c r="O43" i="3"/>
  <c r="P43" i="3"/>
  <c r="Q43" i="3" a="1"/>
  <c r="R43" i="3"/>
  <c r="S43" i="3"/>
  <c r="T43" i="3"/>
  <c r="U43" i="3"/>
  <c r="V43" i="3" a="1"/>
  <c r="W43" i="3" a="1"/>
  <c r="X43" i="3"/>
  <c r="Y43" i="3"/>
  <c r="Z43" i="3"/>
  <c r="AA43" i="3"/>
  <c r="AB43" i="3" a="1"/>
  <c r="AC43" i="3"/>
  <c r="AD43" i="3" a="1"/>
  <c r="AE43" i="3"/>
  <c r="AG43" i="3"/>
  <c r="AH43" i="3"/>
  <c r="AI43" i="3"/>
  <c r="AJ43" i="3"/>
  <c r="AK43" i="3"/>
  <c r="AL43" i="3"/>
  <c r="AM43" i="3"/>
  <c r="AN43" i="3"/>
  <c r="AO43" i="3"/>
  <c r="AP43" i="3"/>
  <c r="AQ43" i="3" a="1"/>
  <c r="AR43" i="3" a="1"/>
  <c r="AS43" i="3"/>
  <c r="AT43" i="3" a="1"/>
  <c r="AU43" i="3"/>
  <c r="AV43" i="3" a="1"/>
  <c r="AW43" i="3"/>
  <c r="AX43" i="3"/>
  <c r="AY43" i="3"/>
  <c r="AZ43" i="3"/>
  <c r="BA43" i="3"/>
  <c r="BB43" i="3"/>
  <c r="BC43" i="3"/>
  <c r="BD43" i="3"/>
  <c r="BE43" i="3" a="1"/>
  <c r="BF43" i="3"/>
  <c r="BG43" i="3"/>
  <c r="BH43" i="3" a="1"/>
  <c r="BI43" i="3"/>
  <c r="BJ43" i="3" a="1"/>
  <c r="BK43" i="3" a="1"/>
  <c r="BL43" i="3"/>
  <c r="BM43" i="3"/>
  <c r="B44" i="3"/>
  <c r="C44" i="3"/>
  <c r="D44" i="3"/>
  <c r="E44" i="3"/>
  <c r="F44" i="3"/>
  <c r="G44" i="3"/>
  <c r="H44" i="3"/>
  <c r="I44" i="3"/>
  <c r="J44" i="3"/>
  <c r="K44" i="3"/>
  <c r="L44" i="3"/>
  <c r="M44" i="3" a="1"/>
  <c r="N44" i="3"/>
  <c r="O44" i="3"/>
  <c r="P44" i="3"/>
  <c r="Q44" i="3" a="1"/>
  <c r="R44" i="3"/>
  <c r="S44" i="3"/>
  <c r="T44" i="3"/>
  <c r="U44" i="3"/>
  <c r="V44" i="3" a="1"/>
  <c r="W44" i="3" a="1"/>
  <c r="X44" i="3"/>
  <c r="Y44" i="3"/>
  <c r="Z44" i="3"/>
  <c r="AA44" i="3"/>
  <c r="AB44" i="3" a="1"/>
  <c r="AC44" i="3"/>
  <c r="AD44" i="3" a="1"/>
  <c r="AE44" i="3"/>
  <c r="AG44" i="3"/>
  <c r="AH44" i="3"/>
  <c r="AI44" i="3"/>
  <c r="AJ44" i="3"/>
  <c r="AK44" i="3"/>
  <c r="AL44" i="3"/>
  <c r="AM44" i="3"/>
  <c r="AN44" i="3"/>
  <c r="AO44" i="3"/>
  <c r="AP44" i="3"/>
  <c r="AQ44" i="3" a="1"/>
  <c r="AR44" i="3" a="1"/>
  <c r="AS44" i="3"/>
  <c r="AT44" i="3" a="1"/>
  <c r="AU44" i="3"/>
  <c r="AV44" i="3" a="1"/>
  <c r="AW44" i="3"/>
  <c r="AX44" i="3"/>
  <c r="AY44" i="3"/>
  <c r="AZ44" i="3"/>
  <c r="BA44" i="3"/>
  <c r="BB44" i="3"/>
  <c r="BC44" i="3"/>
  <c r="BD44" i="3"/>
  <c r="BE44" i="3" a="1"/>
  <c r="BF44" i="3"/>
  <c r="BG44" i="3"/>
  <c r="BH44" i="3" a="1"/>
  <c r="BI44" i="3"/>
  <c r="BJ44" i="3" a="1"/>
  <c r="BK44" i="3" a="1"/>
  <c r="BL44" i="3"/>
  <c r="BM44" i="3"/>
  <c r="B45" i="3"/>
  <c r="C45" i="3"/>
  <c r="D45" i="3"/>
  <c r="E45" i="3"/>
  <c r="F45" i="3"/>
  <c r="G45" i="3"/>
  <c r="H45" i="3"/>
  <c r="I45" i="3"/>
  <c r="J45" i="3"/>
  <c r="K45" i="3"/>
  <c r="L45" i="3"/>
  <c r="M45" i="3" a="1"/>
  <c r="N45" i="3"/>
  <c r="O45" i="3"/>
  <c r="P45" i="3"/>
  <c r="Q45" i="3" a="1"/>
  <c r="R45" i="3"/>
  <c r="S45" i="3"/>
  <c r="T45" i="3"/>
  <c r="U45" i="3"/>
  <c r="V45" i="3" a="1"/>
  <c r="W45" i="3" a="1"/>
  <c r="X45" i="3"/>
  <c r="Y45" i="3"/>
  <c r="Z45" i="3"/>
  <c r="AA45" i="3"/>
  <c r="AB45" i="3" a="1"/>
  <c r="AC45" i="3"/>
  <c r="AD45" i="3" a="1"/>
  <c r="AE45" i="3"/>
  <c r="AG45" i="3"/>
  <c r="AH45" i="3"/>
  <c r="AI45" i="3"/>
  <c r="AJ45" i="3"/>
  <c r="AK45" i="3"/>
  <c r="AL45" i="3"/>
  <c r="AM45" i="3"/>
  <c r="AN45" i="3"/>
  <c r="AO45" i="3"/>
  <c r="AP45" i="3"/>
  <c r="AQ45" i="3" a="1"/>
  <c r="AR45" i="3" a="1"/>
  <c r="AS45" i="3"/>
  <c r="AT45" i="3" a="1"/>
  <c r="AU45" i="3"/>
  <c r="AV45" i="3" a="1"/>
  <c r="AW45" i="3"/>
  <c r="AX45" i="3"/>
  <c r="AY45" i="3"/>
  <c r="AZ45" i="3"/>
  <c r="BA45" i="3"/>
  <c r="BB45" i="3"/>
  <c r="BC45" i="3"/>
  <c r="BD45" i="3"/>
  <c r="BE45" i="3" a="1"/>
  <c r="BF45" i="3"/>
  <c r="BG45" i="3"/>
  <c r="BH45" i="3" a="1"/>
  <c r="BI45" i="3"/>
  <c r="BJ45" i="3" a="1"/>
  <c r="BK45" i="3" a="1"/>
  <c r="BL45" i="3"/>
  <c r="BM45" i="3"/>
  <c r="B46" i="3"/>
  <c r="C46" i="3"/>
  <c r="D46" i="3"/>
  <c r="E46" i="3"/>
  <c r="F46" i="3"/>
  <c r="G46" i="3"/>
  <c r="H46" i="3"/>
  <c r="I46" i="3"/>
  <c r="J46" i="3"/>
  <c r="K46" i="3"/>
  <c r="L46" i="3"/>
  <c r="M46" i="3" a="1"/>
  <c r="N46" i="3"/>
  <c r="O46" i="3"/>
  <c r="P46" i="3"/>
  <c r="Q46" i="3" a="1"/>
  <c r="R46" i="3"/>
  <c r="S46" i="3"/>
  <c r="T46" i="3"/>
  <c r="U46" i="3"/>
  <c r="V46" i="3" a="1"/>
  <c r="W46" i="3" a="1"/>
  <c r="X46" i="3"/>
  <c r="Y46" i="3"/>
  <c r="Z46" i="3"/>
  <c r="AA46" i="3"/>
  <c r="AB46" i="3" a="1"/>
  <c r="AC46" i="3"/>
  <c r="AD46" i="3" a="1"/>
  <c r="AE46" i="3"/>
  <c r="AG46" i="3"/>
  <c r="AH46" i="3"/>
  <c r="AI46" i="3"/>
  <c r="AJ46" i="3"/>
  <c r="AK46" i="3"/>
  <c r="AL46" i="3"/>
  <c r="AM46" i="3"/>
  <c r="AN46" i="3"/>
  <c r="AO46" i="3"/>
  <c r="AP46" i="3"/>
  <c r="AQ46" i="3" a="1"/>
  <c r="AR46" i="3" a="1"/>
  <c r="AS46" i="3"/>
  <c r="AT46" i="3" a="1"/>
  <c r="AU46" i="3"/>
  <c r="AV46" i="3" a="1"/>
  <c r="AW46" i="3"/>
  <c r="AX46" i="3"/>
  <c r="AY46" i="3"/>
  <c r="AZ46" i="3"/>
  <c r="BA46" i="3"/>
  <c r="BB46" i="3"/>
  <c r="BC46" i="3"/>
  <c r="BD46" i="3"/>
  <c r="BE46" i="3" a="1"/>
  <c r="BF46" i="3"/>
  <c r="BG46" i="3"/>
  <c r="BH46" i="3" a="1"/>
  <c r="BI46" i="3"/>
  <c r="BJ46" i="3" a="1"/>
  <c r="BK46" i="3" a="1"/>
  <c r="BL46" i="3"/>
  <c r="BM46" i="3"/>
  <c r="B47" i="3"/>
  <c r="C47" i="3"/>
  <c r="D47" i="3"/>
  <c r="E47" i="3"/>
  <c r="F47" i="3"/>
  <c r="G47" i="3"/>
  <c r="H47" i="3"/>
  <c r="I47" i="3"/>
  <c r="J47" i="3"/>
  <c r="K47" i="3"/>
  <c r="L47" i="3"/>
  <c r="M47" i="3" a="1"/>
  <c r="N47" i="3"/>
  <c r="O47" i="3"/>
  <c r="P47" i="3"/>
  <c r="Q47" i="3" a="1"/>
  <c r="R47" i="3"/>
  <c r="S47" i="3"/>
  <c r="T47" i="3"/>
  <c r="U47" i="3"/>
  <c r="V47" i="3" a="1"/>
  <c r="W47" i="3" a="1"/>
  <c r="X47" i="3"/>
  <c r="Y47" i="3"/>
  <c r="Z47" i="3"/>
  <c r="AA47" i="3"/>
  <c r="AB47" i="3" a="1"/>
  <c r="AC47" i="3"/>
  <c r="AD47" i="3" a="1"/>
  <c r="AE47" i="3"/>
  <c r="AG47" i="3"/>
  <c r="AH47" i="3"/>
  <c r="AI47" i="3"/>
  <c r="AJ47" i="3"/>
  <c r="AK47" i="3"/>
  <c r="AL47" i="3"/>
  <c r="AM47" i="3"/>
  <c r="AN47" i="3"/>
  <c r="AO47" i="3"/>
  <c r="AP47" i="3"/>
  <c r="AQ47" i="3" a="1"/>
  <c r="AR47" i="3" a="1"/>
  <c r="AS47" i="3"/>
  <c r="AT47" i="3" a="1"/>
  <c r="AU47" i="3"/>
  <c r="AV47" i="3" a="1"/>
  <c r="AW47" i="3"/>
  <c r="AX47" i="3"/>
  <c r="AY47" i="3"/>
  <c r="AZ47" i="3"/>
  <c r="BA47" i="3"/>
  <c r="BB47" i="3"/>
  <c r="BC47" i="3"/>
  <c r="BD47" i="3"/>
  <c r="BE47" i="3" a="1"/>
  <c r="BF47" i="3"/>
  <c r="BG47" i="3"/>
  <c r="BH47" i="3" a="1"/>
  <c r="BI47" i="3"/>
  <c r="BJ47" i="3" a="1"/>
  <c r="BK47" i="3" a="1"/>
  <c r="BL47" i="3"/>
  <c r="BM47" i="3"/>
  <c r="B48" i="3"/>
  <c r="C48" i="3"/>
  <c r="D48" i="3"/>
  <c r="E48" i="3"/>
  <c r="F48" i="3"/>
  <c r="G48" i="3"/>
  <c r="H48" i="3"/>
  <c r="I48" i="3"/>
  <c r="J48" i="3"/>
  <c r="K48" i="3"/>
  <c r="L48" i="3"/>
  <c r="M48" i="3" a="1"/>
  <c r="N48" i="3"/>
  <c r="O48" i="3"/>
  <c r="P48" i="3"/>
  <c r="Q48" i="3" a="1"/>
  <c r="R48" i="3"/>
  <c r="S48" i="3"/>
  <c r="T48" i="3"/>
  <c r="U48" i="3"/>
  <c r="V48" i="3" a="1"/>
  <c r="W48" i="3" a="1"/>
  <c r="X48" i="3"/>
  <c r="Y48" i="3"/>
  <c r="Z48" i="3"/>
  <c r="AA48" i="3"/>
  <c r="AB48" i="3" a="1"/>
  <c r="AC48" i="3"/>
  <c r="AD48" i="3" a="1"/>
  <c r="AE48" i="3"/>
  <c r="AG48" i="3"/>
  <c r="AH48" i="3"/>
  <c r="AI48" i="3"/>
  <c r="AJ48" i="3"/>
  <c r="AK48" i="3"/>
  <c r="AL48" i="3"/>
  <c r="AM48" i="3"/>
  <c r="AN48" i="3"/>
  <c r="AO48" i="3"/>
  <c r="AP48" i="3"/>
  <c r="AQ48" i="3" a="1"/>
  <c r="AR48" i="3" a="1"/>
  <c r="AS48" i="3"/>
  <c r="AT48" i="3" a="1"/>
  <c r="AU48" i="3"/>
  <c r="AV48" i="3" a="1"/>
  <c r="AW48" i="3"/>
  <c r="AX48" i="3"/>
  <c r="AY48" i="3"/>
  <c r="AZ48" i="3"/>
  <c r="BA48" i="3"/>
  <c r="BB48" i="3"/>
  <c r="BC48" i="3"/>
  <c r="BD48" i="3"/>
  <c r="BE48" i="3" a="1"/>
  <c r="BF48" i="3"/>
  <c r="BG48" i="3"/>
  <c r="BH48" i="3" a="1"/>
  <c r="BI48" i="3"/>
  <c r="BJ48" i="3" a="1"/>
  <c r="BK48" i="3" a="1"/>
  <c r="BL48" i="3"/>
  <c r="BM48" i="3"/>
  <c r="B49" i="3"/>
  <c r="C49" i="3"/>
  <c r="D49" i="3"/>
  <c r="E49" i="3"/>
  <c r="F49" i="3"/>
  <c r="G49" i="3"/>
  <c r="H49" i="3"/>
  <c r="I49" i="3"/>
  <c r="J49" i="3"/>
  <c r="K49" i="3"/>
  <c r="L49" i="3"/>
  <c r="M49" i="3" a="1"/>
  <c r="N49" i="3"/>
  <c r="O49" i="3"/>
  <c r="P49" i="3"/>
  <c r="Q49" i="3" a="1"/>
  <c r="R49" i="3"/>
  <c r="S49" i="3"/>
  <c r="T49" i="3"/>
  <c r="U49" i="3"/>
  <c r="V49" i="3" a="1"/>
  <c r="W49" i="3" a="1"/>
  <c r="X49" i="3"/>
  <c r="Y49" i="3"/>
  <c r="Z49" i="3"/>
  <c r="AA49" i="3"/>
  <c r="AB49" i="3" a="1"/>
  <c r="AC49" i="3"/>
  <c r="AD49" i="3" a="1"/>
  <c r="AE49" i="3"/>
  <c r="AG49" i="3"/>
  <c r="AH49" i="3"/>
  <c r="AI49" i="3"/>
  <c r="AJ49" i="3"/>
  <c r="AK49" i="3"/>
  <c r="AL49" i="3"/>
  <c r="AM49" i="3"/>
  <c r="AN49" i="3"/>
  <c r="AO49" i="3"/>
  <c r="AP49" i="3"/>
  <c r="AQ49" i="3" a="1"/>
  <c r="AR49" i="3" a="1"/>
  <c r="AS49" i="3"/>
  <c r="AT49" i="3" a="1"/>
  <c r="AU49" i="3"/>
  <c r="AV49" i="3" a="1"/>
  <c r="AW49" i="3"/>
  <c r="AX49" i="3"/>
  <c r="AY49" i="3"/>
  <c r="AZ49" i="3"/>
  <c r="BA49" i="3"/>
  <c r="BB49" i="3"/>
  <c r="BC49" i="3"/>
  <c r="BD49" i="3"/>
  <c r="BE49" i="3" a="1"/>
  <c r="BF49" i="3"/>
  <c r="BG49" i="3"/>
  <c r="BH49" i="3" a="1"/>
  <c r="BI49" i="3"/>
  <c r="BJ49" i="3" a="1"/>
  <c r="BK49" i="3" a="1"/>
  <c r="BL49" i="3"/>
  <c r="BM49" i="3"/>
  <c r="B50" i="3"/>
  <c r="C50" i="3"/>
  <c r="D50" i="3"/>
  <c r="E50" i="3"/>
  <c r="F50" i="3"/>
  <c r="G50" i="3"/>
  <c r="H50" i="3"/>
  <c r="I50" i="3"/>
  <c r="J50" i="3"/>
  <c r="K50" i="3"/>
  <c r="L50" i="3"/>
  <c r="M50" i="3" a="1"/>
  <c r="N50" i="3"/>
  <c r="O50" i="3"/>
  <c r="P50" i="3"/>
  <c r="Q50" i="3" a="1"/>
  <c r="R50" i="3"/>
  <c r="S50" i="3"/>
  <c r="T50" i="3"/>
  <c r="U50" i="3"/>
  <c r="V50" i="3" a="1"/>
  <c r="W50" i="3" a="1"/>
  <c r="X50" i="3"/>
  <c r="Y50" i="3"/>
  <c r="Z50" i="3"/>
  <c r="AA50" i="3"/>
  <c r="AB50" i="3" a="1"/>
  <c r="AC50" i="3"/>
  <c r="AD50" i="3" a="1"/>
  <c r="AE50" i="3"/>
  <c r="AG50" i="3"/>
  <c r="AH50" i="3"/>
  <c r="AI50" i="3"/>
  <c r="AJ50" i="3"/>
  <c r="AK50" i="3"/>
  <c r="AL50" i="3"/>
  <c r="AM50" i="3"/>
  <c r="AN50" i="3"/>
  <c r="AO50" i="3"/>
  <c r="AP50" i="3"/>
  <c r="AQ50" i="3" a="1"/>
  <c r="AR50" i="3" a="1"/>
  <c r="AS50" i="3"/>
  <c r="AT50" i="3" a="1"/>
  <c r="AU50" i="3"/>
  <c r="AV50" i="3" a="1"/>
  <c r="AW50" i="3"/>
  <c r="AX50" i="3"/>
  <c r="AY50" i="3"/>
  <c r="AZ50" i="3"/>
  <c r="BA50" i="3"/>
  <c r="BB50" i="3"/>
  <c r="BC50" i="3"/>
  <c r="BD50" i="3"/>
  <c r="BE50" i="3" a="1"/>
  <c r="BF50" i="3"/>
  <c r="BG50" i="3"/>
  <c r="BH50" i="3" a="1"/>
  <c r="BI50" i="3"/>
  <c r="BJ50" i="3" a="1"/>
  <c r="BK50" i="3" a="1"/>
  <c r="BL50" i="3"/>
  <c r="BM50" i="3"/>
  <c r="B51" i="3"/>
  <c r="C51" i="3"/>
  <c r="D51" i="3"/>
  <c r="E51" i="3"/>
  <c r="F51" i="3"/>
  <c r="G51" i="3"/>
  <c r="H51" i="3"/>
  <c r="I51" i="3"/>
  <c r="J51" i="3"/>
  <c r="K51" i="3"/>
  <c r="L51" i="3"/>
  <c r="M51" i="3" a="1"/>
  <c r="N51" i="3"/>
  <c r="O51" i="3"/>
  <c r="P51" i="3"/>
  <c r="Q51" i="3" a="1"/>
  <c r="R51" i="3"/>
  <c r="S51" i="3"/>
  <c r="T51" i="3"/>
  <c r="U51" i="3"/>
  <c r="V51" i="3" a="1"/>
  <c r="W51" i="3" a="1"/>
  <c r="X51" i="3"/>
  <c r="Y51" i="3"/>
  <c r="Z51" i="3"/>
  <c r="AA51" i="3"/>
  <c r="AB51" i="3" a="1"/>
  <c r="AC51" i="3"/>
  <c r="AD51" i="3" a="1"/>
  <c r="AE51" i="3"/>
  <c r="AG51" i="3"/>
  <c r="AH51" i="3"/>
  <c r="AI51" i="3"/>
  <c r="AJ51" i="3"/>
  <c r="AK51" i="3"/>
  <c r="AL51" i="3"/>
  <c r="AM51" i="3"/>
  <c r="AN51" i="3"/>
  <c r="AO51" i="3"/>
  <c r="AP51" i="3"/>
  <c r="AQ51" i="3" a="1"/>
  <c r="AR51" i="3" a="1"/>
  <c r="AS51" i="3"/>
  <c r="AT51" i="3" a="1"/>
  <c r="AU51" i="3"/>
  <c r="AV51" i="3" a="1"/>
  <c r="AW51" i="3"/>
  <c r="AX51" i="3"/>
  <c r="AY51" i="3"/>
  <c r="AZ51" i="3"/>
  <c r="BA51" i="3"/>
  <c r="BB51" i="3"/>
  <c r="BC51" i="3"/>
  <c r="BD51" i="3"/>
  <c r="BE51" i="3" a="1"/>
  <c r="BF51" i="3"/>
  <c r="BG51" i="3"/>
  <c r="BH51" i="3" a="1"/>
  <c r="BI51" i="3"/>
  <c r="BJ51" i="3" a="1"/>
  <c r="BK51" i="3" a="1"/>
  <c r="BL51" i="3"/>
  <c r="BM51" i="3"/>
  <c r="B52" i="3"/>
  <c r="C52" i="3"/>
  <c r="D52" i="3"/>
  <c r="E52" i="3"/>
  <c r="F52" i="3"/>
  <c r="G52" i="3"/>
  <c r="H52" i="3"/>
  <c r="I52" i="3"/>
  <c r="J52" i="3"/>
  <c r="K52" i="3"/>
  <c r="L52" i="3"/>
  <c r="M52" i="3" a="1"/>
  <c r="N52" i="3"/>
  <c r="O52" i="3"/>
  <c r="P52" i="3"/>
  <c r="Q52" i="3" a="1"/>
  <c r="R52" i="3"/>
  <c r="S52" i="3"/>
  <c r="T52" i="3"/>
  <c r="U52" i="3"/>
  <c r="V52" i="3" a="1"/>
  <c r="W52" i="3" a="1"/>
  <c r="X52" i="3"/>
  <c r="Y52" i="3"/>
  <c r="Z52" i="3"/>
  <c r="AA52" i="3"/>
  <c r="AB52" i="3" a="1"/>
  <c r="AC52" i="3"/>
  <c r="AD52" i="3" a="1"/>
  <c r="AE52" i="3"/>
  <c r="AG52" i="3"/>
  <c r="AH52" i="3"/>
  <c r="AI52" i="3"/>
  <c r="AJ52" i="3"/>
  <c r="AK52" i="3"/>
  <c r="AL52" i="3"/>
  <c r="AM52" i="3"/>
  <c r="AN52" i="3"/>
  <c r="AO52" i="3"/>
  <c r="AP52" i="3"/>
  <c r="AQ52" i="3" a="1"/>
  <c r="AR52" i="3" a="1"/>
  <c r="AS52" i="3"/>
  <c r="AT52" i="3" a="1"/>
  <c r="AU52" i="3"/>
  <c r="AV52" i="3" a="1"/>
  <c r="AW52" i="3"/>
  <c r="AX52" i="3"/>
  <c r="AY52" i="3"/>
  <c r="AZ52" i="3"/>
  <c r="BA52" i="3"/>
  <c r="BB52" i="3"/>
  <c r="BC52" i="3"/>
  <c r="BD52" i="3"/>
  <c r="BE52" i="3" a="1"/>
  <c r="BF52" i="3"/>
  <c r="BG52" i="3"/>
  <c r="BH52" i="3" a="1"/>
  <c r="BI52" i="3"/>
  <c r="BJ52" i="3" a="1"/>
  <c r="BK52" i="3" a="1"/>
  <c r="BL52" i="3"/>
  <c r="BM52" i="3"/>
  <c r="B53" i="3"/>
  <c r="C53" i="3"/>
  <c r="D53" i="3"/>
  <c r="E53" i="3"/>
  <c r="F53" i="3"/>
  <c r="G53" i="3"/>
  <c r="H53" i="3"/>
  <c r="I53" i="3"/>
  <c r="J53" i="3"/>
  <c r="K53" i="3"/>
  <c r="L53" i="3"/>
  <c r="M53" i="3" a="1"/>
  <c r="N53" i="3"/>
  <c r="O53" i="3"/>
  <c r="P53" i="3"/>
  <c r="Q53" i="3" a="1"/>
  <c r="R53" i="3"/>
  <c r="S53" i="3"/>
  <c r="T53" i="3"/>
  <c r="U53" i="3"/>
  <c r="V53" i="3" a="1"/>
  <c r="W53" i="3" a="1"/>
  <c r="X53" i="3"/>
  <c r="Y53" i="3"/>
  <c r="Z53" i="3"/>
  <c r="AA53" i="3"/>
  <c r="AB53" i="3" a="1"/>
  <c r="AC53" i="3"/>
  <c r="AD53" i="3" a="1"/>
  <c r="AE53" i="3"/>
  <c r="AG53" i="3"/>
  <c r="AH53" i="3"/>
  <c r="AI53" i="3"/>
  <c r="AJ53" i="3"/>
  <c r="AK53" i="3"/>
  <c r="AL53" i="3"/>
  <c r="AM53" i="3"/>
  <c r="AN53" i="3"/>
  <c r="AO53" i="3"/>
  <c r="AP53" i="3"/>
  <c r="AQ53" i="3" a="1"/>
  <c r="AR53" i="3" a="1"/>
  <c r="AS53" i="3"/>
  <c r="AT53" i="3" a="1"/>
  <c r="AU53" i="3"/>
  <c r="AV53" i="3" a="1"/>
  <c r="AW53" i="3"/>
  <c r="AX53" i="3"/>
  <c r="AY53" i="3"/>
  <c r="AZ53" i="3"/>
  <c r="BA53" i="3"/>
  <c r="BB53" i="3"/>
  <c r="BC53" i="3"/>
  <c r="BD53" i="3"/>
  <c r="BE53" i="3" a="1"/>
  <c r="BF53" i="3"/>
  <c r="BG53" i="3"/>
  <c r="BH53" i="3" a="1"/>
  <c r="BI53" i="3"/>
  <c r="BJ53" i="3" a="1"/>
  <c r="BK53" i="3" a="1"/>
  <c r="BL53" i="3"/>
  <c r="BM53" i="3"/>
  <c r="B54" i="3"/>
  <c r="C54" i="3"/>
  <c r="D54" i="3"/>
  <c r="E54" i="3"/>
  <c r="F54" i="3"/>
  <c r="G54" i="3"/>
  <c r="H54" i="3"/>
  <c r="I54" i="3"/>
  <c r="J54" i="3"/>
  <c r="K54" i="3"/>
  <c r="L54" i="3"/>
  <c r="M54" i="3" a="1"/>
  <c r="N54" i="3"/>
  <c r="O54" i="3"/>
  <c r="P54" i="3"/>
  <c r="Q54" i="3" a="1"/>
  <c r="R54" i="3"/>
  <c r="S54" i="3"/>
  <c r="T54" i="3"/>
  <c r="U54" i="3"/>
  <c r="V54" i="3" a="1"/>
  <c r="W54" i="3" a="1"/>
  <c r="X54" i="3"/>
  <c r="Y54" i="3"/>
  <c r="Z54" i="3"/>
  <c r="AA54" i="3"/>
  <c r="AB54" i="3" a="1"/>
  <c r="AC54" i="3"/>
  <c r="AD54" i="3" a="1"/>
  <c r="AE54" i="3"/>
  <c r="AG54" i="3"/>
  <c r="AH54" i="3"/>
  <c r="AI54" i="3"/>
  <c r="AJ54" i="3"/>
  <c r="AK54" i="3"/>
  <c r="AL54" i="3"/>
  <c r="AM54" i="3"/>
  <c r="AN54" i="3"/>
  <c r="AO54" i="3"/>
  <c r="AP54" i="3"/>
  <c r="AQ54" i="3" a="1"/>
  <c r="AR54" i="3" a="1"/>
  <c r="AS54" i="3"/>
  <c r="AT54" i="3" a="1"/>
  <c r="AU54" i="3"/>
  <c r="AV54" i="3" a="1"/>
  <c r="AW54" i="3"/>
  <c r="AX54" i="3"/>
  <c r="AY54" i="3"/>
  <c r="AZ54" i="3"/>
  <c r="BA54" i="3"/>
  <c r="BB54" i="3"/>
  <c r="BC54" i="3"/>
  <c r="BD54" i="3"/>
  <c r="BE54" i="3" a="1"/>
  <c r="BF54" i="3"/>
  <c r="BG54" i="3"/>
  <c r="BH54" i="3" a="1"/>
  <c r="BI54" i="3"/>
  <c r="BJ54" i="3" a="1"/>
  <c r="BK54" i="3" a="1"/>
  <c r="BL54" i="3"/>
  <c r="BM54" i="3"/>
  <c r="B55" i="3"/>
  <c r="C55" i="3"/>
  <c r="D55" i="3"/>
  <c r="E55" i="3"/>
  <c r="F55" i="3"/>
  <c r="G55" i="3"/>
  <c r="H55" i="3"/>
  <c r="I55" i="3"/>
  <c r="J55" i="3"/>
  <c r="K55" i="3"/>
  <c r="L55" i="3"/>
  <c r="M55" i="3" a="1"/>
  <c r="N55" i="3"/>
  <c r="O55" i="3"/>
  <c r="P55" i="3"/>
  <c r="Q55" i="3" a="1"/>
  <c r="R55" i="3"/>
  <c r="S55" i="3"/>
  <c r="T55" i="3"/>
  <c r="U55" i="3"/>
  <c r="V55" i="3" a="1"/>
  <c r="W55" i="3" a="1"/>
  <c r="X55" i="3"/>
  <c r="Y55" i="3"/>
  <c r="Z55" i="3"/>
  <c r="AA55" i="3"/>
  <c r="AB55" i="3" a="1"/>
  <c r="AC55" i="3"/>
  <c r="AD55" i="3" a="1"/>
  <c r="AE55" i="3"/>
  <c r="AG55" i="3"/>
  <c r="AH55" i="3"/>
  <c r="AI55" i="3"/>
  <c r="AJ55" i="3"/>
  <c r="AK55" i="3"/>
  <c r="AL55" i="3"/>
  <c r="AM55" i="3"/>
  <c r="AN55" i="3"/>
  <c r="AO55" i="3"/>
  <c r="AP55" i="3"/>
  <c r="AQ55" i="3" a="1"/>
  <c r="AR55" i="3" a="1"/>
  <c r="AS55" i="3"/>
  <c r="AT55" i="3" a="1"/>
  <c r="AU55" i="3"/>
  <c r="AV55" i="3" a="1"/>
  <c r="AW55" i="3"/>
  <c r="AX55" i="3"/>
  <c r="AY55" i="3"/>
  <c r="AZ55" i="3"/>
  <c r="BA55" i="3"/>
  <c r="BB55" i="3"/>
  <c r="BC55" i="3"/>
  <c r="BD55" i="3"/>
  <c r="BE55" i="3" a="1"/>
  <c r="BF55" i="3"/>
  <c r="BG55" i="3"/>
  <c r="BH55" i="3" a="1"/>
  <c r="BI55" i="3"/>
  <c r="BJ55" i="3" a="1"/>
  <c r="BK55" i="3" a="1"/>
  <c r="BL55" i="3"/>
  <c r="BM55" i="3"/>
  <c r="B56" i="3"/>
  <c r="C56" i="3"/>
  <c r="D56" i="3"/>
  <c r="E56" i="3"/>
  <c r="F56" i="3"/>
  <c r="G56" i="3"/>
  <c r="H56" i="3"/>
  <c r="I56" i="3"/>
  <c r="J56" i="3"/>
  <c r="K56" i="3"/>
  <c r="L56" i="3"/>
  <c r="M56" i="3" a="1"/>
  <c r="N56" i="3"/>
  <c r="O56" i="3"/>
  <c r="P56" i="3"/>
  <c r="Q56" i="3" a="1"/>
  <c r="R56" i="3"/>
  <c r="S56" i="3"/>
  <c r="T56" i="3"/>
  <c r="U56" i="3"/>
  <c r="V56" i="3" a="1"/>
  <c r="W56" i="3" a="1"/>
  <c r="X56" i="3"/>
  <c r="Y56" i="3"/>
  <c r="Z56" i="3"/>
  <c r="AA56" i="3"/>
  <c r="AB56" i="3" a="1"/>
  <c r="AC56" i="3"/>
  <c r="AD56" i="3" a="1"/>
  <c r="AE56" i="3"/>
  <c r="AG56" i="3"/>
  <c r="AH56" i="3"/>
  <c r="AI56" i="3"/>
  <c r="AJ56" i="3"/>
  <c r="AK56" i="3"/>
  <c r="AL56" i="3"/>
  <c r="AM56" i="3"/>
  <c r="AN56" i="3"/>
  <c r="AO56" i="3"/>
  <c r="AP56" i="3"/>
  <c r="AQ56" i="3" a="1"/>
  <c r="AR56" i="3" a="1"/>
  <c r="AS56" i="3"/>
  <c r="AT56" i="3" a="1"/>
  <c r="AU56" i="3"/>
  <c r="AV56" i="3" a="1"/>
  <c r="AW56" i="3"/>
  <c r="AX56" i="3"/>
  <c r="AY56" i="3"/>
  <c r="AZ56" i="3"/>
  <c r="BA56" i="3"/>
  <c r="BB56" i="3"/>
  <c r="BC56" i="3"/>
  <c r="BD56" i="3"/>
  <c r="BE56" i="3" a="1"/>
  <c r="BF56" i="3"/>
  <c r="BG56" i="3"/>
  <c r="BH56" i="3" a="1"/>
  <c r="BI56" i="3"/>
  <c r="BJ56" i="3" a="1"/>
  <c r="BK56" i="3" a="1"/>
  <c r="BL56" i="3"/>
  <c r="BM56" i="3"/>
  <c r="B57" i="3"/>
  <c r="C57" i="3"/>
  <c r="D57" i="3"/>
  <c r="E57" i="3"/>
  <c r="F57" i="3"/>
  <c r="G57" i="3"/>
  <c r="H57" i="3"/>
  <c r="I57" i="3"/>
  <c r="J57" i="3"/>
  <c r="K57" i="3"/>
  <c r="L57" i="3"/>
  <c r="M57" i="3" a="1"/>
  <c r="N57" i="3"/>
  <c r="O57" i="3"/>
  <c r="P57" i="3"/>
  <c r="Q57" i="3" a="1"/>
  <c r="R57" i="3"/>
  <c r="S57" i="3"/>
  <c r="T57" i="3"/>
  <c r="U57" i="3"/>
  <c r="V57" i="3" a="1"/>
  <c r="W57" i="3" a="1"/>
  <c r="X57" i="3"/>
  <c r="Y57" i="3"/>
  <c r="Z57" i="3"/>
  <c r="AA57" i="3"/>
  <c r="AB57" i="3" a="1"/>
  <c r="AC57" i="3"/>
  <c r="AD57" i="3" a="1"/>
  <c r="AE57" i="3"/>
  <c r="AG57" i="3"/>
  <c r="AH57" i="3"/>
  <c r="AI57" i="3"/>
  <c r="AJ57" i="3"/>
  <c r="AK57" i="3"/>
  <c r="AL57" i="3"/>
  <c r="AM57" i="3"/>
  <c r="AN57" i="3"/>
  <c r="AO57" i="3"/>
  <c r="AP57" i="3"/>
  <c r="AQ57" i="3" a="1"/>
  <c r="AR57" i="3" a="1"/>
  <c r="AS57" i="3"/>
  <c r="AT57" i="3" a="1"/>
  <c r="AU57" i="3"/>
  <c r="AV57" i="3" a="1"/>
  <c r="AW57" i="3"/>
  <c r="AX57" i="3"/>
  <c r="AY57" i="3"/>
  <c r="AZ57" i="3"/>
  <c r="BA57" i="3"/>
  <c r="BB57" i="3"/>
  <c r="BC57" i="3"/>
  <c r="BD57" i="3"/>
  <c r="BE57" i="3" a="1"/>
  <c r="BF57" i="3"/>
  <c r="BG57" i="3"/>
  <c r="BH57" i="3" a="1"/>
  <c r="BI57" i="3"/>
  <c r="BJ57" i="3" a="1"/>
  <c r="BK57" i="3" a="1"/>
  <c r="BL57" i="3"/>
  <c r="BM57" i="3"/>
  <c r="B58" i="3"/>
  <c r="C58" i="3"/>
  <c r="D58" i="3"/>
  <c r="E58" i="3"/>
  <c r="F58" i="3"/>
  <c r="G58" i="3"/>
  <c r="H58" i="3"/>
  <c r="I58" i="3"/>
  <c r="J58" i="3"/>
  <c r="K58" i="3"/>
  <c r="L58" i="3"/>
  <c r="M58" i="3" a="1"/>
  <c r="N58" i="3"/>
  <c r="O58" i="3"/>
  <c r="P58" i="3"/>
  <c r="Q58" i="3" a="1"/>
  <c r="R58" i="3"/>
  <c r="S58" i="3"/>
  <c r="T58" i="3"/>
  <c r="U58" i="3"/>
  <c r="V58" i="3" a="1"/>
  <c r="W58" i="3" a="1"/>
  <c r="X58" i="3"/>
  <c r="Y58" i="3"/>
  <c r="Z58" i="3"/>
  <c r="AA58" i="3"/>
  <c r="AB58" i="3" a="1"/>
  <c r="AC58" i="3"/>
  <c r="AD58" i="3" a="1"/>
  <c r="AE58" i="3"/>
  <c r="AG58" i="3"/>
  <c r="AH58" i="3"/>
  <c r="AI58" i="3"/>
  <c r="AJ58" i="3"/>
  <c r="AK58" i="3"/>
  <c r="AL58" i="3"/>
  <c r="AM58" i="3"/>
  <c r="AN58" i="3"/>
  <c r="AO58" i="3"/>
  <c r="AP58" i="3"/>
  <c r="AQ58" i="3" a="1"/>
  <c r="AR58" i="3" a="1"/>
  <c r="AS58" i="3"/>
  <c r="AT58" i="3" a="1"/>
  <c r="AU58" i="3"/>
  <c r="AV58" i="3" a="1"/>
  <c r="AW58" i="3"/>
  <c r="AX58" i="3"/>
  <c r="AY58" i="3"/>
  <c r="AZ58" i="3"/>
  <c r="BA58" i="3"/>
  <c r="BB58" i="3"/>
  <c r="BC58" i="3"/>
  <c r="BD58" i="3"/>
  <c r="BE58" i="3" a="1"/>
  <c r="BF58" i="3"/>
  <c r="BG58" i="3"/>
  <c r="BH58" i="3" a="1"/>
  <c r="BI58" i="3"/>
  <c r="BJ58" i="3" a="1"/>
  <c r="BK58" i="3" a="1"/>
  <c r="BL58" i="3"/>
  <c r="BM58" i="3"/>
  <c r="B59" i="3"/>
  <c r="C59" i="3"/>
  <c r="D59" i="3"/>
  <c r="E59" i="3"/>
  <c r="F59" i="3"/>
  <c r="G59" i="3"/>
  <c r="H59" i="3"/>
  <c r="I59" i="3"/>
  <c r="J59" i="3"/>
  <c r="K59" i="3"/>
  <c r="L59" i="3"/>
  <c r="M59" i="3" a="1"/>
  <c r="N59" i="3"/>
  <c r="O59" i="3"/>
  <c r="P59" i="3"/>
  <c r="Q59" i="3" a="1"/>
  <c r="R59" i="3"/>
  <c r="S59" i="3"/>
  <c r="T59" i="3"/>
  <c r="U59" i="3"/>
  <c r="V59" i="3" a="1"/>
  <c r="W59" i="3" a="1"/>
  <c r="X59" i="3"/>
  <c r="Y59" i="3"/>
  <c r="Z59" i="3"/>
  <c r="AA59" i="3"/>
  <c r="AB59" i="3" a="1"/>
  <c r="AC59" i="3"/>
  <c r="AD59" i="3" a="1"/>
  <c r="AE59" i="3"/>
  <c r="AG59" i="3"/>
  <c r="AH59" i="3"/>
  <c r="AI59" i="3"/>
  <c r="AJ59" i="3"/>
  <c r="AK59" i="3"/>
  <c r="AL59" i="3"/>
  <c r="AM59" i="3"/>
  <c r="AN59" i="3"/>
  <c r="AO59" i="3"/>
  <c r="AP59" i="3"/>
  <c r="AQ59" i="3" a="1"/>
  <c r="AR59" i="3" a="1"/>
  <c r="AS59" i="3"/>
  <c r="AT59" i="3" a="1"/>
  <c r="AU59" i="3"/>
  <c r="AV59" i="3" a="1"/>
  <c r="AW59" i="3"/>
  <c r="AX59" i="3"/>
  <c r="AY59" i="3"/>
  <c r="AZ59" i="3"/>
  <c r="BA59" i="3"/>
  <c r="BB59" i="3"/>
  <c r="BC59" i="3"/>
  <c r="BD59" i="3"/>
  <c r="BE59" i="3" a="1"/>
  <c r="BF59" i="3"/>
  <c r="BG59" i="3"/>
  <c r="BH59" i="3" a="1"/>
  <c r="BI59" i="3"/>
  <c r="BJ59" i="3" a="1"/>
  <c r="BK59" i="3" a="1"/>
  <c r="BL59" i="3"/>
  <c r="BM59" i="3"/>
  <c r="B60" i="3"/>
  <c r="C60" i="3"/>
  <c r="D60" i="3"/>
  <c r="E60" i="3"/>
  <c r="F60" i="3"/>
  <c r="G60" i="3"/>
  <c r="H60" i="3"/>
  <c r="I60" i="3"/>
  <c r="J60" i="3"/>
  <c r="K60" i="3"/>
  <c r="L60" i="3"/>
  <c r="M60" i="3" a="1"/>
  <c r="N60" i="3"/>
  <c r="O60" i="3"/>
  <c r="P60" i="3"/>
  <c r="Q60" i="3" a="1"/>
  <c r="R60" i="3"/>
  <c r="S60" i="3"/>
  <c r="T60" i="3"/>
  <c r="U60" i="3"/>
  <c r="V60" i="3" a="1"/>
  <c r="W60" i="3" a="1"/>
  <c r="X60" i="3"/>
  <c r="Y60" i="3"/>
  <c r="Z60" i="3"/>
  <c r="AA60" i="3"/>
  <c r="AB60" i="3" a="1"/>
  <c r="AC60" i="3"/>
  <c r="AD60" i="3" a="1"/>
  <c r="AE60" i="3"/>
  <c r="AG60" i="3"/>
  <c r="AH60" i="3"/>
  <c r="AI60" i="3"/>
  <c r="AJ60" i="3"/>
  <c r="AK60" i="3"/>
  <c r="AL60" i="3"/>
  <c r="AM60" i="3"/>
  <c r="AN60" i="3"/>
  <c r="AO60" i="3"/>
  <c r="AP60" i="3"/>
  <c r="AQ60" i="3" a="1"/>
  <c r="AR60" i="3" a="1"/>
  <c r="AS60" i="3"/>
  <c r="AT60" i="3" a="1"/>
  <c r="AU60" i="3"/>
  <c r="AV60" i="3" a="1"/>
  <c r="AW60" i="3"/>
  <c r="AX60" i="3"/>
  <c r="AY60" i="3"/>
  <c r="AZ60" i="3"/>
  <c r="BA60" i="3"/>
  <c r="BB60" i="3"/>
  <c r="BC60" i="3"/>
  <c r="BD60" i="3"/>
  <c r="BE60" i="3" a="1"/>
  <c r="BF60" i="3"/>
  <c r="BG60" i="3"/>
  <c r="BH60" i="3" a="1"/>
  <c r="BI60" i="3"/>
  <c r="BJ60" i="3" a="1"/>
  <c r="BK60" i="3" a="1"/>
  <c r="BL60" i="3"/>
  <c r="BM60" i="3"/>
  <c r="B61" i="3"/>
  <c r="C61" i="3"/>
  <c r="D61" i="3"/>
  <c r="E61" i="3"/>
  <c r="F61" i="3"/>
  <c r="G61" i="3"/>
  <c r="H61" i="3"/>
  <c r="I61" i="3"/>
  <c r="J61" i="3"/>
  <c r="K61" i="3"/>
  <c r="L61" i="3"/>
  <c r="M61" i="3" a="1"/>
  <c r="N61" i="3"/>
  <c r="O61" i="3"/>
  <c r="P61" i="3"/>
  <c r="Q61" i="3" a="1"/>
  <c r="R61" i="3"/>
  <c r="S61" i="3"/>
  <c r="T61" i="3"/>
  <c r="U61" i="3"/>
  <c r="V61" i="3" a="1"/>
  <c r="W61" i="3" a="1"/>
  <c r="X61" i="3"/>
  <c r="Y61" i="3"/>
  <c r="Z61" i="3"/>
  <c r="AA61" i="3"/>
  <c r="AB61" i="3" a="1"/>
  <c r="AC61" i="3"/>
  <c r="AD61" i="3" a="1"/>
  <c r="AE61" i="3"/>
  <c r="AG61" i="3"/>
  <c r="AH61" i="3"/>
  <c r="AI61" i="3"/>
  <c r="AJ61" i="3"/>
  <c r="AK61" i="3"/>
  <c r="AL61" i="3"/>
  <c r="AM61" i="3"/>
  <c r="AN61" i="3"/>
  <c r="AO61" i="3"/>
  <c r="AP61" i="3"/>
  <c r="AQ61" i="3" a="1"/>
  <c r="AR61" i="3" a="1"/>
  <c r="AS61" i="3"/>
  <c r="AT61" i="3" a="1"/>
  <c r="AU61" i="3"/>
  <c r="AV61" i="3" a="1"/>
  <c r="AW61" i="3"/>
  <c r="AX61" i="3"/>
  <c r="AY61" i="3"/>
  <c r="AZ61" i="3"/>
  <c r="BA61" i="3"/>
  <c r="BB61" i="3"/>
  <c r="BC61" i="3"/>
  <c r="BD61" i="3"/>
  <c r="BE61" i="3" a="1"/>
  <c r="BF61" i="3"/>
  <c r="BG61" i="3"/>
  <c r="BH61" i="3" a="1"/>
  <c r="BI61" i="3"/>
  <c r="BJ61" i="3" a="1"/>
  <c r="BK61" i="3" a="1"/>
  <c r="BL61" i="3"/>
  <c r="BM61" i="3"/>
  <c r="B62" i="3"/>
  <c r="C62" i="3"/>
  <c r="D62" i="3"/>
  <c r="E62" i="3"/>
  <c r="F62" i="3"/>
  <c r="G62" i="3"/>
  <c r="H62" i="3"/>
  <c r="I62" i="3"/>
  <c r="J62" i="3"/>
  <c r="K62" i="3"/>
  <c r="L62" i="3"/>
  <c r="M62" i="3" a="1"/>
  <c r="N62" i="3"/>
  <c r="O62" i="3"/>
  <c r="P62" i="3"/>
  <c r="Q62" i="3" a="1"/>
  <c r="R62" i="3"/>
  <c r="S62" i="3"/>
  <c r="T62" i="3"/>
  <c r="U62" i="3"/>
  <c r="V62" i="3" a="1"/>
  <c r="W62" i="3" a="1"/>
  <c r="X62" i="3"/>
  <c r="Y62" i="3"/>
  <c r="Z62" i="3"/>
  <c r="AA62" i="3"/>
  <c r="AB62" i="3" a="1"/>
  <c r="AC62" i="3"/>
  <c r="AD62" i="3" a="1"/>
  <c r="AE62" i="3"/>
  <c r="AG62" i="3"/>
  <c r="AH62" i="3"/>
  <c r="AI62" i="3"/>
  <c r="AJ62" i="3"/>
  <c r="AK62" i="3"/>
  <c r="AL62" i="3"/>
  <c r="AM62" i="3"/>
  <c r="AN62" i="3"/>
  <c r="AO62" i="3"/>
  <c r="AP62" i="3"/>
  <c r="AQ62" i="3" a="1"/>
  <c r="AR62" i="3" a="1"/>
  <c r="AS62" i="3"/>
  <c r="AT62" i="3" a="1"/>
  <c r="AU62" i="3"/>
  <c r="AV62" i="3" a="1"/>
  <c r="AW62" i="3"/>
  <c r="AX62" i="3"/>
  <c r="AY62" i="3"/>
  <c r="AZ62" i="3"/>
  <c r="BA62" i="3"/>
  <c r="BB62" i="3"/>
  <c r="BC62" i="3"/>
  <c r="BD62" i="3"/>
  <c r="BE62" i="3" a="1"/>
  <c r="BF62" i="3"/>
  <c r="BG62" i="3"/>
  <c r="BH62" i="3" a="1"/>
  <c r="BI62" i="3"/>
  <c r="BJ62" i="3" a="1"/>
  <c r="BK62" i="3" a="1"/>
  <c r="BL62" i="3"/>
  <c r="BM62" i="3"/>
  <c r="B63" i="3"/>
  <c r="C63" i="3"/>
  <c r="D63" i="3"/>
  <c r="E63" i="3"/>
  <c r="F63" i="3"/>
  <c r="G63" i="3"/>
  <c r="H63" i="3"/>
  <c r="I63" i="3"/>
  <c r="J63" i="3"/>
  <c r="K63" i="3"/>
  <c r="L63" i="3"/>
  <c r="M63" i="3" a="1"/>
  <c r="N63" i="3"/>
  <c r="O63" i="3"/>
  <c r="P63" i="3"/>
  <c r="Q63" i="3" a="1"/>
  <c r="R63" i="3"/>
  <c r="S63" i="3"/>
  <c r="T63" i="3"/>
  <c r="U63" i="3"/>
  <c r="V63" i="3" a="1"/>
  <c r="W63" i="3" a="1"/>
  <c r="X63" i="3"/>
  <c r="Y63" i="3"/>
  <c r="Z63" i="3"/>
  <c r="AA63" i="3"/>
  <c r="AB63" i="3" a="1"/>
  <c r="AC63" i="3"/>
  <c r="AD63" i="3" a="1"/>
  <c r="AE63" i="3"/>
  <c r="AG63" i="3"/>
  <c r="AH63" i="3"/>
  <c r="AI63" i="3"/>
  <c r="AJ63" i="3"/>
  <c r="AK63" i="3"/>
  <c r="AL63" i="3"/>
  <c r="AM63" i="3"/>
  <c r="AN63" i="3"/>
  <c r="AO63" i="3"/>
  <c r="AP63" i="3"/>
  <c r="AQ63" i="3" a="1"/>
  <c r="AR63" i="3" a="1"/>
  <c r="AS63" i="3"/>
  <c r="AT63" i="3" a="1"/>
  <c r="AU63" i="3"/>
  <c r="AV63" i="3" a="1"/>
  <c r="AW63" i="3"/>
  <c r="AX63" i="3"/>
  <c r="AY63" i="3"/>
  <c r="AZ63" i="3"/>
  <c r="BA63" i="3"/>
  <c r="BB63" i="3"/>
  <c r="BC63" i="3"/>
  <c r="BD63" i="3"/>
  <c r="BE63" i="3" a="1"/>
  <c r="BF63" i="3"/>
  <c r="BG63" i="3"/>
  <c r="BH63" i="3" a="1"/>
  <c r="BI63" i="3"/>
  <c r="BJ63" i="3" a="1"/>
  <c r="BK63" i="3" a="1"/>
  <c r="BL63" i="3"/>
  <c r="BM63" i="3"/>
  <c r="B64" i="3"/>
  <c r="C64" i="3"/>
  <c r="D64" i="3"/>
  <c r="E64" i="3"/>
  <c r="F64" i="3"/>
  <c r="G64" i="3"/>
  <c r="H64" i="3"/>
  <c r="I64" i="3"/>
  <c r="J64" i="3"/>
  <c r="K64" i="3"/>
  <c r="L64" i="3"/>
  <c r="M64" i="3" a="1"/>
  <c r="N64" i="3"/>
  <c r="O64" i="3"/>
  <c r="P64" i="3"/>
  <c r="Q64" i="3" a="1"/>
  <c r="R64" i="3"/>
  <c r="S64" i="3"/>
  <c r="T64" i="3"/>
  <c r="U64" i="3"/>
  <c r="V64" i="3" a="1"/>
  <c r="W64" i="3" a="1"/>
  <c r="X64" i="3"/>
  <c r="Y64" i="3"/>
  <c r="Z64" i="3"/>
  <c r="AA64" i="3"/>
  <c r="AB64" i="3" a="1"/>
  <c r="AC64" i="3"/>
  <c r="AD64" i="3" a="1"/>
  <c r="AE64" i="3"/>
  <c r="AG64" i="3"/>
  <c r="AH64" i="3"/>
  <c r="AI64" i="3"/>
  <c r="AJ64" i="3"/>
  <c r="AK64" i="3"/>
  <c r="AL64" i="3"/>
  <c r="AM64" i="3"/>
  <c r="AN64" i="3"/>
  <c r="AO64" i="3"/>
  <c r="AP64" i="3"/>
  <c r="AQ64" i="3" a="1"/>
  <c r="AR64" i="3" a="1"/>
  <c r="AS64" i="3"/>
  <c r="AT64" i="3" a="1"/>
  <c r="AU64" i="3"/>
  <c r="AV64" i="3" a="1"/>
  <c r="AW64" i="3"/>
  <c r="AX64" i="3"/>
  <c r="AY64" i="3"/>
  <c r="AZ64" i="3"/>
  <c r="BA64" i="3"/>
  <c r="BB64" i="3"/>
  <c r="BC64" i="3"/>
  <c r="BD64" i="3"/>
  <c r="BE64" i="3" a="1"/>
  <c r="BF64" i="3"/>
  <c r="BG64" i="3"/>
  <c r="BH64" i="3" a="1"/>
  <c r="BI64" i="3"/>
  <c r="BJ64" i="3" a="1"/>
  <c r="BK64" i="3" a="1"/>
  <c r="BL64" i="3"/>
  <c r="BM64" i="3"/>
  <c r="B65" i="3"/>
  <c r="C65" i="3"/>
  <c r="D65" i="3"/>
  <c r="E65" i="3"/>
  <c r="F65" i="3"/>
  <c r="G65" i="3"/>
  <c r="H65" i="3"/>
  <c r="I65" i="3"/>
  <c r="J65" i="3"/>
  <c r="K65" i="3"/>
  <c r="L65" i="3"/>
  <c r="M65" i="3" a="1"/>
  <c r="N65" i="3"/>
  <c r="O65" i="3"/>
  <c r="P65" i="3"/>
  <c r="Q65" i="3" a="1"/>
  <c r="R65" i="3"/>
  <c r="S65" i="3"/>
  <c r="T65" i="3"/>
  <c r="U65" i="3"/>
  <c r="V65" i="3" a="1"/>
  <c r="W65" i="3" a="1"/>
  <c r="X65" i="3"/>
  <c r="Y65" i="3"/>
  <c r="Z65" i="3"/>
  <c r="AA65" i="3"/>
  <c r="AB65" i="3" a="1"/>
  <c r="AC65" i="3"/>
  <c r="AD65" i="3" a="1"/>
  <c r="AE65" i="3"/>
  <c r="AG65" i="3"/>
  <c r="AH65" i="3"/>
  <c r="AI65" i="3"/>
  <c r="AJ65" i="3"/>
  <c r="AK65" i="3"/>
  <c r="AL65" i="3"/>
  <c r="AM65" i="3"/>
  <c r="AN65" i="3"/>
  <c r="AO65" i="3"/>
  <c r="AP65" i="3"/>
  <c r="AQ65" i="3" a="1"/>
  <c r="AR65" i="3" a="1"/>
  <c r="AS65" i="3"/>
  <c r="AT65" i="3" a="1"/>
  <c r="AU65" i="3"/>
  <c r="AV65" i="3" a="1"/>
  <c r="AW65" i="3"/>
  <c r="AX65" i="3"/>
  <c r="AY65" i="3"/>
  <c r="AZ65" i="3"/>
  <c r="BA65" i="3"/>
  <c r="BB65" i="3"/>
  <c r="BC65" i="3"/>
  <c r="BD65" i="3"/>
  <c r="BE65" i="3" a="1"/>
  <c r="BF65" i="3"/>
  <c r="BG65" i="3"/>
  <c r="BH65" i="3" a="1"/>
  <c r="BI65" i="3"/>
  <c r="BJ65" i="3" a="1"/>
  <c r="BK65" i="3" a="1"/>
  <c r="BL65" i="3"/>
  <c r="BM65" i="3"/>
  <c r="B66" i="3"/>
  <c r="C66" i="3"/>
  <c r="D66" i="3"/>
  <c r="E66" i="3"/>
  <c r="F66" i="3"/>
  <c r="G66" i="3"/>
  <c r="H66" i="3"/>
  <c r="I66" i="3"/>
  <c r="J66" i="3"/>
  <c r="K66" i="3"/>
  <c r="L66" i="3"/>
  <c r="M66" i="3" a="1"/>
  <c r="N66" i="3"/>
  <c r="O66" i="3"/>
  <c r="P66" i="3"/>
  <c r="Q66" i="3" a="1"/>
  <c r="R66" i="3"/>
  <c r="S66" i="3"/>
  <c r="T66" i="3"/>
  <c r="U66" i="3"/>
  <c r="V66" i="3" a="1"/>
  <c r="W66" i="3" a="1"/>
  <c r="X66" i="3"/>
  <c r="Y66" i="3"/>
  <c r="Z66" i="3"/>
  <c r="AA66" i="3"/>
  <c r="AB66" i="3" a="1"/>
  <c r="AC66" i="3"/>
  <c r="AD66" i="3" a="1"/>
  <c r="AE66" i="3"/>
  <c r="AG66" i="3"/>
  <c r="AH66" i="3"/>
  <c r="AI66" i="3"/>
  <c r="AJ66" i="3"/>
  <c r="AK66" i="3"/>
  <c r="AL66" i="3"/>
  <c r="AM66" i="3"/>
  <c r="AN66" i="3"/>
  <c r="AO66" i="3"/>
  <c r="AP66" i="3"/>
  <c r="AQ66" i="3" a="1"/>
  <c r="AR66" i="3" a="1"/>
  <c r="AS66" i="3"/>
  <c r="AT66" i="3" a="1"/>
  <c r="AU66" i="3"/>
  <c r="AV66" i="3" a="1"/>
  <c r="AW66" i="3"/>
  <c r="AX66" i="3"/>
  <c r="AY66" i="3"/>
  <c r="AZ66" i="3"/>
  <c r="BA66" i="3"/>
  <c r="BB66" i="3"/>
  <c r="BC66" i="3"/>
  <c r="BD66" i="3"/>
  <c r="BE66" i="3" a="1"/>
  <c r="BF66" i="3"/>
  <c r="BG66" i="3"/>
  <c r="BH66" i="3" a="1"/>
  <c r="BI66" i="3"/>
  <c r="BJ66" i="3" a="1"/>
  <c r="BK66" i="3" a="1"/>
  <c r="BL66" i="3"/>
  <c r="BM66" i="3"/>
  <c r="B67" i="3"/>
  <c r="C67" i="3"/>
  <c r="D67" i="3"/>
  <c r="E67" i="3"/>
  <c r="F67" i="3"/>
  <c r="G67" i="3"/>
  <c r="H67" i="3"/>
  <c r="I67" i="3"/>
  <c r="J67" i="3"/>
  <c r="K67" i="3"/>
  <c r="L67" i="3"/>
  <c r="M67" i="3" a="1"/>
  <c r="N67" i="3"/>
  <c r="O67" i="3"/>
  <c r="P67" i="3"/>
  <c r="Q67" i="3" a="1"/>
  <c r="R67" i="3"/>
  <c r="S67" i="3"/>
  <c r="T67" i="3"/>
  <c r="U67" i="3"/>
  <c r="V67" i="3" a="1"/>
  <c r="W67" i="3" a="1"/>
  <c r="X67" i="3"/>
  <c r="Y67" i="3"/>
  <c r="Z67" i="3"/>
  <c r="AA67" i="3"/>
  <c r="AB67" i="3" a="1"/>
  <c r="AC67" i="3"/>
  <c r="AD67" i="3" a="1"/>
  <c r="AE67" i="3"/>
  <c r="AG67" i="3"/>
  <c r="AH67" i="3"/>
  <c r="AI67" i="3"/>
  <c r="AJ67" i="3"/>
  <c r="AK67" i="3"/>
  <c r="AL67" i="3"/>
  <c r="AM67" i="3"/>
  <c r="AN67" i="3"/>
  <c r="AO67" i="3"/>
  <c r="AP67" i="3"/>
  <c r="AQ67" i="3" a="1"/>
  <c r="AR67" i="3" a="1"/>
  <c r="AS67" i="3"/>
  <c r="AT67" i="3" a="1"/>
  <c r="AU67" i="3"/>
  <c r="AV67" i="3" a="1"/>
  <c r="AW67" i="3"/>
  <c r="AX67" i="3"/>
  <c r="AY67" i="3"/>
  <c r="AZ67" i="3"/>
  <c r="BA67" i="3"/>
  <c r="BB67" i="3"/>
  <c r="BC67" i="3"/>
  <c r="BD67" i="3"/>
  <c r="BE67" i="3" a="1"/>
  <c r="BF67" i="3"/>
  <c r="BG67" i="3"/>
  <c r="BH67" i="3" a="1"/>
  <c r="BI67" i="3"/>
  <c r="BJ67" i="3" a="1"/>
  <c r="BK67" i="3" a="1"/>
  <c r="BL67" i="3"/>
  <c r="BM67" i="3"/>
  <c r="B68" i="3"/>
  <c r="C68" i="3"/>
  <c r="D68" i="3"/>
  <c r="E68" i="3"/>
  <c r="F68" i="3"/>
  <c r="G68" i="3"/>
  <c r="H68" i="3"/>
  <c r="I68" i="3"/>
  <c r="J68" i="3"/>
  <c r="K68" i="3"/>
  <c r="L68" i="3"/>
  <c r="M68" i="3" a="1"/>
  <c r="N68" i="3"/>
  <c r="O68" i="3"/>
  <c r="P68" i="3"/>
  <c r="Q68" i="3" a="1"/>
  <c r="R68" i="3"/>
  <c r="S68" i="3"/>
  <c r="T68" i="3"/>
  <c r="U68" i="3"/>
  <c r="V68" i="3" a="1"/>
  <c r="W68" i="3" a="1"/>
  <c r="X68" i="3"/>
  <c r="Y68" i="3"/>
  <c r="Z68" i="3"/>
  <c r="AA68" i="3"/>
  <c r="AB68" i="3" a="1"/>
  <c r="AC68" i="3"/>
  <c r="AD68" i="3" a="1"/>
  <c r="AE68" i="3"/>
  <c r="AG68" i="3"/>
  <c r="AH68" i="3"/>
  <c r="AI68" i="3"/>
  <c r="AJ68" i="3"/>
  <c r="AK68" i="3"/>
  <c r="AL68" i="3"/>
  <c r="AM68" i="3"/>
  <c r="AN68" i="3"/>
  <c r="AO68" i="3"/>
  <c r="AP68" i="3"/>
  <c r="AQ68" i="3" a="1"/>
  <c r="AR68" i="3" a="1"/>
  <c r="AS68" i="3"/>
  <c r="AT68" i="3" a="1"/>
  <c r="AU68" i="3"/>
  <c r="AV68" i="3" a="1"/>
  <c r="AW68" i="3"/>
  <c r="AX68" i="3"/>
  <c r="AY68" i="3"/>
  <c r="AZ68" i="3"/>
  <c r="BA68" i="3"/>
  <c r="BB68" i="3"/>
  <c r="BC68" i="3"/>
  <c r="BD68" i="3"/>
  <c r="BE68" i="3" a="1"/>
  <c r="BF68" i="3"/>
  <c r="BG68" i="3"/>
  <c r="BH68" i="3" a="1"/>
  <c r="BI68" i="3"/>
  <c r="BJ68" i="3" a="1"/>
  <c r="BK68" i="3" a="1"/>
  <c r="BL68" i="3"/>
  <c r="BM68" i="3"/>
  <c r="B69" i="3"/>
  <c r="C69" i="3"/>
  <c r="D69" i="3"/>
  <c r="E69" i="3"/>
  <c r="F69" i="3"/>
  <c r="G69" i="3"/>
  <c r="H69" i="3"/>
  <c r="I69" i="3"/>
  <c r="J69" i="3"/>
  <c r="K69" i="3"/>
  <c r="L69" i="3"/>
  <c r="M69" i="3" a="1"/>
  <c r="N69" i="3"/>
  <c r="O69" i="3"/>
  <c r="P69" i="3"/>
  <c r="Q69" i="3" a="1"/>
  <c r="R69" i="3"/>
  <c r="S69" i="3"/>
  <c r="T69" i="3"/>
  <c r="U69" i="3"/>
  <c r="V69" i="3" a="1"/>
  <c r="W69" i="3" a="1"/>
  <c r="X69" i="3"/>
  <c r="Y69" i="3"/>
  <c r="Z69" i="3"/>
  <c r="AA69" i="3"/>
  <c r="AB69" i="3" a="1"/>
  <c r="AC69" i="3"/>
  <c r="AD69" i="3" a="1"/>
  <c r="AE69" i="3"/>
  <c r="AG69" i="3"/>
  <c r="AH69" i="3"/>
  <c r="AI69" i="3"/>
  <c r="AJ69" i="3"/>
  <c r="AK69" i="3"/>
  <c r="AL69" i="3"/>
  <c r="AM69" i="3"/>
  <c r="AN69" i="3"/>
  <c r="AO69" i="3"/>
  <c r="AP69" i="3"/>
  <c r="AQ69" i="3" a="1"/>
  <c r="AR69" i="3" a="1"/>
  <c r="AS69" i="3"/>
  <c r="AT69" i="3" a="1"/>
  <c r="AU69" i="3"/>
  <c r="AV69" i="3" a="1"/>
  <c r="AW69" i="3"/>
  <c r="AX69" i="3"/>
  <c r="AY69" i="3"/>
  <c r="AZ69" i="3"/>
  <c r="BA69" i="3"/>
  <c r="BB69" i="3"/>
  <c r="BC69" i="3"/>
  <c r="BD69" i="3"/>
  <c r="BE69" i="3" a="1"/>
  <c r="BF69" i="3"/>
  <c r="BG69" i="3"/>
  <c r="BH69" i="3" a="1"/>
  <c r="BI69" i="3"/>
  <c r="BJ69" i="3" a="1"/>
  <c r="BK69" i="3" a="1"/>
  <c r="BL69" i="3"/>
  <c r="BM69" i="3"/>
  <c r="B70" i="3"/>
  <c r="C70" i="3"/>
  <c r="D70" i="3"/>
  <c r="E70" i="3"/>
  <c r="F70" i="3"/>
  <c r="G70" i="3"/>
  <c r="H70" i="3"/>
  <c r="I70" i="3"/>
  <c r="J70" i="3"/>
  <c r="K70" i="3"/>
  <c r="L70" i="3"/>
  <c r="M70" i="3" a="1"/>
  <c r="N70" i="3"/>
  <c r="O70" i="3"/>
  <c r="P70" i="3"/>
  <c r="Q70" i="3" a="1"/>
  <c r="R70" i="3"/>
  <c r="S70" i="3"/>
  <c r="T70" i="3"/>
  <c r="U70" i="3"/>
  <c r="V70" i="3" a="1"/>
  <c r="W70" i="3" a="1"/>
  <c r="X70" i="3"/>
  <c r="Y70" i="3"/>
  <c r="Z70" i="3"/>
  <c r="AA70" i="3"/>
  <c r="AB70" i="3" a="1"/>
  <c r="AC70" i="3"/>
  <c r="AD70" i="3" a="1"/>
  <c r="AE70" i="3"/>
  <c r="AG70" i="3"/>
  <c r="AH70" i="3"/>
  <c r="AI70" i="3"/>
  <c r="AJ70" i="3"/>
  <c r="AK70" i="3"/>
  <c r="AL70" i="3"/>
  <c r="AM70" i="3"/>
  <c r="AN70" i="3"/>
  <c r="AO70" i="3"/>
  <c r="AP70" i="3"/>
  <c r="AQ70" i="3" a="1"/>
  <c r="AR70" i="3" a="1"/>
  <c r="AS70" i="3"/>
  <c r="AT70" i="3" a="1"/>
  <c r="AU70" i="3"/>
  <c r="AV70" i="3" a="1"/>
  <c r="AW70" i="3"/>
  <c r="AX70" i="3"/>
  <c r="AY70" i="3"/>
  <c r="AZ70" i="3"/>
  <c r="BA70" i="3"/>
  <c r="BB70" i="3"/>
  <c r="BC70" i="3"/>
  <c r="BD70" i="3"/>
  <c r="BE70" i="3" a="1"/>
  <c r="BF70" i="3"/>
  <c r="BG70" i="3"/>
  <c r="BH70" i="3" a="1"/>
  <c r="BI70" i="3"/>
  <c r="BJ70" i="3" a="1"/>
  <c r="BK70" i="3" a="1"/>
  <c r="BL70" i="3"/>
  <c r="BM70" i="3"/>
  <c r="B71" i="3"/>
  <c r="C71" i="3"/>
  <c r="D71" i="3"/>
  <c r="E71" i="3"/>
  <c r="F71" i="3"/>
  <c r="G71" i="3"/>
  <c r="H71" i="3"/>
  <c r="I71" i="3"/>
  <c r="J71" i="3"/>
  <c r="K71" i="3"/>
  <c r="L71" i="3"/>
  <c r="M71" i="3" a="1"/>
  <c r="N71" i="3"/>
  <c r="O71" i="3"/>
  <c r="P71" i="3"/>
  <c r="Q71" i="3" a="1"/>
  <c r="R71" i="3"/>
  <c r="S71" i="3"/>
  <c r="T71" i="3"/>
  <c r="U71" i="3"/>
  <c r="V71" i="3" a="1"/>
  <c r="W71" i="3" a="1"/>
  <c r="X71" i="3"/>
  <c r="Y71" i="3"/>
  <c r="Z71" i="3"/>
  <c r="AA71" i="3"/>
  <c r="AB71" i="3" a="1"/>
  <c r="AC71" i="3"/>
  <c r="AD71" i="3" a="1"/>
  <c r="AE71" i="3"/>
  <c r="AG71" i="3"/>
  <c r="AH71" i="3"/>
  <c r="AI71" i="3"/>
  <c r="AJ71" i="3"/>
  <c r="AK71" i="3"/>
  <c r="AL71" i="3"/>
  <c r="AM71" i="3"/>
  <c r="AN71" i="3"/>
  <c r="AO71" i="3"/>
  <c r="AP71" i="3"/>
  <c r="AQ71" i="3" a="1"/>
  <c r="AR71" i="3" a="1"/>
  <c r="AS71" i="3"/>
  <c r="AT71" i="3" a="1"/>
  <c r="AU71" i="3"/>
  <c r="AV71" i="3" a="1"/>
  <c r="AW71" i="3"/>
  <c r="AX71" i="3"/>
  <c r="AY71" i="3"/>
  <c r="AZ71" i="3"/>
  <c r="BA71" i="3"/>
  <c r="BB71" i="3"/>
  <c r="BC71" i="3"/>
  <c r="BD71" i="3"/>
  <c r="BE71" i="3" a="1"/>
  <c r="BF71" i="3"/>
  <c r="BG71" i="3"/>
  <c r="BH71" i="3" a="1"/>
  <c r="BI71" i="3"/>
  <c r="BJ71" i="3" a="1"/>
  <c r="BK71" i="3" a="1"/>
  <c r="BL71" i="3"/>
  <c r="BM71" i="3"/>
  <c r="B72" i="3"/>
  <c r="C72" i="3"/>
  <c r="D72" i="3"/>
  <c r="E72" i="3"/>
  <c r="F72" i="3"/>
  <c r="G72" i="3"/>
  <c r="H72" i="3"/>
  <c r="I72" i="3"/>
  <c r="J72" i="3"/>
  <c r="K72" i="3"/>
  <c r="L72" i="3"/>
  <c r="M72" i="3" a="1"/>
  <c r="N72" i="3"/>
  <c r="O72" i="3"/>
  <c r="P72" i="3"/>
  <c r="Q72" i="3" a="1"/>
  <c r="R72" i="3"/>
  <c r="S72" i="3"/>
  <c r="T72" i="3"/>
  <c r="U72" i="3"/>
  <c r="V72" i="3" a="1"/>
  <c r="W72" i="3" a="1"/>
  <c r="X72" i="3"/>
  <c r="Y72" i="3"/>
  <c r="Z72" i="3"/>
  <c r="AA72" i="3"/>
  <c r="AB72" i="3" a="1"/>
  <c r="AC72" i="3"/>
  <c r="AD72" i="3" a="1"/>
  <c r="AE72" i="3"/>
  <c r="AG72" i="3"/>
  <c r="AH72" i="3"/>
  <c r="AI72" i="3"/>
  <c r="AJ72" i="3"/>
  <c r="AK72" i="3"/>
  <c r="AL72" i="3"/>
  <c r="AM72" i="3"/>
  <c r="AN72" i="3"/>
  <c r="AO72" i="3"/>
  <c r="AP72" i="3"/>
  <c r="AQ72" i="3" a="1"/>
  <c r="AR72" i="3" a="1"/>
  <c r="AS72" i="3"/>
  <c r="AT72" i="3" a="1"/>
  <c r="AU72" i="3"/>
  <c r="AV72" i="3" a="1"/>
  <c r="AW72" i="3"/>
  <c r="AX72" i="3"/>
  <c r="AY72" i="3"/>
  <c r="AZ72" i="3"/>
  <c r="BA72" i="3"/>
  <c r="BB72" i="3"/>
  <c r="BC72" i="3"/>
  <c r="BD72" i="3"/>
  <c r="BE72" i="3" a="1"/>
  <c r="BF72" i="3"/>
  <c r="BG72" i="3"/>
  <c r="BH72" i="3" a="1"/>
  <c r="BI72" i="3"/>
  <c r="BJ72" i="3" a="1"/>
  <c r="BK72" i="3" a="1"/>
  <c r="BL72" i="3"/>
  <c r="BM72" i="3"/>
  <c r="B73" i="3"/>
  <c r="C73" i="3"/>
  <c r="D73" i="3"/>
  <c r="E73" i="3"/>
  <c r="F73" i="3"/>
  <c r="G73" i="3"/>
  <c r="H73" i="3"/>
  <c r="I73" i="3"/>
  <c r="J73" i="3"/>
  <c r="K73" i="3"/>
  <c r="L73" i="3"/>
  <c r="M73" i="3" a="1"/>
  <c r="N73" i="3"/>
  <c r="O73" i="3"/>
  <c r="P73" i="3"/>
  <c r="Q73" i="3" a="1"/>
  <c r="R73" i="3"/>
  <c r="S73" i="3"/>
  <c r="T73" i="3"/>
  <c r="U73" i="3"/>
  <c r="V73" i="3" a="1"/>
  <c r="W73" i="3" a="1"/>
  <c r="X73" i="3"/>
  <c r="Y73" i="3"/>
  <c r="Z73" i="3"/>
  <c r="AA73" i="3"/>
  <c r="AB73" i="3" a="1"/>
  <c r="AC73" i="3"/>
  <c r="AD73" i="3" a="1"/>
  <c r="AE73" i="3"/>
  <c r="AG73" i="3"/>
  <c r="AH73" i="3"/>
  <c r="AI73" i="3"/>
  <c r="AJ73" i="3"/>
  <c r="AK73" i="3"/>
  <c r="AL73" i="3"/>
  <c r="AM73" i="3"/>
  <c r="AN73" i="3"/>
  <c r="AO73" i="3"/>
  <c r="AP73" i="3"/>
  <c r="AQ73" i="3" a="1"/>
  <c r="AR73" i="3" a="1"/>
  <c r="AS73" i="3"/>
  <c r="AT73" i="3" a="1"/>
  <c r="AU73" i="3"/>
  <c r="AV73" i="3" a="1"/>
  <c r="AW73" i="3"/>
  <c r="AX73" i="3"/>
  <c r="AY73" i="3"/>
  <c r="AZ73" i="3"/>
  <c r="BA73" i="3"/>
  <c r="BB73" i="3"/>
  <c r="BC73" i="3"/>
  <c r="BD73" i="3"/>
  <c r="BE73" i="3" a="1"/>
  <c r="BF73" i="3"/>
  <c r="BG73" i="3"/>
  <c r="BH73" i="3" a="1"/>
  <c r="BI73" i="3"/>
  <c r="BJ73" i="3" a="1"/>
  <c r="BK73" i="3" a="1"/>
  <c r="BL73" i="3"/>
  <c r="BM73" i="3"/>
  <c r="B74" i="3"/>
  <c r="C74" i="3"/>
  <c r="D74" i="3"/>
  <c r="E74" i="3"/>
  <c r="F74" i="3"/>
  <c r="G74" i="3"/>
  <c r="H74" i="3"/>
  <c r="I74" i="3"/>
  <c r="J74" i="3"/>
  <c r="K74" i="3"/>
  <c r="L74" i="3"/>
  <c r="M74" i="3" a="1"/>
  <c r="N74" i="3"/>
  <c r="O74" i="3"/>
  <c r="P74" i="3"/>
  <c r="Q74" i="3" a="1"/>
  <c r="R74" i="3"/>
  <c r="S74" i="3"/>
  <c r="T74" i="3"/>
  <c r="U74" i="3"/>
  <c r="V74" i="3" a="1"/>
  <c r="W74" i="3" a="1"/>
  <c r="X74" i="3"/>
  <c r="Y74" i="3"/>
  <c r="Z74" i="3"/>
  <c r="AA74" i="3"/>
  <c r="AB74" i="3" a="1"/>
  <c r="AC74" i="3"/>
  <c r="AD74" i="3" a="1"/>
  <c r="AE74" i="3"/>
  <c r="AG74" i="3"/>
  <c r="AH74" i="3"/>
  <c r="AI74" i="3"/>
  <c r="AJ74" i="3"/>
  <c r="AK74" i="3"/>
  <c r="AL74" i="3"/>
  <c r="AM74" i="3"/>
  <c r="AN74" i="3"/>
  <c r="AO74" i="3"/>
  <c r="AP74" i="3"/>
  <c r="AQ74" i="3" a="1"/>
  <c r="AR74" i="3" a="1"/>
  <c r="AS74" i="3"/>
  <c r="AT74" i="3" a="1"/>
  <c r="AU74" i="3"/>
  <c r="AV74" i="3" a="1"/>
  <c r="AW74" i="3"/>
  <c r="AX74" i="3"/>
  <c r="AY74" i="3"/>
  <c r="AZ74" i="3"/>
  <c r="BA74" i="3"/>
  <c r="BB74" i="3"/>
  <c r="BC74" i="3"/>
  <c r="BD74" i="3"/>
  <c r="BE74" i="3" a="1"/>
  <c r="BF74" i="3"/>
  <c r="BG74" i="3"/>
  <c r="BH74" i="3" a="1"/>
  <c r="BI74" i="3"/>
  <c r="BJ74" i="3" a="1"/>
  <c r="BK74" i="3" a="1"/>
  <c r="BL74" i="3"/>
  <c r="BM74" i="3"/>
  <c r="B75" i="3"/>
  <c r="C75" i="3"/>
  <c r="D75" i="3"/>
  <c r="E75" i="3"/>
  <c r="F75" i="3"/>
  <c r="G75" i="3"/>
  <c r="H75" i="3"/>
  <c r="I75" i="3"/>
  <c r="J75" i="3"/>
  <c r="K75" i="3"/>
  <c r="L75" i="3"/>
  <c r="M75" i="3" a="1"/>
  <c r="N75" i="3"/>
  <c r="O75" i="3"/>
  <c r="P75" i="3"/>
  <c r="Q75" i="3" a="1"/>
  <c r="R75" i="3"/>
  <c r="S75" i="3"/>
  <c r="T75" i="3"/>
  <c r="U75" i="3"/>
  <c r="V75" i="3" a="1"/>
  <c r="W75" i="3" a="1"/>
  <c r="X75" i="3"/>
  <c r="Y75" i="3"/>
  <c r="Z75" i="3"/>
  <c r="AA75" i="3"/>
  <c r="AB75" i="3" a="1"/>
  <c r="AC75" i="3"/>
  <c r="AD75" i="3" a="1"/>
  <c r="AE75" i="3"/>
  <c r="AG75" i="3"/>
  <c r="AH75" i="3"/>
  <c r="AI75" i="3"/>
  <c r="AJ75" i="3"/>
  <c r="AK75" i="3"/>
  <c r="AL75" i="3"/>
  <c r="AM75" i="3"/>
  <c r="AN75" i="3"/>
  <c r="AO75" i="3"/>
  <c r="AP75" i="3"/>
  <c r="AQ75" i="3" a="1"/>
  <c r="AR75" i="3" a="1"/>
  <c r="AS75" i="3"/>
  <c r="AT75" i="3" a="1"/>
  <c r="AU75" i="3"/>
  <c r="AV75" i="3" a="1"/>
  <c r="AW75" i="3"/>
  <c r="AX75" i="3"/>
  <c r="AY75" i="3"/>
  <c r="AZ75" i="3"/>
  <c r="BA75" i="3"/>
  <c r="BB75" i="3"/>
  <c r="BC75" i="3"/>
  <c r="BD75" i="3"/>
  <c r="BE75" i="3" a="1"/>
  <c r="BF75" i="3"/>
  <c r="BG75" i="3"/>
  <c r="BH75" i="3" a="1"/>
  <c r="BI75" i="3"/>
  <c r="BJ75" i="3" a="1"/>
  <c r="BK75" i="3" a="1"/>
  <c r="BL75" i="3"/>
  <c r="BM75" i="3"/>
  <c r="B76" i="3"/>
  <c r="C76" i="3"/>
  <c r="D76" i="3"/>
  <c r="E76" i="3"/>
  <c r="F76" i="3"/>
  <c r="G76" i="3"/>
  <c r="H76" i="3"/>
  <c r="I76" i="3"/>
  <c r="J76" i="3"/>
  <c r="K76" i="3"/>
  <c r="L76" i="3"/>
  <c r="M76" i="3" a="1"/>
  <c r="N76" i="3"/>
  <c r="O76" i="3"/>
  <c r="P76" i="3"/>
  <c r="Q76" i="3" a="1"/>
  <c r="R76" i="3"/>
  <c r="S76" i="3"/>
  <c r="T76" i="3"/>
  <c r="U76" i="3"/>
  <c r="V76" i="3" a="1"/>
  <c r="W76" i="3" a="1"/>
  <c r="X76" i="3"/>
  <c r="Y76" i="3"/>
  <c r="Z76" i="3"/>
  <c r="AA76" i="3"/>
  <c r="AB76" i="3" a="1"/>
  <c r="AC76" i="3"/>
  <c r="AD76" i="3" a="1"/>
  <c r="AE76" i="3"/>
  <c r="AG76" i="3"/>
  <c r="AH76" i="3"/>
  <c r="AI76" i="3"/>
  <c r="AJ76" i="3"/>
  <c r="AK76" i="3"/>
  <c r="AL76" i="3"/>
  <c r="AM76" i="3"/>
  <c r="AN76" i="3"/>
  <c r="AO76" i="3"/>
  <c r="AP76" i="3"/>
  <c r="AQ76" i="3" a="1"/>
  <c r="AR76" i="3" a="1"/>
  <c r="AS76" i="3"/>
  <c r="AT76" i="3" a="1"/>
  <c r="AU76" i="3"/>
  <c r="AV76" i="3" a="1"/>
  <c r="AW76" i="3"/>
  <c r="AX76" i="3"/>
  <c r="AY76" i="3"/>
  <c r="AZ76" i="3"/>
  <c r="BA76" i="3"/>
  <c r="BB76" i="3"/>
  <c r="BC76" i="3"/>
  <c r="BD76" i="3"/>
  <c r="BE76" i="3" a="1"/>
  <c r="BF76" i="3"/>
  <c r="BG76" i="3"/>
  <c r="BH76" i="3" a="1"/>
  <c r="BI76" i="3"/>
  <c r="BJ76" i="3" a="1"/>
  <c r="BK76" i="3" a="1"/>
  <c r="BL76" i="3"/>
  <c r="BM76" i="3"/>
  <c r="B77" i="3"/>
  <c r="C77" i="3"/>
  <c r="D77" i="3"/>
  <c r="E77" i="3"/>
  <c r="F77" i="3"/>
  <c r="G77" i="3"/>
  <c r="H77" i="3"/>
  <c r="I77" i="3"/>
  <c r="J77" i="3"/>
  <c r="K77" i="3"/>
  <c r="L77" i="3"/>
  <c r="M77" i="3" a="1"/>
  <c r="N77" i="3"/>
  <c r="O77" i="3"/>
  <c r="P77" i="3"/>
  <c r="Q77" i="3" a="1"/>
  <c r="R77" i="3"/>
  <c r="S77" i="3"/>
  <c r="T77" i="3"/>
  <c r="U77" i="3"/>
  <c r="V77" i="3" a="1"/>
  <c r="W77" i="3" a="1"/>
  <c r="X77" i="3"/>
  <c r="Y77" i="3"/>
  <c r="Z77" i="3"/>
  <c r="AA77" i="3"/>
  <c r="AB77" i="3" a="1"/>
  <c r="AC77" i="3"/>
  <c r="AD77" i="3" a="1"/>
  <c r="AE77" i="3"/>
  <c r="AG77" i="3"/>
  <c r="AH77" i="3"/>
  <c r="AI77" i="3"/>
  <c r="AJ77" i="3"/>
  <c r="AK77" i="3"/>
  <c r="AL77" i="3"/>
  <c r="AM77" i="3"/>
  <c r="AN77" i="3"/>
  <c r="AO77" i="3"/>
  <c r="AP77" i="3"/>
  <c r="AQ77" i="3" a="1"/>
  <c r="AR77" i="3" a="1"/>
  <c r="AS77" i="3"/>
  <c r="AT77" i="3" a="1"/>
  <c r="AU77" i="3"/>
  <c r="AV77" i="3" a="1"/>
  <c r="AW77" i="3"/>
  <c r="AX77" i="3"/>
  <c r="AY77" i="3"/>
  <c r="AZ77" i="3"/>
  <c r="BA77" i="3"/>
  <c r="BB77" i="3"/>
  <c r="BC77" i="3"/>
  <c r="BD77" i="3"/>
  <c r="BE77" i="3" a="1"/>
  <c r="BF77" i="3"/>
  <c r="BG77" i="3"/>
  <c r="BH77" i="3" a="1"/>
  <c r="BI77" i="3"/>
  <c r="BJ77" i="3" a="1"/>
  <c r="BK77" i="3" a="1"/>
  <c r="BL77" i="3"/>
  <c r="BM77" i="3"/>
  <c r="B78" i="3"/>
  <c r="C78" i="3"/>
  <c r="D78" i="3"/>
  <c r="E78" i="3"/>
  <c r="F78" i="3"/>
  <c r="G78" i="3"/>
  <c r="H78" i="3"/>
  <c r="I78" i="3"/>
  <c r="J78" i="3"/>
  <c r="K78" i="3"/>
  <c r="L78" i="3"/>
  <c r="M78" i="3" a="1"/>
  <c r="N78" i="3"/>
  <c r="O78" i="3"/>
  <c r="P78" i="3"/>
  <c r="Q78" i="3" a="1"/>
  <c r="R78" i="3"/>
  <c r="S78" i="3"/>
  <c r="T78" i="3"/>
  <c r="U78" i="3"/>
  <c r="V78" i="3" a="1"/>
  <c r="W78" i="3" a="1"/>
  <c r="X78" i="3"/>
  <c r="Y78" i="3"/>
  <c r="Z78" i="3"/>
  <c r="AA78" i="3"/>
  <c r="AB78" i="3" a="1"/>
  <c r="AC78" i="3"/>
  <c r="AD78" i="3" a="1"/>
  <c r="AE78" i="3"/>
  <c r="AG78" i="3"/>
  <c r="AH78" i="3"/>
  <c r="AI78" i="3"/>
  <c r="AJ78" i="3"/>
  <c r="AK78" i="3"/>
  <c r="AL78" i="3"/>
  <c r="AM78" i="3"/>
  <c r="AN78" i="3"/>
  <c r="AO78" i="3"/>
  <c r="AP78" i="3"/>
  <c r="AQ78" i="3" a="1"/>
  <c r="AR78" i="3" a="1"/>
  <c r="AS78" i="3"/>
  <c r="AT78" i="3" a="1"/>
  <c r="AU78" i="3"/>
  <c r="AV78" i="3" a="1"/>
  <c r="AW78" i="3"/>
  <c r="AX78" i="3"/>
  <c r="AY78" i="3"/>
  <c r="AZ78" i="3"/>
  <c r="BA78" i="3"/>
  <c r="BB78" i="3"/>
  <c r="BC78" i="3"/>
  <c r="BD78" i="3"/>
  <c r="BE78" i="3" a="1"/>
  <c r="BF78" i="3"/>
  <c r="BG78" i="3"/>
  <c r="BH78" i="3" a="1"/>
  <c r="BI78" i="3"/>
  <c r="BJ78" i="3" a="1"/>
  <c r="BK78" i="3" a="1"/>
  <c r="BL78" i="3"/>
  <c r="BM78" i="3"/>
  <c r="B79" i="3"/>
  <c r="C79" i="3"/>
  <c r="D79" i="3"/>
  <c r="E79" i="3"/>
  <c r="F79" i="3"/>
  <c r="G79" i="3"/>
  <c r="H79" i="3"/>
  <c r="I79" i="3"/>
  <c r="J79" i="3"/>
  <c r="K79" i="3"/>
  <c r="L79" i="3"/>
  <c r="M79" i="3" a="1"/>
  <c r="N79" i="3"/>
  <c r="O79" i="3"/>
  <c r="P79" i="3"/>
  <c r="Q79" i="3" a="1"/>
  <c r="R79" i="3"/>
  <c r="S79" i="3"/>
  <c r="T79" i="3"/>
  <c r="U79" i="3"/>
  <c r="V79" i="3" a="1"/>
  <c r="W79" i="3" a="1"/>
  <c r="X79" i="3"/>
  <c r="Y79" i="3"/>
  <c r="Z79" i="3"/>
  <c r="AA79" i="3"/>
  <c r="AB79" i="3" a="1"/>
  <c r="AC79" i="3"/>
  <c r="AD79" i="3" a="1"/>
  <c r="AE79" i="3"/>
  <c r="AG79" i="3"/>
  <c r="AH79" i="3"/>
  <c r="AI79" i="3"/>
  <c r="AJ79" i="3"/>
  <c r="AK79" i="3"/>
  <c r="AL79" i="3"/>
  <c r="AM79" i="3"/>
  <c r="AN79" i="3"/>
  <c r="AO79" i="3"/>
  <c r="AP79" i="3"/>
  <c r="AQ79" i="3" a="1"/>
  <c r="AR79" i="3" a="1"/>
  <c r="AS79" i="3"/>
  <c r="AT79" i="3" a="1"/>
  <c r="AU79" i="3"/>
  <c r="AV79" i="3" a="1"/>
  <c r="AW79" i="3"/>
  <c r="AX79" i="3"/>
  <c r="AY79" i="3"/>
  <c r="AZ79" i="3"/>
  <c r="BA79" i="3"/>
  <c r="BB79" i="3"/>
  <c r="BC79" i="3"/>
  <c r="BD79" i="3"/>
  <c r="BE79" i="3" a="1"/>
  <c r="BF79" i="3"/>
  <c r="BG79" i="3"/>
  <c r="BH79" i="3" a="1"/>
  <c r="BI79" i="3"/>
  <c r="BJ79" i="3" a="1"/>
  <c r="BK79" i="3" a="1"/>
  <c r="BL79" i="3"/>
  <c r="BM79" i="3"/>
  <c r="B80" i="3"/>
  <c r="C80" i="3"/>
  <c r="D80" i="3"/>
  <c r="E80" i="3"/>
  <c r="F80" i="3"/>
  <c r="G80" i="3"/>
  <c r="H80" i="3"/>
  <c r="I80" i="3"/>
  <c r="J80" i="3"/>
  <c r="K80" i="3"/>
  <c r="L80" i="3"/>
  <c r="M80" i="3" a="1"/>
  <c r="N80" i="3"/>
  <c r="O80" i="3"/>
  <c r="P80" i="3"/>
  <c r="Q80" i="3" a="1"/>
  <c r="R80" i="3"/>
  <c r="S80" i="3"/>
  <c r="T80" i="3"/>
  <c r="U80" i="3"/>
  <c r="V80" i="3" a="1"/>
  <c r="W80" i="3" a="1"/>
  <c r="X80" i="3"/>
  <c r="Y80" i="3"/>
  <c r="Z80" i="3"/>
  <c r="AA80" i="3"/>
  <c r="AB80" i="3" a="1"/>
  <c r="AC80" i="3"/>
  <c r="AD80" i="3" a="1"/>
  <c r="AE80" i="3"/>
  <c r="AG80" i="3"/>
  <c r="AH80" i="3"/>
  <c r="AI80" i="3"/>
  <c r="AJ80" i="3"/>
  <c r="AK80" i="3"/>
  <c r="AL80" i="3"/>
  <c r="AM80" i="3"/>
  <c r="AN80" i="3"/>
  <c r="AO80" i="3"/>
  <c r="AP80" i="3"/>
  <c r="AQ80" i="3" a="1"/>
  <c r="AR80" i="3" a="1"/>
  <c r="AS80" i="3"/>
  <c r="AT80" i="3" a="1"/>
  <c r="AU80" i="3"/>
  <c r="AV80" i="3" a="1"/>
  <c r="AW80" i="3"/>
  <c r="AX80" i="3"/>
  <c r="AY80" i="3"/>
  <c r="AZ80" i="3"/>
  <c r="BA80" i="3"/>
  <c r="BB80" i="3"/>
  <c r="BC80" i="3"/>
  <c r="BD80" i="3"/>
  <c r="BE80" i="3" a="1"/>
  <c r="BF80" i="3"/>
  <c r="BG80" i="3"/>
  <c r="BH80" i="3" a="1"/>
  <c r="BI80" i="3"/>
  <c r="BJ80" i="3" a="1"/>
  <c r="BK80" i="3" a="1"/>
  <c r="BL80" i="3"/>
  <c r="BM80" i="3"/>
  <c r="B81" i="3"/>
  <c r="C81" i="3"/>
  <c r="D81" i="3"/>
  <c r="E81" i="3"/>
  <c r="F81" i="3"/>
  <c r="G81" i="3"/>
  <c r="H81" i="3"/>
  <c r="I81" i="3"/>
  <c r="J81" i="3"/>
  <c r="K81" i="3"/>
  <c r="L81" i="3"/>
  <c r="M81" i="3" a="1"/>
  <c r="N81" i="3"/>
  <c r="O81" i="3"/>
  <c r="P81" i="3"/>
  <c r="Q81" i="3" a="1"/>
  <c r="R81" i="3"/>
  <c r="S81" i="3"/>
  <c r="T81" i="3"/>
  <c r="U81" i="3"/>
  <c r="V81" i="3" a="1"/>
  <c r="W81" i="3" a="1"/>
  <c r="X81" i="3"/>
  <c r="Y81" i="3"/>
  <c r="Z81" i="3"/>
  <c r="AA81" i="3"/>
  <c r="AB81" i="3" a="1"/>
  <c r="AC81" i="3"/>
  <c r="AD81" i="3" a="1"/>
  <c r="AE81" i="3"/>
  <c r="AG81" i="3"/>
  <c r="AH81" i="3"/>
  <c r="AI81" i="3"/>
  <c r="AJ81" i="3"/>
  <c r="AK81" i="3"/>
  <c r="AL81" i="3"/>
  <c r="AM81" i="3"/>
  <c r="AN81" i="3"/>
  <c r="AO81" i="3"/>
  <c r="AP81" i="3"/>
  <c r="AQ81" i="3" a="1"/>
  <c r="AR81" i="3" a="1"/>
  <c r="AS81" i="3"/>
  <c r="AT81" i="3" a="1"/>
  <c r="AU81" i="3"/>
  <c r="AV81" i="3" a="1"/>
  <c r="AW81" i="3"/>
  <c r="AX81" i="3"/>
  <c r="AY81" i="3"/>
  <c r="AZ81" i="3"/>
  <c r="BA81" i="3"/>
  <c r="BB81" i="3"/>
  <c r="BC81" i="3"/>
  <c r="BD81" i="3"/>
  <c r="BE81" i="3" a="1"/>
  <c r="BF81" i="3"/>
  <c r="BG81" i="3"/>
  <c r="BH81" i="3" a="1"/>
  <c r="BI81" i="3"/>
  <c r="BJ81" i="3" a="1"/>
  <c r="BK81" i="3" a="1"/>
  <c r="BL81" i="3"/>
  <c r="BM81" i="3"/>
  <c r="B82" i="3"/>
  <c r="C82" i="3"/>
  <c r="D82" i="3"/>
  <c r="E82" i="3"/>
  <c r="F82" i="3"/>
  <c r="G82" i="3"/>
  <c r="H82" i="3"/>
  <c r="I82" i="3"/>
  <c r="J82" i="3"/>
  <c r="K82" i="3"/>
  <c r="L82" i="3"/>
  <c r="M82" i="3" a="1"/>
  <c r="N82" i="3"/>
  <c r="O82" i="3"/>
  <c r="P82" i="3"/>
  <c r="Q82" i="3" a="1"/>
  <c r="R82" i="3"/>
  <c r="S82" i="3"/>
  <c r="T82" i="3"/>
  <c r="U82" i="3"/>
  <c r="V82" i="3" a="1"/>
  <c r="W82" i="3" a="1"/>
  <c r="X82" i="3"/>
  <c r="Y82" i="3"/>
  <c r="Z82" i="3"/>
  <c r="AA82" i="3"/>
  <c r="AB82" i="3" a="1"/>
  <c r="AC82" i="3"/>
  <c r="AD82" i="3" a="1"/>
  <c r="AE82" i="3"/>
  <c r="AG82" i="3"/>
  <c r="AH82" i="3"/>
  <c r="AI82" i="3"/>
  <c r="AJ82" i="3"/>
  <c r="AK82" i="3"/>
  <c r="AL82" i="3"/>
  <c r="AM82" i="3"/>
  <c r="AN82" i="3"/>
  <c r="AO82" i="3"/>
  <c r="AP82" i="3"/>
  <c r="AQ82" i="3" a="1"/>
  <c r="AR82" i="3" a="1"/>
  <c r="AS82" i="3"/>
  <c r="AT82" i="3" a="1"/>
  <c r="AU82" i="3"/>
  <c r="AV82" i="3" a="1"/>
  <c r="AW82" i="3"/>
  <c r="AX82" i="3"/>
  <c r="AY82" i="3"/>
  <c r="AZ82" i="3"/>
  <c r="BA82" i="3"/>
  <c r="BB82" i="3"/>
  <c r="BC82" i="3"/>
  <c r="BD82" i="3"/>
  <c r="BE82" i="3" a="1"/>
  <c r="BF82" i="3"/>
  <c r="BG82" i="3"/>
  <c r="BH82" i="3" a="1"/>
  <c r="BI82" i="3"/>
  <c r="BJ82" i="3" a="1"/>
  <c r="BK82" i="3" a="1"/>
  <c r="BL82" i="3"/>
  <c r="BM82" i="3"/>
  <c r="B83" i="3"/>
  <c r="C83" i="3"/>
  <c r="D83" i="3"/>
  <c r="E83" i="3"/>
  <c r="F83" i="3"/>
  <c r="G83" i="3"/>
  <c r="H83" i="3"/>
  <c r="I83" i="3"/>
  <c r="J83" i="3"/>
  <c r="K83" i="3"/>
  <c r="L83" i="3"/>
  <c r="M83" i="3" a="1"/>
  <c r="N83" i="3"/>
  <c r="O83" i="3"/>
  <c r="P83" i="3"/>
  <c r="Q83" i="3" a="1"/>
  <c r="R83" i="3"/>
  <c r="S83" i="3"/>
  <c r="T83" i="3"/>
  <c r="U83" i="3"/>
  <c r="V83" i="3" a="1"/>
  <c r="W83" i="3" a="1"/>
  <c r="X83" i="3"/>
  <c r="Y83" i="3"/>
  <c r="Z83" i="3"/>
  <c r="AA83" i="3"/>
  <c r="AB83" i="3" a="1"/>
  <c r="AC83" i="3"/>
  <c r="AD83" i="3" a="1"/>
  <c r="AE83" i="3"/>
  <c r="AG83" i="3"/>
  <c r="AH83" i="3"/>
  <c r="AI83" i="3"/>
  <c r="AJ83" i="3"/>
  <c r="AK83" i="3"/>
  <c r="AL83" i="3"/>
  <c r="AM83" i="3"/>
  <c r="AN83" i="3"/>
  <c r="AO83" i="3"/>
  <c r="AP83" i="3"/>
  <c r="AQ83" i="3" a="1"/>
  <c r="AR83" i="3" a="1"/>
  <c r="AS83" i="3"/>
  <c r="AT83" i="3" a="1"/>
  <c r="AU83" i="3"/>
  <c r="AV83" i="3" a="1"/>
  <c r="AW83" i="3"/>
  <c r="AX83" i="3"/>
  <c r="AY83" i="3"/>
  <c r="AZ83" i="3"/>
  <c r="BA83" i="3"/>
  <c r="BB83" i="3"/>
  <c r="BC83" i="3"/>
  <c r="BD83" i="3"/>
  <c r="BE83" i="3" a="1"/>
  <c r="BF83" i="3"/>
  <c r="BG83" i="3"/>
  <c r="BH83" i="3" a="1"/>
  <c r="BI83" i="3"/>
  <c r="BJ83" i="3" a="1"/>
  <c r="BK83" i="3" a="1"/>
  <c r="BL83" i="3"/>
  <c r="BM83" i="3"/>
  <c r="B84" i="3"/>
  <c r="C84" i="3"/>
  <c r="D84" i="3"/>
  <c r="E84" i="3"/>
  <c r="F84" i="3"/>
  <c r="G84" i="3"/>
  <c r="H84" i="3"/>
  <c r="I84" i="3"/>
  <c r="J84" i="3"/>
  <c r="K84" i="3"/>
  <c r="L84" i="3"/>
  <c r="M84" i="3" a="1"/>
  <c r="N84" i="3"/>
  <c r="O84" i="3"/>
  <c r="P84" i="3"/>
  <c r="Q84" i="3" a="1"/>
  <c r="R84" i="3"/>
  <c r="S84" i="3"/>
  <c r="T84" i="3"/>
  <c r="U84" i="3"/>
  <c r="V84" i="3" a="1"/>
  <c r="W84" i="3" a="1"/>
  <c r="X84" i="3"/>
  <c r="Y84" i="3"/>
  <c r="Z84" i="3"/>
  <c r="AA84" i="3"/>
  <c r="AB84" i="3" a="1"/>
  <c r="AC84" i="3"/>
  <c r="AD84" i="3" a="1"/>
  <c r="AE84" i="3"/>
  <c r="AG84" i="3"/>
  <c r="AH84" i="3"/>
  <c r="AI84" i="3"/>
  <c r="AJ84" i="3"/>
  <c r="AK84" i="3"/>
  <c r="AL84" i="3"/>
  <c r="AM84" i="3"/>
  <c r="AN84" i="3"/>
  <c r="AO84" i="3"/>
  <c r="AP84" i="3"/>
  <c r="AQ84" i="3" a="1"/>
  <c r="AR84" i="3" a="1"/>
  <c r="AS84" i="3"/>
  <c r="AT84" i="3" a="1"/>
  <c r="AU84" i="3"/>
  <c r="AV84" i="3" a="1"/>
  <c r="AW84" i="3"/>
  <c r="AX84" i="3"/>
  <c r="AY84" i="3"/>
  <c r="AZ84" i="3"/>
  <c r="BA84" i="3"/>
  <c r="BB84" i="3"/>
  <c r="BC84" i="3"/>
  <c r="BD84" i="3"/>
  <c r="BE84" i="3" a="1"/>
  <c r="BF84" i="3"/>
  <c r="BG84" i="3"/>
  <c r="BH84" i="3" a="1"/>
  <c r="BI84" i="3"/>
  <c r="BJ84" i="3" a="1"/>
  <c r="BK84" i="3" a="1"/>
  <c r="BL84" i="3"/>
  <c r="BM84" i="3"/>
  <c r="B85" i="3"/>
  <c r="C85" i="3"/>
  <c r="D85" i="3"/>
  <c r="E85" i="3"/>
  <c r="F85" i="3"/>
  <c r="G85" i="3"/>
  <c r="H85" i="3"/>
  <c r="I85" i="3"/>
  <c r="J85" i="3"/>
  <c r="K85" i="3"/>
  <c r="L85" i="3"/>
  <c r="M85" i="3" a="1"/>
  <c r="N85" i="3"/>
  <c r="O85" i="3"/>
  <c r="P85" i="3"/>
  <c r="Q85" i="3" a="1"/>
  <c r="R85" i="3"/>
  <c r="S85" i="3"/>
  <c r="T85" i="3"/>
  <c r="U85" i="3"/>
  <c r="V85" i="3" a="1"/>
  <c r="W85" i="3" a="1"/>
  <c r="X85" i="3"/>
  <c r="Y85" i="3"/>
  <c r="Z85" i="3"/>
  <c r="AA85" i="3"/>
  <c r="AB85" i="3" a="1"/>
  <c r="AC85" i="3"/>
  <c r="AD85" i="3" a="1"/>
  <c r="AE85" i="3"/>
  <c r="AG85" i="3"/>
  <c r="AH85" i="3"/>
  <c r="AI85" i="3"/>
  <c r="AJ85" i="3"/>
  <c r="AK85" i="3"/>
  <c r="AL85" i="3"/>
  <c r="AM85" i="3"/>
  <c r="AN85" i="3"/>
  <c r="AO85" i="3"/>
  <c r="AP85" i="3"/>
  <c r="AQ85" i="3" a="1"/>
  <c r="AR85" i="3" a="1"/>
  <c r="AS85" i="3"/>
  <c r="AT85" i="3" a="1"/>
  <c r="AU85" i="3"/>
  <c r="AV85" i="3" a="1"/>
  <c r="AW85" i="3"/>
  <c r="AX85" i="3"/>
  <c r="AY85" i="3"/>
  <c r="AZ85" i="3"/>
  <c r="BA85" i="3"/>
  <c r="BB85" i="3"/>
  <c r="BC85" i="3"/>
  <c r="BD85" i="3"/>
  <c r="BE85" i="3" a="1"/>
  <c r="BF85" i="3"/>
  <c r="BG85" i="3"/>
  <c r="BH85" i="3" a="1"/>
  <c r="BI85" i="3"/>
  <c r="BJ85" i="3" a="1"/>
  <c r="BK85" i="3" a="1"/>
  <c r="BL85" i="3"/>
  <c r="BM85" i="3"/>
  <c r="B86" i="3"/>
  <c r="C86" i="3"/>
  <c r="D86" i="3"/>
  <c r="E86" i="3"/>
  <c r="F86" i="3"/>
  <c r="G86" i="3"/>
  <c r="H86" i="3"/>
  <c r="I86" i="3"/>
  <c r="J86" i="3"/>
  <c r="K86" i="3"/>
  <c r="L86" i="3"/>
  <c r="M86" i="3" a="1"/>
  <c r="N86" i="3"/>
  <c r="O86" i="3"/>
  <c r="P86" i="3"/>
  <c r="Q86" i="3" a="1"/>
  <c r="R86" i="3"/>
  <c r="S86" i="3"/>
  <c r="T86" i="3"/>
  <c r="U86" i="3"/>
  <c r="V86" i="3" a="1"/>
  <c r="W86" i="3" a="1"/>
  <c r="X86" i="3"/>
  <c r="Y86" i="3"/>
  <c r="Z86" i="3"/>
  <c r="AA86" i="3"/>
  <c r="AB86" i="3" a="1"/>
  <c r="AC86" i="3"/>
  <c r="AD86" i="3" a="1"/>
  <c r="AE86" i="3"/>
  <c r="AG86" i="3"/>
  <c r="AH86" i="3"/>
  <c r="AI86" i="3"/>
  <c r="AJ86" i="3"/>
  <c r="AK86" i="3"/>
  <c r="AL86" i="3"/>
  <c r="AM86" i="3"/>
  <c r="AN86" i="3"/>
  <c r="AO86" i="3"/>
  <c r="AP86" i="3"/>
  <c r="AQ86" i="3" a="1"/>
  <c r="AR86" i="3" a="1"/>
  <c r="AS86" i="3"/>
  <c r="AT86" i="3" a="1"/>
  <c r="AU86" i="3"/>
  <c r="AV86" i="3" a="1"/>
  <c r="AW86" i="3"/>
  <c r="AX86" i="3"/>
  <c r="AY86" i="3"/>
  <c r="AZ86" i="3"/>
  <c r="BA86" i="3"/>
  <c r="BB86" i="3"/>
  <c r="BC86" i="3"/>
  <c r="BD86" i="3"/>
  <c r="BE86" i="3" a="1"/>
  <c r="BF86" i="3"/>
  <c r="BG86" i="3"/>
  <c r="BH86" i="3" a="1"/>
  <c r="BI86" i="3"/>
  <c r="BJ86" i="3" a="1"/>
  <c r="BK86" i="3" a="1"/>
  <c r="BL86" i="3"/>
  <c r="BM86" i="3"/>
  <c r="B87" i="3"/>
  <c r="C87" i="3"/>
  <c r="D87" i="3"/>
  <c r="E87" i="3"/>
  <c r="F87" i="3"/>
  <c r="G87" i="3"/>
  <c r="H87" i="3"/>
  <c r="I87" i="3"/>
  <c r="J87" i="3"/>
  <c r="K87" i="3"/>
  <c r="L87" i="3"/>
  <c r="M87" i="3" a="1"/>
  <c r="N87" i="3"/>
  <c r="O87" i="3"/>
  <c r="P87" i="3"/>
  <c r="Q87" i="3" a="1"/>
  <c r="R87" i="3"/>
  <c r="S87" i="3"/>
  <c r="T87" i="3"/>
  <c r="U87" i="3"/>
  <c r="V87" i="3" a="1"/>
  <c r="W87" i="3" a="1"/>
  <c r="X87" i="3"/>
  <c r="Y87" i="3"/>
  <c r="Z87" i="3"/>
  <c r="AA87" i="3"/>
  <c r="AB87" i="3" a="1"/>
  <c r="AC87" i="3"/>
  <c r="AD87" i="3" a="1"/>
  <c r="AE87" i="3"/>
  <c r="AG87" i="3"/>
  <c r="AH87" i="3"/>
  <c r="AI87" i="3"/>
  <c r="AJ87" i="3"/>
  <c r="AK87" i="3"/>
  <c r="AL87" i="3"/>
  <c r="AM87" i="3"/>
  <c r="AN87" i="3"/>
  <c r="AO87" i="3"/>
  <c r="AP87" i="3"/>
  <c r="AQ87" i="3" a="1"/>
  <c r="AR87" i="3" a="1"/>
  <c r="AS87" i="3"/>
  <c r="AT87" i="3" a="1"/>
  <c r="AU87" i="3"/>
  <c r="AV87" i="3" a="1"/>
  <c r="AW87" i="3"/>
  <c r="AX87" i="3"/>
  <c r="AY87" i="3"/>
  <c r="AZ87" i="3"/>
  <c r="BA87" i="3"/>
  <c r="BB87" i="3"/>
  <c r="BC87" i="3"/>
  <c r="BD87" i="3"/>
  <c r="BE87" i="3" a="1"/>
  <c r="BF87" i="3"/>
  <c r="BG87" i="3"/>
  <c r="BH87" i="3" a="1"/>
  <c r="BI87" i="3"/>
  <c r="BJ87" i="3" a="1"/>
  <c r="BK87" i="3" a="1"/>
  <c r="BL87" i="3"/>
  <c r="BM87" i="3"/>
  <c r="B88" i="3"/>
  <c r="C88" i="3"/>
  <c r="D88" i="3"/>
  <c r="E88" i="3"/>
  <c r="F88" i="3"/>
  <c r="G88" i="3"/>
  <c r="H88" i="3"/>
  <c r="I88" i="3"/>
  <c r="J88" i="3"/>
  <c r="K88" i="3"/>
  <c r="L88" i="3"/>
  <c r="M88" i="3" a="1"/>
  <c r="N88" i="3"/>
  <c r="O88" i="3"/>
  <c r="P88" i="3"/>
  <c r="Q88" i="3" a="1"/>
  <c r="R88" i="3"/>
  <c r="S88" i="3"/>
  <c r="T88" i="3"/>
  <c r="U88" i="3"/>
  <c r="V88" i="3" a="1"/>
  <c r="W88" i="3" a="1"/>
  <c r="X88" i="3"/>
  <c r="Y88" i="3"/>
  <c r="Z88" i="3"/>
  <c r="AA88" i="3"/>
  <c r="AB88" i="3" a="1"/>
  <c r="AC88" i="3"/>
  <c r="AD88" i="3" a="1"/>
  <c r="AE88" i="3"/>
  <c r="AG88" i="3"/>
  <c r="AH88" i="3"/>
  <c r="AI88" i="3"/>
  <c r="AJ88" i="3"/>
  <c r="AK88" i="3"/>
  <c r="AL88" i="3"/>
  <c r="AM88" i="3"/>
  <c r="AN88" i="3"/>
  <c r="AO88" i="3"/>
  <c r="AP88" i="3"/>
  <c r="AQ88" i="3" a="1"/>
  <c r="AR88" i="3" a="1"/>
  <c r="AS88" i="3"/>
  <c r="AT88" i="3" a="1"/>
  <c r="AU88" i="3"/>
  <c r="AV88" i="3" a="1"/>
  <c r="AW88" i="3"/>
  <c r="AX88" i="3"/>
  <c r="AY88" i="3"/>
  <c r="AZ88" i="3"/>
  <c r="BA88" i="3"/>
  <c r="BB88" i="3"/>
  <c r="BC88" i="3"/>
  <c r="BD88" i="3"/>
  <c r="BE88" i="3" a="1"/>
  <c r="BF88" i="3"/>
  <c r="BG88" i="3"/>
  <c r="BH88" i="3" a="1"/>
  <c r="BI88" i="3"/>
  <c r="BJ88" i="3" a="1"/>
  <c r="BK88" i="3" a="1"/>
  <c r="BL88" i="3"/>
  <c r="BM88" i="3"/>
  <c r="B89" i="3"/>
  <c r="C89" i="3"/>
  <c r="D89" i="3"/>
  <c r="E89" i="3"/>
  <c r="F89" i="3"/>
  <c r="G89" i="3"/>
  <c r="H89" i="3"/>
  <c r="I89" i="3"/>
  <c r="J89" i="3"/>
  <c r="K89" i="3"/>
  <c r="L89" i="3"/>
  <c r="M89" i="3" a="1"/>
  <c r="N89" i="3"/>
  <c r="O89" i="3"/>
  <c r="P89" i="3"/>
  <c r="Q89" i="3" a="1"/>
  <c r="R89" i="3"/>
  <c r="S89" i="3"/>
  <c r="T89" i="3"/>
  <c r="U89" i="3"/>
  <c r="V89" i="3" a="1"/>
  <c r="W89" i="3" a="1"/>
  <c r="X89" i="3"/>
  <c r="Y89" i="3"/>
  <c r="Z89" i="3"/>
  <c r="AA89" i="3"/>
  <c r="AB89" i="3" a="1"/>
  <c r="AC89" i="3"/>
  <c r="AD89" i="3" a="1"/>
  <c r="AE89" i="3"/>
  <c r="AG89" i="3"/>
  <c r="AH89" i="3"/>
  <c r="AI89" i="3"/>
  <c r="AJ89" i="3"/>
  <c r="AK89" i="3"/>
  <c r="AL89" i="3"/>
  <c r="AM89" i="3"/>
  <c r="AN89" i="3"/>
  <c r="AO89" i="3"/>
  <c r="AP89" i="3"/>
  <c r="AQ89" i="3" a="1"/>
  <c r="AR89" i="3" a="1"/>
  <c r="AS89" i="3"/>
  <c r="AT89" i="3" a="1"/>
  <c r="AU89" i="3"/>
  <c r="AV89" i="3" a="1"/>
  <c r="AW89" i="3"/>
  <c r="AX89" i="3"/>
  <c r="AY89" i="3"/>
  <c r="AZ89" i="3"/>
  <c r="BA89" i="3"/>
  <c r="BB89" i="3"/>
  <c r="BC89" i="3"/>
  <c r="BD89" i="3"/>
  <c r="BE89" i="3" a="1"/>
  <c r="BF89" i="3"/>
  <c r="BG89" i="3"/>
  <c r="BH89" i="3" a="1"/>
  <c r="BI89" i="3"/>
  <c r="BJ89" i="3" a="1"/>
  <c r="BK89" i="3" a="1"/>
  <c r="BL89" i="3"/>
  <c r="BM89" i="3"/>
  <c r="B90" i="3"/>
  <c r="C90" i="3"/>
  <c r="D90" i="3"/>
  <c r="E90" i="3"/>
  <c r="F90" i="3"/>
  <c r="G90" i="3"/>
  <c r="H90" i="3"/>
  <c r="I90" i="3"/>
  <c r="J90" i="3"/>
  <c r="K90" i="3"/>
  <c r="L90" i="3"/>
  <c r="M90" i="3" a="1"/>
  <c r="N90" i="3"/>
  <c r="O90" i="3"/>
  <c r="P90" i="3"/>
  <c r="Q90" i="3" a="1"/>
  <c r="R90" i="3"/>
  <c r="S90" i="3"/>
  <c r="T90" i="3"/>
  <c r="U90" i="3"/>
  <c r="V90" i="3" a="1"/>
  <c r="W90" i="3" a="1"/>
  <c r="X90" i="3"/>
  <c r="Y90" i="3"/>
  <c r="Z90" i="3"/>
  <c r="AA90" i="3"/>
  <c r="AB90" i="3" a="1"/>
  <c r="AC90" i="3"/>
  <c r="AD90" i="3" a="1"/>
  <c r="AE90" i="3"/>
  <c r="AG90" i="3"/>
  <c r="AH90" i="3"/>
  <c r="AI90" i="3"/>
  <c r="AJ90" i="3"/>
  <c r="AK90" i="3"/>
  <c r="AL90" i="3"/>
  <c r="AM90" i="3"/>
  <c r="AN90" i="3"/>
  <c r="AO90" i="3"/>
  <c r="AP90" i="3"/>
  <c r="AQ90" i="3" a="1"/>
  <c r="AR90" i="3" a="1"/>
  <c r="AS90" i="3"/>
  <c r="AT90" i="3" a="1"/>
  <c r="AU90" i="3"/>
  <c r="AV90" i="3" a="1"/>
  <c r="AW90" i="3"/>
  <c r="AX90" i="3"/>
  <c r="AY90" i="3"/>
  <c r="AZ90" i="3"/>
  <c r="BA90" i="3"/>
  <c r="BB90" i="3"/>
  <c r="BC90" i="3"/>
  <c r="BD90" i="3"/>
  <c r="BE90" i="3" a="1"/>
  <c r="BF90" i="3"/>
  <c r="BG90" i="3"/>
  <c r="BH90" i="3" a="1"/>
  <c r="BI90" i="3"/>
  <c r="BJ90" i="3" a="1"/>
  <c r="BK90" i="3" a="1"/>
  <c r="BL90" i="3"/>
  <c r="BM90" i="3"/>
  <c r="B91" i="3"/>
  <c r="C91" i="3"/>
  <c r="D91" i="3"/>
  <c r="E91" i="3"/>
  <c r="F91" i="3"/>
  <c r="G91" i="3"/>
  <c r="H91" i="3"/>
  <c r="I91" i="3"/>
  <c r="J91" i="3"/>
  <c r="K91" i="3"/>
  <c r="L91" i="3"/>
  <c r="M91" i="3" a="1"/>
  <c r="N91" i="3"/>
  <c r="O91" i="3"/>
  <c r="P91" i="3"/>
  <c r="Q91" i="3" a="1"/>
  <c r="R91" i="3"/>
  <c r="S91" i="3"/>
  <c r="T91" i="3"/>
  <c r="U91" i="3"/>
  <c r="V91" i="3" a="1"/>
  <c r="W91" i="3" a="1"/>
  <c r="X91" i="3"/>
  <c r="Y91" i="3"/>
  <c r="Z91" i="3"/>
  <c r="AA91" i="3"/>
  <c r="AB91" i="3" a="1"/>
  <c r="AC91" i="3"/>
  <c r="AD91" i="3" a="1"/>
  <c r="AE91" i="3"/>
  <c r="AG91" i="3"/>
  <c r="AH91" i="3"/>
  <c r="AI91" i="3"/>
  <c r="AJ91" i="3"/>
  <c r="AK91" i="3"/>
  <c r="AL91" i="3"/>
  <c r="AM91" i="3"/>
  <c r="AN91" i="3"/>
  <c r="AO91" i="3"/>
  <c r="AP91" i="3"/>
  <c r="AQ91" i="3" a="1"/>
  <c r="AR91" i="3" a="1"/>
  <c r="AS91" i="3"/>
  <c r="AT91" i="3" a="1"/>
  <c r="AU91" i="3"/>
  <c r="AV91" i="3" a="1"/>
  <c r="AW91" i="3"/>
  <c r="AX91" i="3"/>
  <c r="AY91" i="3"/>
  <c r="AZ91" i="3"/>
  <c r="BA91" i="3"/>
  <c r="BB91" i="3"/>
  <c r="BC91" i="3"/>
  <c r="BD91" i="3"/>
  <c r="BE91" i="3" a="1"/>
  <c r="BF91" i="3"/>
  <c r="BG91" i="3"/>
  <c r="BH91" i="3" a="1"/>
  <c r="BI91" i="3"/>
  <c r="BJ91" i="3" a="1"/>
  <c r="BK91" i="3" a="1"/>
  <c r="BL91" i="3"/>
  <c r="BM91" i="3"/>
  <c r="B92" i="3"/>
  <c r="C92" i="3"/>
  <c r="D92" i="3"/>
  <c r="E92" i="3"/>
  <c r="F92" i="3"/>
  <c r="G92" i="3"/>
  <c r="H92" i="3"/>
  <c r="I92" i="3"/>
  <c r="J92" i="3"/>
  <c r="K92" i="3"/>
  <c r="L92" i="3"/>
  <c r="M92" i="3" a="1"/>
  <c r="N92" i="3"/>
  <c r="O92" i="3"/>
  <c r="P92" i="3"/>
  <c r="Q92" i="3" a="1"/>
  <c r="R92" i="3"/>
  <c r="S92" i="3"/>
  <c r="T92" i="3"/>
  <c r="U92" i="3"/>
  <c r="V92" i="3" a="1"/>
  <c r="W92" i="3" a="1"/>
  <c r="X92" i="3"/>
  <c r="Y92" i="3"/>
  <c r="Z92" i="3"/>
  <c r="AA92" i="3"/>
  <c r="AB92" i="3" a="1"/>
  <c r="AC92" i="3"/>
  <c r="AD92" i="3" a="1"/>
  <c r="AE92" i="3"/>
  <c r="AG92" i="3"/>
  <c r="AH92" i="3"/>
  <c r="AI92" i="3"/>
  <c r="AJ92" i="3"/>
  <c r="AK92" i="3"/>
  <c r="AL92" i="3"/>
  <c r="AM92" i="3"/>
  <c r="AN92" i="3"/>
  <c r="AO92" i="3"/>
  <c r="AP92" i="3"/>
  <c r="AQ92" i="3" a="1"/>
  <c r="AR92" i="3" a="1"/>
  <c r="AS92" i="3"/>
  <c r="AT92" i="3" a="1"/>
  <c r="AU92" i="3"/>
  <c r="AV92" i="3" a="1"/>
  <c r="AW92" i="3"/>
  <c r="AX92" i="3"/>
  <c r="AY92" i="3"/>
  <c r="AZ92" i="3"/>
  <c r="BA92" i="3"/>
  <c r="BB92" i="3"/>
  <c r="BC92" i="3"/>
  <c r="BD92" i="3"/>
  <c r="BE92" i="3" a="1"/>
  <c r="BF92" i="3"/>
  <c r="BG92" i="3"/>
  <c r="BH92" i="3" a="1"/>
  <c r="BI92" i="3"/>
  <c r="BJ92" i="3" a="1"/>
  <c r="BK92" i="3" a="1"/>
  <c r="BL92" i="3"/>
  <c r="BM92" i="3"/>
  <c r="B93" i="3"/>
  <c r="C93" i="3"/>
  <c r="D93" i="3"/>
  <c r="E93" i="3"/>
  <c r="F93" i="3"/>
  <c r="G93" i="3"/>
  <c r="H93" i="3"/>
  <c r="I93" i="3"/>
  <c r="J93" i="3"/>
  <c r="K93" i="3"/>
  <c r="L93" i="3"/>
  <c r="M93" i="3" a="1"/>
  <c r="N93" i="3"/>
  <c r="O93" i="3"/>
  <c r="P93" i="3"/>
  <c r="Q93" i="3" a="1"/>
  <c r="R93" i="3"/>
  <c r="S93" i="3"/>
  <c r="T93" i="3"/>
  <c r="U93" i="3"/>
  <c r="V93" i="3" a="1"/>
  <c r="W93" i="3" a="1"/>
  <c r="X93" i="3"/>
  <c r="Y93" i="3"/>
  <c r="Z93" i="3"/>
  <c r="AA93" i="3"/>
  <c r="AB93" i="3" a="1"/>
  <c r="AC93" i="3"/>
  <c r="AD93" i="3" a="1"/>
  <c r="AE93" i="3"/>
  <c r="AG93" i="3"/>
  <c r="AH93" i="3"/>
  <c r="AI93" i="3"/>
  <c r="AJ93" i="3"/>
  <c r="AK93" i="3"/>
  <c r="AL93" i="3"/>
  <c r="AM93" i="3"/>
  <c r="AN93" i="3"/>
  <c r="AO93" i="3"/>
  <c r="AP93" i="3"/>
  <c r="AQ93" i="3" a="1"/>
  <c r="AR93" i="3" a="1"/>
  <c r="AS93" i="3"/>
  <c r="AT93" i="3" a="1"/>
  <c r="AU93" i="3"/>
  <c r="AV93" i="3" a="1"/>
  <c r="AW93" i="3"/>
  <c r="AX93" i="3"/>
  <c r="AY93" i="3"/>
  <c r="AZ93" i="3"/>
  <c r="BA93" i="3"/>
  <c r="BB93" i="3"/>
  <c r="BC93" i="3"/>
  <c r="BD93" i="3"/>
  <c r="BE93" i="3" a="1"/>
  <c r="BF93" i="3"/>
  <c r="BG93" i="3"/>
  <c r="BH93" i="3" a="1"/>
  <c r="BI93" i="3"/>
  <c r="BJ93" i="3" a="1"/>
  <c r="BK93" i="3" a="1"/>
  <c r="BL93" i="3"/>
  <c r="BM93" i="3"/>
  <c r="B94" i="3"/>
  <c r="C94" i="3"/>
  <c r="D94" i="3"/>
  <c r="E94" i="3"/>
  <c r="F94" i="3"/>
  <c r="G94" i="3"/>
  <c r="H94" i="3"/>
  <c r="I94" i="3"/>
  <c r="J94" i="3"/>
  <c r="K94" i="3"/>
  <c r="L94" i="3"/>
  <c r="M94" i="3" a="1"/>
  <c r="N94" i="3"/>
  <c r="O94" i="3"/>
  <c r="P94" i="3"/>
  <c r="Q94" i="3" a="1"/>
  <c r="R94" i="3"/>
  <c r="S94" i="3"/>
  <c r="T94" i="3"/>
  <c r="U94" i="3"/>
  <c r="V94" i="3" a="1"/>
  <c r="W94" i="3" a="1"/>
  <c r="X94" i="3"/>
  <c r="Y94" i="3"/>
  <c r="Z94" i="3"/>
  <c r="AA94" i="3"/>
  <c r="AB94" i="3" a="1"/>
  <c r="AC94" i="3"/>
  <c r="AD94" i="3" a="1"/>
  <c r="AE94" i="3"/>
  <c r="AG94" i="3"/>
  <c r="AH94" i="3"/>
  <c r="AI94" i="3"/>
  <c r="AJ94" i="3"/>
  <c r="AK94" i="3"/>
  <c r="AL94" i="3"/>
  <c r="AM94" i="3"/>
  <c r="AN94" i="3"/>
  <c r="AO94" i="3"/>
  <c r="AP94" i="3"/>
  <c r="AQ94" i="3" a="1"/>
  <c r="AR94" i="3" a="1"/>
  <c r="AS94" i="3"/>
  <c r="AT94" i="3" a="1"/>
  <c r="AU94" i="3"/>
  <c r="AV94" i="3" a="1"/>
  <c r="AW94" i="3"/>
  <c r="AX94" i="3"/>
  <c r="AY94" i="3"/>
  <c r="AZ94" i="3"/>
  <c r="BA94" i="3"/>
  <c r="BB94" i="3"/>
  <c r="BC94" i="3"/>
  <c r="BD94" i="3"/>
  <c r="BE94" i="3" a="1"/>
  <c r="BF94" i="3"/>
  <c r="BG94" i="3"/>
  <c r="BH94" i="3" a="1"/>
  <c r="BI94" i="3"/>
  <c r="BJ94" i="3" a="1"/>
  <c r="BK94" i="3" a="1"/>
  <c r="BL94" i="3"/>
  <c r="BM94" i="3"/>
  <c r="B95" i="3"/>
  <c r="C95" i="3"/>
  <c r="D95" i="3"/>
  <c r="E95" i="3"/>
  <c r="F95" i="3"/>
  <c r="G95" i="3"/>
  <c r="H95" i="3"/>
  <c r="I95" i="3"/>
  <c r="J95" i="3"/>
  <c r="K95" i="3"/>
  <c r="L95" i="3"/>
  <c r="M95" i="3" a="1"/>
  <c r="N95" i="3"/>
  <c r="O95" i="3"/>
  <c r="P95" i="3"/>
  <c r="Q95" i="3" a="1"/>
  <c r="R95" i="3"/>
  <c r="S95" i="3"/>
  <c r="T95" i="3"/>
  <c r="U95" i="3"/>
  <c r="V95" i="3" a="1"/>
  <c r="W95" i="3" a="1"/>
  <c r="X95" i="3"/>
  <c r="Y95" i="3"/>
  <c r="Z95" i="3"/>
  <c r="AA95" i="3"/>
  <c r="AB95" i="3" a="1"/>
  <c r="AC95" i="3"/>
  <c r="AD95" i="3" a="1"/>
  <c r="AE95" i="3"/>
  <c r="AG95" i="3"/>
  <c r="AH95" i="3"/>
  <c r="AI95" i="3"/>
  <c r="AJ95" i="3"/>
  <c r="AK95" i="3"/>
  <c r="AL95" i="3"/>
  <c r="AM95" i="3"/>
  <c r="AN95" i="3"/>
  <c r="AO95" i="3"/>
  <c r="AP95" i="3"/>
  <c r="AQ95" i="3" a="1"/>
  <c r="AR95" i="3" a="1"/>
  <c r="AS95" i="3"/>
  <c r="AT95" i="3" a="1"/>
  <c r="AU95" i="3"/>
  <c r="AV95" i="3" a="1"/>
  <c r="AW95" i="3"/>
  <c r="AX95" i="3"/>
  <c r="AY95" i="3"/>
  <c r="AZ95" i="3"/>
  <c r="BA95" i="3"/>
  <c r="BB95" i="3"/>
  <c r="BC95" i="3"/>
  <c r="BD95" i="3"/>
  <c r="BE95" i="3" a="1"/>
  <c r="BF95" i="3"/>
  <c r="BG95" i="3"/>
  <c r="BH95" i="3" a="1"/>
  <c r="BI95" i="3"/>
  <c r="BJ95" i="3" a="1"/>
  <c r="BK95" i="3" a="1"/>
  <c r="BL95" i="3"/>
  <c r="BM95" i="3"/>
  <c r="B96" i="3"/>
  <c r="C96" i="3"/>
  <c r="D96" i="3"/>
  <c r="E96" i="3"/>
  <c r="F96" i="3"/>
  <c r="G96" i="3"/>
  <c r="H96" i="3"/>
  <c r="I96" i="3"/>
  <c r="J96" i="3"/>
  <c r="K96" i="3"/>
  <c r="L96" i="3"/>
  <c r="M96" i="3" a="1"/>
  <c r="N96" i="3"/>
  <c r="O96" i="3"/>
  <c r="P96" i="3"/>
  <c r="Q96" i="3" a="1"/>
  <c r="R96" i="3"/>
  <c r="S96" i="3"/>
  <c r="T96" i="3"/>
  <c r="U96" i="3"/>
  <c r="V96" i="3" a="1"/>
  <c r="W96" i="3" a="1"/>
  <c r="X96" i="3"/>
  <c r="Y96" i="3"/>
  <c r="Z96" i="3"/>
  <c r="AA96" i="3"/>
  <c r="AB96" i="3" a="1"/>
  <c r="AC96" i="3"/>
  <c r="AD96" i="3" a="1"/>
  <c r="AE96" i="3"/>
  <c r="AG96" i="3"/>
  <c r="AH96" i="3"/>
  <c r="AI96" i="3"/>
  <c r="AJ96" i="3"/>
  <c r="AK96" i="3"/>
  <c r="AL96" i="3"/>
  <c r="AM96" i="3"/>
  <c r="AN96" i="3"/>
  <c r="AO96" i="3"/>
  <c r="AP96" i="3"/>
  <c r="AQ96" i="3" a="1"/>
  <c r="AR96" i="3" a="1"/>
  <c r="AS96" i="3"/>
  <c r="AT96" i="3" a="1"/>
  <c r="AU96" i="3"/>
  <c r="AV96" i="3" a="1"/>
  <c r="AW96" i="3"/>
  <c r="AX96" i="3"/>
  <c r="AY96" i="3"/>
  <c r="AZ96" i="3"/>
  <c r="BA96" i="3"/>
  <c r="BB96" i="3"/>
  <c r="BC96" i="3"/>
  <c r="BD96" i="3"/>
  <c r="BE96" i="3" a="1"/>
  <c r="BF96" i="3"/>
  <c r="BG96" i="3"/>
  <c r="BH96" i="3" a="1"/>
  <c r="BI96" i="3"/>
  <c r="BJ96" i="3" a="1"/>
  <c r="BK96" i="3" a="1"/>
  <c r="BL96" i="3"/>
  <c r="BM96" i="3"/>
  <c r="B97" i="3"/>
  <c r="C97" i="3"/>
  <c r="D97" i="3"/>
  <c r="E97" i="3"/>
  <c r="F97" i="3"/>
  <c r="G97" i="3"/>
  <c r="H97" i="3"/>
  <c r="I97" i="3"/>
  <c r="J97" i="3"/>
  <c r="K97" i="3"/>
  <c r="L97" i="3"/>
  <c r="M97" i="3" a="1"/>
  <c r="N97" i="3"/>
  <c r="O97" i="3"/>
  <c r="P97" i="3"/>
  <c r="Q97" i="3" a="1"/>
  <c r="R97" i="3"/>
  <c r="S97" i="3"/>
  <c r="T97" i="3"/>
  <c r="U97" i="3"/>
  <c r="V97" i="3" a="1"/>
  <c r="W97" i="3" a="1"/>
  <c r="X97" i="3"/>
  <c r="Y97" i="3"/>
  <c r="Z97" i="3"/>
  <c r="AA97" i="3"/>
  <c r="AB97" i="3" a="1"/>
  <c r="AC97" i="3"/>
  <c r="AD97" i="3" a="1"/>
  <c r="AE97" i="3"/>
  <c r="AG97" i="3"/>
  <c r="AH97" i="3"/>
  <c r="AI97" i="3"/>
  <c r="AJ97" i="3"/>
  <c r="AK97" i="3"/>
  <c r="AL97" i="3"/>
  <c r="AM97" i="3"/>
  <c r="AN97" i="3"/>
  <c r="AO97" i="3"/>
  <c r="AP97" i="3"/>
  <c r="AQ97" i="3" a="1"/>
  <c r="AR97" i="3" a="1"/>
  <c r="AS97" i="3"/>
  <c r="AT97" i="3" a="1"/>
  <c r="AU97" i="3"/>
  <c r="AV97" i="3" a="1"/>
  <c r="AW97" i="3"/>
  <c r="AX97" i="3"/>
  <c r="AY97" i="3"/>
  <c r="AZ97" i="3"/>
  <c r="BA97" i="3"/>
  <c r="BB97" i="3"/>
  <c r="BC97" i="3"/>
  <c r="BD97" i="3"/>
  <c r="BE97" i="3" a="1"/>
  <c r="BF97" i="3"/>
  <c r="BG97" i="3"/>
  <c r="BH97" i="3" a="1"/>
  <c r="BI97" i="3"/>
  <c r="BJ97" i="3" a="1"/>
  <c r="BK97" i="3" a="1"/>
  <c r="BL97" i="3"/>
  <c r="BM97" i="3"/>
  <c r="B98" i="3"/>
  <c r="C98" i="3"/>
  <c r="D98" i="3"/>
  <c r="E98" i="3"/>
  <c r="F98" i="3"/>
  <c r="G98" i="3"/>
  <c r="H98" i="3"/>
  <c r="I98" i="3"/>
  <c r="J98" i="3"/>
  <c r="K98" i="3"/>
  <c r="L98" i="3"/>
  <c r="M98" i="3" a="1"/>
  <c r="N98" i="3"/>
  <c r="O98" i="3"/>
  <c r="P98" i="3"/>
  <c r="Q98" i="3" a="1"/>
  <c r="R98" i="3"/>
  <c r="S98" i="3"/>
  <c r="T98" i="3"/>
  <c r="U98" i="3"/>
  <c r="V98" i="3" a="1"/>
  <c r="W98" i="3" a="1"/>
  <c r="X98" i="3"/>
  <c r="Y98" i="3"/>
  <c r="Z98" i="3"/>
  <c r="AA98" i="3"/>
  <c r="AB98" i="3" a="1"/>
  <c r="AC98" i="3"/>
  <c r="AD98" i="3" a="1"/>
  <c r="AE98" i="3"/>
  <c r="AG98" i="3"/>
  <c r="AH98" i="3"/>
  <c r="AI98" i="3"/>
  <c r="AJ98" i="3"/>
  <c r="AK98" i="3"/>
  <c r="AL98" i="3"/>
  <c r="AM98" i="3"/>
  <c r="AN98" i="3"/>
  <c r="AO98" i="3"/>
  <c r="AP98" i="3"/>
  <c r="AQ98" i="3" a="1"/>
  <c r="AR98" i="3" a="1"/>
  <c r="AS98" i="3"/>
  <c r="AT98" i="3" a="1"/>
  <c r="AU98" i="3"/>
  <c r="AV98" i="3" a="1"/>
  <c r="AW98" i="3"/>
  <c r="AX98" i="3"/>
  <c r="AY98" i="3"/>
  <c r="AZ98" i="3"/>
  <c r="BA98" i="3"/>
  <c r="BB98" i="3"/>
  <c r="BC98" i="3"/>
  <c r="BD98" i="3"/>
  <c r="BE98" i="3" a="1"/>
  <c r="BF98" i="3"/>
  <c r="BG98" i="3"/>
  <c r="BH98" i="3" a="1"/>
  <c r="BI98" i="3"/>
  <c r="BJ98" i="3" a="1"/>
  <c r="BK98" i="3" a="1"/>
  <c r="BL98" i="3"/>
  <c r="BM98" i="3"/>
  <c r="B99" i="3"/>
  <c r="C99" i="3"/>
  <c r="D99" i="3"/>
  <c r="E99" i="3"/>
  <c r="F99" i="3"/>
  <c r="G99" i="3"/>
  <c r="H99" i="3"/>
  <c r="I99" i="3"/>
  <c r="J99" i="3"/>
  <c r="K99" i="3"/>
  <c r="L99" i="3"/>
  <c r="M99" i="3" a="1"/>
  <c r="N99" i="3"/>
  <c r="O99" i="3"/>
  <c r="P99" i="3"/>
  <c r="Q99" i="3" a="1"/>
  <c r="R99" i="3"/>
  <c r="S99" i="3"/>
  <c r="T99" i="3"/>
  <c r="U99" i="3"/>
  <c r="V99" i="3" a="1"/>
  <c r="W99" i="3" a="1"/>
  <c r="X99" i="3"/>
  <c r="Y99" i="3"/>
  <c r="Z99" i="3"/>
  <c r="AA99" i="3"/>
  <c r="AB99" i="3" a="1"/>
  <c r="AC99" i="3"/>
  <c r="AD99" i="3" a="1"/>
  <c r="AE99" i="3"/>
  <c r="AG99" i="3"/>
  <c r="AH99" i="3"/>
  <c r="AI99" i="3"/>
  <c r="AJ99" i="3"/>
  <c r="AK99" i="3"/>
  <c r="AL99" i="3"/>
  <c r="AM99" i="3"/>
  <c r="AN99" i="3"/>
  <c r="AO99" i="3"/>
  <c r="AP99" i="3"/>
  <c r="AQ99" i="3" a="1"/>
  <c r="AR99" i="3" a="1"/>
  <c r="AS99" i="3"/>
  <c r="AT99" i="3" a="1"/>
  <c r="AU99" i="3"/>
  <c r="AV99" i="3" a="1"/>
  <c r="AW99" i="3"/>
  <c r="AX99" i="3"/>
  <c r="AY99" i="3"/>
  <c r="AZ99" i="3"/>
  <c r="BA99" i="3"/>
  <c r="BB99" i="3"/>
  <c r="BC99" i="3"/>
  <c r="BD99" i="3"/>
  <c r="BE99" i="3" a="1"/>
  <c r="BF99" i="3"/>
  <c r="BG99" i="3"/>
  <c r="BH99" i="3" a="1"/>
  <c r="BI99" i="3"/>
  <c r="BJ99" i="3" a="1"/>
  <c r="BK99" i="3" a="1"/>
  <c r="BL99" i="3"/>
  <c r="BM99" i="3"/>
  <c r="B100" i="3"/>
  <c r="C100" i="3"/>
  <c r="D100" i="3"/>
  <c r="E100" i="3"/>
  <c r="F100" i="3"/>
  <c r="G100" i="3"/>
  <c r="H100" i="3"/>
  <c r="I100" i="3"/>
  <c r="J100" i="3"/>
  <c r="K100" i="3"/>
  <c r="L100" i="3"/>
  <c r="M100" i="3" a="1"/>
  <c r="N100" i="3"/>
  <c r="O100" i="3"/>
  <c r="P100" i="3"/>
  <c r="Q100" i="3" a="1"/>
  <c r="R100" i="3"/>
  <c r="S100" i="3"/>
  <c r="T100" i="3"/>
  <c r="U100" i="3"/>
  <c r="V100" i="3" a="1"/>
  <c r="W100" i="3" a="1"/>
  <c r="X100" i="3"/>
  <c r="Y100" i="3"/>
  <c r="Z100" i="3"/>
  <c r="AA100" i="3"/>
  <c r="AB100" i="3" a="1"/>
  <c r="AC100" i="3"/>
  <c r="AD100" i="3" a="1"/>
  <c r="AE100" i="3"/>
  <c r="AG100" i="3"/>
  <c r="AH100" i="3"/>
  <c r="AI100" i="3"/>
  <c r="AJ100" i="3"/>
  <c r="AK100" i="3"/>
  <c r="AL100" i="3"/>
  <c r="AM100" i="3"/>
  <c r="AN100" i="3"/>
  <c r="AO100" i="3"/>
  <c r="AP100" i="3"/>
  <c r="AQ100" i="3" a="1"/>
  <c r="AR100" i="3" a="1"/>
  <c r="AS100" i="3"/>
  <c r="AT100" i="3" a="1"/>
  <c r="AU100" i="3"/>
  <c r="AV100" i="3" a="1"/>
  <c r="AW100" i="3"/>
  <c r="AX100" i="3"/>
  <c r="AY100" i="3"/>
  <c r="AZ100" i="3"/>
  <c r="BA100" i="3"/>
  <c r="BB100" i="3"/>
  <c r="BC100" i="3"/>
  <c r="BD100" i="3"/>
  <c r="BE100" i="3" a="1"/>
  <c r="BF100" i="3"/>
  <c r="BG100" i="3"/>
  <c r="BH100" i="3" a="1"/>
  <c r="BI100" i="3"/>
  <c r="BJ100" i="3" a="1"/>
  <c r="BK100" i="3" a="1"/>
  <c r="BL100" i="3"/>
  <c r="BM100" i="3"/>
  <c r="B101" i="3"/>
  <c r="C101" i="3"/>
  <c r="D101" i="3"/>
  <c r="E101" i="3"/>
  <c r="F101" i="3"/>
  <c r="G101" i="3"/>
  <c r="H101" i="3"/>
  <c r="I101" i="3"/>
  <c r="J101" i="3"/>
  <c r="K101" i="3"/>
  <c r="L101" i="3"/>
  <c r="M101" i="3" a="1"/>
  <c r="N101" i="3"/>
  <c r="O101" i="3"/>
  <c r="P101" i="3"/>
  <c r="Q101" i="3" a="1"/>
  <c r="R101" i="3"/>
  <c r="S101" i="3"/>
  <c r="T101" i="3"/>
  <c r="U101" i="3"/>
  <c r="V101" i="3" a="1"/>
  <c r="W101" i="3" a="1"/>
  <c r="X101" i="3"/>
  <c r="Y101" i="3"/>
  <c r="Z101" i="3"/>
  <c r="AA101" i="3"/>
  <c r="AB101" i="3" a="1"/>
  <c r="AC101" i="3"/>
  <c r="AD101" i="3" a="1"/>
  <c r="AE101" i="3"/>
  <c r="AG101" i="3"/>
  <c r="AH101" i="3"/>
  <c r="AI101" i="3"/>
  <c r="AJ101" i="3"/>
  <c r="AK101" i="3"/>
  <c r="AL101" i="3"/>
  <c r="AM101" i="3"/>
  <c r="AN101" i="3"/>
  <c r="AO101" i="3"/>
  <c r="AP101" i="3"/>
  <c r="AQ101" i="3" a="1"/>
  <c r="AR101" i="3" a="1"/>
  <c r="AS101" i="3"/>
  <c r="AT101" i="3" a="1"/>
  <c r="AU101" i="3"/>
  <c r="AV101" i="3" a="1"/>
  <c r="AW101" i="3"/>
  <c r="AX101" i="3"/>
  <c r="AY101" i="3"/>
  <c r="AZ101" i="3"/>
  <c r="BA101" i="3"/>
  <c r="BB101" i="3"/>
  <c r="BC101" i="3"/>
  <c r="BD101" i="3"/>
  <c r="BE101" i="3" a="1"/>
  <c r="BF101" i="3"/>
  <c r="BG101" i="3"/>
  <c r="BH101" i="3" a="1"/>
  <c r="BI101" i="3"/>
  <c r="BJ101" i="3" a="1"/>
  <c r="BK101" i="3" a="1"/>
  <c r="BL101" i="3"/>
  <c r="BM101" i="3"/>
  <c r="B102" i="3"/>
  <c r="C102" i="3"/>
  <c r="D102" i="3"/>
  <c r="E102" i="3"/>
  <c r="F102" i="3"/>
  <c r="G102" i="3"/>
  <c r="H102" i="3"/>
  <c r="I102" i="3"/>
  <c r="J102" i="3"/>
  <c r="K102" i="3"/>
  <c r="L102" i="3"/>
  <c r="M102" i="3" a="1"/>
  <c r="N102" i="3"/>
  <c r="O102" i="3"/>
  <c r="P102" i="3"/>
  <c r="Q102" i="3" a="1"/>
  <c r="R102" i="3"/>
  <c r="S102" i="3"/>
  <c r="T102" i="3"/>
  <c r="U102" i="3"/>
  <c r="V102" i="3" a="1"/>
  <c r="W102" i="3" a="1"/>
  <c r="X102" i="3"/>
  <c r="Y102" i="3"/>
  <c r="Z102" i="3"/>
  <c r="AA102" i="3"/>
  <c r="AB102" i="3" a="1"/>
  <c r="AC102" i="3"/>
  <c r="AD102" i="3" a="1"/>
  <c r="AE102" i="3"/>
  <c r="AG102" i="3"/>
  <c r="AH102" i="3"/>
  <c r="AI102" i="3"/>
  <c r="AJ102" i="3"/>
  <c r="AK102" i="3"/>
  <c r="AL102" i="3"/>
  <c r="AM102" i="3"/>
  <c r="AN102" i="3"/>
  <c r="AO102" i="3"/>
  <c r="AP102" i="3"/>
  <c r="AQ102" i="3" a="1"/>
  <c r="AR102" i="3" a="1"/>
  <c r="AS102" i="3"/>
  <c r="AT102" i="3" a="1"/>
  <c r="AU102" i="3"/>
  <c r="AV102" i="3" a="1"/>
  <c r="AW102" i="3"/>
  <c r="AX102" i="3"/>
  <c r="AY102" i="3"/>
  <c r="AZ102" i="3"/>
  <c r="BA102" i="3"/>
  <c r="BB102" i="3"/>
  <c r="BC102" i="3"/>
  <c r="BD102" i="3"/>
  <c r="BE102" i="3" a="1"/>
  <c r="BF102" i="3"/>
  <c r="BG102" i="3"/>
  <c r="BH102" i="3" a="1"/>
  <c r="BI102" i="3"/>
  <c r="BJ102" i="3" a="1"/>
  <c r="BK102" i="3" a="1"/>
  <c r="BL102" i="3"/>
  <c r="BM102" i="3"/>
  <c r="B103" i="3"/>
  <c r="C103" i="3"/>
  <c r="D103" i="3"/>
  <c r="E103" i="3"/>
  <c r="F103" i="3"/>
  <c r="G103" i="3"/>
  <c r="H103" i="3"/>
  <c r="I103" i="3"/>
  <c r="J103" i="3"/>
  <c r="K103" i="3"/>
  <c r="L103" i="3"/>
  <c r="M103" i="3" a="1"/>
  <c r="N103" i="3"/>
  <c r="O103" i="3"/>
  <c r="P103" i="3"/>
  <c r="Q103" i="3" a="1"/>
  <c r="R103" i="3"/>
  <c r="S103" i="3"/>
  <c r="T103" i="3"/>
  <c r="U103" i="3"/>
  <c r="V103" i="3" a="1"/>
  <c r="W103" i="3" a="1"/>
  <c r="X103" i="3"/>
  <c r="Y103" i="3"/>
  <c r="Z103" i="3"/>
  <c r="AA103" i="3"/>
  <c r="AB103" i="3" a="1"/>
  <c r="AC103" i="3"/>
  <c r="AD103" i="3" a="1"/>
  <c r="AE103" i="3"/>
  <c r="AG103" i="3"/>
  <c r="AH103" i="3"/>
  <c r="AI103" i="3"/>
  <c r="AJ103" i="3"/>
  <c r="AK103" i="3"/>
  <c r="AL103" i="3"/>
  <c r="AM103" i="3"/>
  <c r="AN103" i="3"/>
  <c r="AO103" i="3"/>
  <c r="AP103" i="3"/>
  <c r="AQ103" i="3" a="1"/>
  <c r="AR103" i="3" a="1"/>
  <c r="AS103" i="3"/>
  <c r="AT103" i="3" a="1"/>
  <c r="AU103" i="3"/>
  <c r="AV103" i="3" a="1"/>
  <c r="AW103" i="3"/>
  <c r="AX103" i="3"/>
  <c r="AY103" i="3"/>
  <c r="AZ103" i="3"/>
  <c r="BA103" i="3"/>
  <c r="BB103" i="3"/>
  <c r="BC103" i="3"/>
  <c r="BD103" i="3"/>
  <c r="BE103" i="3" a="1"/>
  <c r="BF103" i="3"/>
  <c r="BG103" i="3"/>
  <c r="BH103" i="3" a="1"/>
  <c r="BI103" i="3"/>
  <c r="BJ103" i="3" a="1"/>
  <c r="BK103" i="3" a="1"/>
  <c r="BL103" i="3"/>
  <c r="BM103" i="3"/>
  <c r="B104" i="3"/>
  <c r="C104" i="3"/>
  <c r="D104" i="3"/>
  <c r="E104" i="3"/>
  <c r="F104" i="3"/>
  <c r="G104" i="3"/>
  <c r="H104" i="3"/>
  <c r="I104" i="3"/>
  <c r="J104" i="3"/>
  <c r="K104" i="3"/>
  <c r="L104" i="3"/>
  <c r="M104" i="3" a="1"/>
  <c r="N104" i="3"/>
  <c r="O104" i="3"/>
  <c r="P104" i="3"/>
  <c r="Q104" i="3" a="1"/>
  <c r="R104" i="3"/>
  <c r="S104" i="3"/>
  <c r="T104" i="3"/>
  <c r="U104" i="3"/>
  <c r="V104" i="3" a="1"/>
  <c r="W104" i="3" a="1"/>
  <c r="X104" i="3"/>
  <c r="Y104" i="3"/>
  <c r="Z104" i="3"/>
  <c r="AA104" i="3"/>
  <c r="AB104" i="3" a="1"/>
  <c r="AC104" i="3"/>
  <c r="AD104" i="3" a="1"/>
  <c r="AE104" i="3"/>
  <c r="AG104" i="3"/>
  <c r="AH104" i="3"/>
  <c r="AI104" i="3"/>
  <c r="AJ104" i="3"/>
  <c r="AK104" i="3"/>
  <c r="AL104" i="3"/>
  <c r="AM104" i="3"/>
  <c r="AN104" i="3"/>
  <c r="AO104" i="3"/>
  <c r="AP104" i="3"/>
  <c r="AQ104" i="3" a="1"/>
  <c r="AR104" i="3" a="1"/>
  <c r="AS104" i="3"/>
  <c r="AT104" i="3" a="1"/>
  <c r="AU104" i="3"/>
  <c r="AV104" i="3" a="1"/>
  <c r="AW104" i="3"/>
  <c r="AX104" i="3"/>
  <c r="AY104" i="3"/>
  <c r="AZ104" i="3"/>
  <c r="BA104" i="3"/>
  <c r="BB104" i="3"/>
  <c r="BC104" i="3"/>
  <c r="BD104" i="3"/>
  <c r="BE104" i="3" a="1"/>
  <c r="BF104" i="3"/>
  <c r="BG104" i="3"/>
  <c r="BH104" i="3" a="1"/>
  <c r="BI104" i="3"/>
  <c r="BJ104" i="3" a="1"/>
  <c r="BK104" i="3" a="1"/>
  <c r="BL104" i="3"/>
  <c r="BM104" i="3"/>
  <c r="B105" i="3"/>
  <c r="C105" i="3"/>
  <c r="D105" i="3"/>
  <c r="E105" i="3"/>
  <c r="F105" i="3"/>
  <c r="G105" i="3"/>
  <c r="H105" i="3"/>
  <c r="I105" i="3"/>
  <c r="J105" i="3"/>
  <c r="K105" i="3"/>
  <c r="L105" i="3"/>
  <c r="M105" i="3" a="1"/>
  <c r="N105" i="3"/>
  <c r="O105" i="3"/>
  <c r="P105" i="3"/>
  <c r="Q105" i="3" a="1"/>
  <c r="R105" i="3"/>
  <c r="S105" i="3"/>
  <c r="T105" i="3"/>
  <c r="U105" i="3"/>
  <c r="V105" i="3" a="1"/>
  <c r="W105" i="3"/>
  <c r="W105" i="3" a="1"/>
  <c r="X105" i="3"/>
  <c r="Y105" i="3"/>
  <c r="Z105" i="3"/>
  <c r="AA105" i="3"/>
  <c r="AB105" i="3" a="1"/>
  <c r="AC105" i="3"/>
  <c r="AD105" i="3" a="1"/>
  <c r="AE105" i="3"/>
  <c r="AG105" i="3"/>
  <c r="AH105" i="3"/>
  <c r="AI105" i="3"/>
  <c r="AJ105" i="3"/>
  <c r="AK105" i="3"/>
  <c r="AL105" i="3"/>
  <c r="AM105" i="3"/>
  <c r="AN105" i="3"/>
  <c r="AO105" i="3"/>
  <c r="AP105" i="3"/>
  <c r="AQ105" i="3" a="1"/>
  <c r="AR105" i="3" a="1"/>
  <c r="AS105" i="3"/>
  <c r="AT105" i="3" a="1"/>
  <c r="AU105" i="3"/>
  <c r="AV105" i="3" a="1"/>
  <c r="AW105" i="3"/>
  <c r="AX105" i="3"/>
  <c r="AY105" i="3"/>
  <c r="AZ105" i="3"/>
  <c r="BA105" i="3"/>
  <c r="BB105" i="3"/>
  <c r="BC105" i="3"/>
  <c r="BD105" i="3"/>
  <c r="BE105" i="3" a="1"/>
  <c r="BF105" i="3"/>
  <c r="BG105" i="3"/>
  <c r="BH105" i="3" a="1"/>
  <c r="BI105" i="3"/>
  <c r="BJ105" i="3" a="1"/>
  <c r="BK105" i="3" a="1"/>
  <c r="BL105" i="3"/>
  <c r="BM105" i="3"/>
  <c r="B106" i="3"/>
  <c r="C106" i="3"/>
  <c r="D106" i="3"/>
  <c r="E106" i="3"/>
  <c r="F106" i="3"/>
  <c r="G106" i="3"/>
  <c r="H106" i="3"/>
  <c r="I106" i="3"/>
  <c r="J106" i="3"/>
  <c r="K106" i="3"/>
  <c r="L106" i="3"/>
  <c r="M106" i="3" a="1"/>
  <c r="N106" i="3"/>
  <c r="O106" i="3"/>
  <c r="P106" i="3"/>
  <c r="Q106" i="3" a="1"/>
  <c r="R106" i="3"/>
  <c r="S106" i="3"/>
  <c r="T106" i="3"/>
  <c r="U106" i="3"/>
  <c r="V106" i="3" a="1"/>
  <c r="W106" i="3" a="1"/>
  <c r="X106" i="3"/>
  <c r="Y106" i="3"/>
  <c r="Z106" i="3"/>
  <c r="AA106" i="3"/>
  <c r="AB106" i="3" a="1"/>
  <c r="AC106" i="3"/>
  <c r="AD106" i="3" a="1"/>
  <c r="AE106" i="3"/>
  <c r="AG106" i="3"/>
  <c r="AH106" i="3"/>
  <c r="AI106" i="3"/>
  <c r="AJ106" i="3"/>
  <c r="AK106" i="3"/>
  <c r="AL106" i="3"/>
  <c r="AM106" i="3"/>
  <c r="AN106" i="3"/>
  <c r="AO106" i="3"/>
  <c r="AP106" i="3"/>
  <c r="AQ106" i="3" a="1"/>
  <c r="AR106" i="3" a="1"/>
  <c r="AS106" i="3"/>
  <c r="AT106" i="3" a="1"/>
  <c r="AU106" i="3"/>
  <c r="AV106" i="3" a="1"/>
  <c r="AW106" i="3"/>
  <c r="AX106" i="3"/>
  <c r="AY106" i="3"/>
  <c r="AZ106" i="3"/>
  <c r="BA106" i="3"/>
  <c r="BB106" i="3"/>
  <c r="BC106" i="3"/>
  <c r="BD106" i="3"/>
  <c r="BE106" i="3" a="1"/>
  <c r="BF106" i="3"/>
  <c r="BG106" i="3"/>
  <c r="BH106" i="3" a="1"/>
  <c r="BI106" i="3"/>
  <c r="BJ106" i="3" a="1"/>
  <c r="BK106" i="3" a="1"/>
  <c r="BL106" i="3"/>
  <c r="BM106" i="3"/>
  <c r="B107" i="3"/>
  <c r="C107" i="3"/>
  <c r="D107" i="3"/>
  <c r="E107" i="3"/>
  <c r="F107" i="3"/>
  <c r="G107" i="3"/>
  <c r="H107" i="3"/>
  <c r="I107" i="3"/>
  <c r="J107" i="3"/>
  <c r="K107" i="3"/>
  <c r="L107" i="3"/>
  <c r="M107" i="3" a="1"/>
  <c r="N107" i="3"/>
  <c r="O107" i="3"/>
  <c r="P107" i="3"/>
  <c r="Q107" i="3" a="1"/>
  <c r="R107" i="3"/>
  <c r="S107" i="3"/>
  <c r="T107" i="3"/>
  <c r="U107" i="3"/>
  <c r="V107" i="3" a="1"/>
  <c r="W107" i="3" a="1"/>
  <c r="X107" i="3"/>
  <c r="Y107" i="3"/>
  <c r="Z107" i="3"/>
  <c r="AA107" i="3"/>
  <c r="AB107" i="3" a="1"/>
  <c r="AC107" i="3"/>
  <c r="AD107" i="3" a="1"/>
  <c r="AE107" i="3"/>
  <c r="AG107" i="3"/>
  <c r="AH107" i="3"/>
  <c r="AI107" i="3"/>
  <c r="AJ107" i="3"/>
  <c r="AK107" i="3"/>
  <c r="AL107" i="3"/>
  <c r="AM107" i="3"/>
  <c r="AN107" i="3"/>
  <c r="AO107" i="3"/>
  <c r="AP107" i="3"/>
  <c r="AQ107" i="3" a="1"/>
  <c r="AR107" i="3" a="1"/>
  <c r="AS107" i="3"/>
  <c r="AT107" i="3" a="1"/>
  <c r="AU107" i="3"/>
  <c r="AV107" i="3" a="1"/>
  <c r="AW107" i="3"/>
  <c r="AX107" i="3"/>
  <c r="AY107" i="3"/>
  <c r="AZ107" i="3"/>
  <c r="BA107" i="3"/>
  <c r="BB107" i="3"/>
  <c r="BC107" i="3"/>
  <c r="BD107" i="3"/>
  <c r="BE107" i="3" a="1"/>
  <c r="BF107" i="3"/>
  <c r="BG107" i="3"/>
  <c r="BH107" i="3" a="1"/>
  <c r="BI107" i="3"/>
  <c r="BJ107" i="3" a="1"/>
  <c r="BK107" i="3" a="1"/>
  <c r="BL107" i="3"/>
  <c r="BM107" i="3"/>
  <c r="B108" i="3"/>
  <c r="C108" i="3"/>
  <c r="D108" i="3"/>
  <c r="E108" i="3"/>
  <c r="F108" i="3"/>
  <c r="G108" i="3"/>
  <c r="H108" i="3"/>
  <c r="I108" i="3"/>
  <c r="J108" i="3"/>
  <c r="K108" i="3"/>
  <c r="L108" i="3"/>
  <c r="M108" i="3" a="1"/>
  <c r="N108" i="3"/>
  <c r="O108" i="3"/>
  <c r="P108" i="3"/>
  <c r="Q108" i="3" a="1"/>
  <c r="R108" i="3"/>
  <c r="S108" i="3"/>
  <c r="T108" i="3"/>
  <c r="U108" i="3"/>
  <c r="V108" i="3" a="1"/>
  <c r="W108" i="3" a="1"/>
  <c r="X108" i="3"/>
  <c r="Y108" i="3"/>
  <c r="Z108" i="3"/>
  <c r="AA108" i="3"/>
  <c r="AB108" i="3" a="1"/>
  <c r="AC108" i="3"/>
  <c r="AD108" i="3" a="1"/>
  <c r="AE108" i="3"/>
  <c r="AG108" i="3"/>
  <c r="AH108" i="3"/>
  <c r="AI108" i="3"/>
  <c r="AJ108" i="3"/>
  <c r="AK108" i="3"/>
  <c r="AL108" i="3"/>
  <c r="AM108" i="3"/>
  <c r="AN108" i="3"/>
  <c r="AO108" i="3"/>
  <c r="AP108" i="3"/>
  <c r="AQ108" i="3" a="1"/>
  <c r="AR108" i="3" a="1"/>
  <c r="AS108" i="3"/>
  <c r="AT108" i="3" a="1"/>
  <c r="AU108" i="3"/>
  <c r="AV108" i="3" a="1"/>
  <c r="AW108" i="3"/>
  <c r="AX108" i="3"/>
  <c r="AY108" i="3"/>
  <c r="AZ108" i="3"/>
  <c r="BA108" i="3"/>
  <c r="BB108" i="3"/>
  <c r="BC108" i="3"/>
  <c r="BD108" i="3"/>
  <c r="BE108" i="3" a="1"/>
  <c r="BF108" i="3"/>
  <c r="BG108" i="3"/>
  <c r="BH108" i="3" a="1"/>
  <c r="BI108" i="3"/>
  <c r="BJ108" i="3" a="1"/>
  <c r="BK108" i="3" a="1"/>
  <c r="BL108" i="3"/>
  <c r="BM108" i="3"/>
  <c r="B109" i="3"/>
  <c r="C109" i="3"/>
  <c r="D109" i="3"/>
  <c r="E109" i="3"/>
  <c r="F109" i="3"/>
  <c r="G109" i="3"/>
  <c r="H109" i="3"/>
  <c r="I109" i="3"/>
  <c r="J109" i="3"/>
  <c r="K109" i="3"/>
  <c r="L109" i="3"/>
  <c r="M109" i="3" a="1"/>
  <c r="N109" i="3"/>
  <c r="O109" i="3"/>
  <c r="P109" i="3"/>
  <c r="Q109" i="3" a="1"/>
  <c r="R109" i="3"/>
  <c r="S109" i="3"/>
  <c r="T109" i="3"/>
  <c r="U109" i="3"/>
  <c r="V109" i="3" a="1"/>
  <c r="W109" i="3" a="1"/>
  <c r="X109" i="3"/>
  <c r="Y109" i="3"/>
  <c r="Z109" i="3"/>
  <c r="AA109" i="3"/>
  <c r="AB109" i="3" a="1"/>
  <c r="AC109" i="3"/>
  <c r="AD109" i="3" a="1"/>
  <c r="AE109" i="3"/>
  <c r="AG109" i="3"/>
  <c r="AH109" i="3"/>
  <c r="AI109" i="3"/>
  <c r="AJ109" i="3"/>
  <c r="AK109" i="3"/>
  <c r="AL109" i="3"/>
  <c r="AM109" i="3"/>
  <c r="AN109" i="3"/>
  <c r="AO109" i="3"/>
  <c r="AP109" i="3"/>
  <c r="AQ109" i="3" a="1"/>
  <c r="AR109" i="3" a="1"/>
  <c r="AS109" i="3"/>
  <c r="AT109" i="3" a="1"/>
  <c r="AU109" i="3"/>
  <c r="AV109" i="3" a="1"/>
  <c r="AW109" i="3"/>
  <c r="AX109" i="3"/>
  <c r="AY109" i="3"/>
  <c r="AZ109" i="3"/>
  <c r="BA109" i="3"/>
  <c r="BB109" i="3"/>
  <c r="BC109" i="3"/>
  <c r="BD109" i="3"/>
  <c r="BE109" i="3" a="1"/>
  <c r="BF109" i="3"/>
  <c r="BG109" i="3"/>
  <c r="BH109" i="3" a="1"/>
  <c r="BI109" i="3"/>
  <c r="BJ109" i="3" a="1"/>
  <c r="BK109" i="3" a="1"/>
  <c r="BL109" i="3"/>
  <c r="BM109" i="3"/>
  <c r="B110" i="3"/>
  <c r="C110" i="3"/>
  <c r="D110" i="3"/>
  <c r="E110" i="3"/>
  <c r="F110" i="3"/>
  <c r="G110" i="3"/>
  <c r="H110" i="3"/>
  <c r="I110" i="3"/>
  <c r="J110" i="3"/>
  <c r="K110" i="3"/>
  <c r="L110" i="3"/>
  <c r="M110" i="3" a="1"/>
  <c r="N110" i="3"/>
  <c r="O110" i="3"/>
  <c r="P110" i="3"/>
  <c r="Q110" i="3" a="1"/>
  <c r="R110" i="3"/>
  <c r="S110" i="3"/>
  <c r="T110" i="3"/>
  <c r="U110" i="3"/>
  <c r="V110" i="3" a="1"/>
  <c r="W110" i="3" a="1"/>
  <c r="X110" i="3"/>
  <c r="Y110" i="3"/>
  <c r="Z110" i="3"/>
  <c r="AA110" i="3"/>
  <c r="AB110" i="3" a="1"/>
  <c r="AC110" i="3"/>
  <c r="AD110" i="3" a="1"/>
  <c r="AE110" i="3"/>
  <c r="AG110" i="3"/>
  <c r="AH110" i="3"/>
  <c r="AI110" i="3"/>
  <c r="AJ110" i="3"/>
  <c r="AK110" i="3"/>
  <c r="AL110" i="3"/>
  <c r="AM110" i="3"/>
  <c r="AN110" i="3"/>
  <c r="AO110" i="3"/>
  <c r="AP110" i="3"/>
  <c r="AQ110" i="3" a="1"/>
  <c r="AR110" i="3" a="1"/>
  <c r="AS110" i="3"/>
  <c r="AT110" i="3" a="1"/>
  <c r="AU110" i="3"/>
  <c r="AV110" i="3" a="1"/>
  <c r="AW110" i="3"/>
  <c r="AX110" i="3"/>
  <c r="AY110" i="3"/>
  <c r="AZ110" i="3"/>
  <c r="BA110" i="3"/>
  <c r="BB110" i="3"/>
  <c r="BC110" i="3"/>
  <c r="BD110" i="3"/>
  <c r="BE110" i="3" a="1"/>
  <c r="BF110" i="3"/>
  <c r="BG110" i="3"/>
  <c r="BH110" i="3" a="1"/>
  <c r="BI110" i="3"/>
  <c r="BJ110" i="3" a="1"/>
  <c r="BK110" i="3" a="1"/>
  <c r="BL110" i="3"/>
  <c r="BM110" i="3"/>
  <c r="B111" i="3"/>
  <c r="C111" i="3"/>
  <c r="D111" i="3"/>
  <c r="E111" i="3"/>
  <c r="F111" i="3"/>
  <c r="G111" i="3"/>
  <c r="H111" i="3"/>
  <c r="I111" i="3"/>
  <c r="J111" i="3"/>
  <c r="K111" i="3"/>
  <c r="L111" i="3"/>
  <c r="M111" i="3" a="1"/>
  <c r="N111" i="3"/>
  <c r="O111" i="3"/>
  <c r="P111" i="3"/>
  <c r="Q111" i="3" a="1"/>
  <c r="R111" i="3"/>
  <c r="S111" i="3"/>
  <c r="T111" i="3"/>
  <c r="U111" i="3"/>
  <c r="V111" i="3" a="1"/>
  <c r="W111" i="3" a="1"/>
  <c r="X111" i="3"/>
  <c r="Y111" i="3"/>
  <c r="Z111" i="3"/>
  <c r="AA111" i="3"/>
  <c r="AB111" i="3" a="1"/>
  <c r="AC111" i="3"/>
  <c r="AD111" i="3" a="1"/>
  <c r="AE111" i="3"/>
  <c r="AG111" i="3"/>
  <c r="AH111" i="3"/>
  <c r="AI111" i="3"/>
  <c r="AJ111" i="3"/>
  <c r="AK111" i="3"/>
  <c r="AL111" i="3"/>
  <c r="AM111" i="3"/>
  <c r="AN111" i="3"/>
  <c r="AO111" i="3"/>
  <c r="AP111" i="3"/>
  <c r="AQ111" i="3" a="1"/>
  <c r="AR111" i="3" a="1"/>
  <c r="AS111" i="3"/>
  <c r="AT111" i="3" a="1"/>
  <c r="AU111" i="3"/>
  <c r="AV111" i="3" a="1"/>
  <c r="AW111" i="3"/>
  <c r="AX111" i="3"/>
  <c r="AY111" i="3"/>
  <c r="AZ111" i="3"/>
  <c r="BA111" i="3"/>
  <c r="BB111" i="3"/>
  <c r="BC111" i="3"/>
  <c r="BD111" i="3"/>
  <c r="BE111" i="3" a="1"/>
  <c r="BF111" i="3"/>
  <c r="BG111" i="3"/>
  <c r="BH111" i="3" a="1"/>
  <c r="BI111" i="3"/>
  <c r="BJ111" i="3" a="1"/>
  <c r="BK111" i="3" a="1"/>
  <c r="BL111" i="3"/>
  <c r="BM111" i="3"/>
  <c r="B112" i="3"/>
  <c r="C112" i="3"/>
  <c r="D112" i="3"/>
  <c r="E112" i="3"/>
  <c r="F112" i="3"/>
  <c r="G112" i="3"/>
  <c r="H112" i="3"/>
  <c r="I112" i="3"/>
  <c r="J112" i="3"/>
  <c r="K112" i="3"/>
  <c r="L112" i="3"/>
  <c r="M112" i="3" a="1"/>
  <c r="N112" i="3"/>
  <c r="O112" i="3"/>
  <c r="P112" i="3"/>
  <c r="Q112" i="3" a="1"/>
  <c r="R112" i="3"/>
  <c r="S112" i="3"/>
  <c r="T112" i="3"/>
  <c r="U112" i="3"/>
  <c r="V112" i="3" a="1"/>
  <c r="W112" i="3" a="1"/>
  <c r="X112" i="3"/>
  <c r="Y112" i="3"/>
  <c r="Z112" i="3"/>
  <c r="AA112" i="3"/>
  <c r="AB112" i="3" a="1"/>
  <c r="AC112" i="3"/>
  <c r="AD112" i="3" a="1"/>
  <c r="AE112" i="3"/>
  <c r="AG112" i="3"/>
  <c r="AH112" i="3"/>
  <c r="AI112" i="3"/>
  <c r="AJ112" i="3"/>
  <c r="AK112" i="3"/>
  <c r="AL112" i="3"/>
  <c r="AM112" i="3"/>
  <c r="AN112" i="3"/>
  <c r="AO112" i="3"/>
  <c r="AP112" i="3"/>
  <c r="AQ112" i="3" a="1"/>
  <c r="AR112" i="3" a="1"/>
  <c r="AS112" i="3"/>
  <c r="AT112" i="3" a="1"/>
  <c r="AU112" i="3"/>
  <c r="AV112" i="3" a="1"/>
  <c r="AW112" i="3"/>
  <c r="AX112" i="3"/>
  <c r="AY112" i="3"/>
  <c r="AZ112" i="3"/>
  <c r="BA112" i="3"/>
  <c r="BB112" i="3"/>
  <c r="BC112" i="3"/>
  <c r="BD112" i="3"/>
  <c r="BE112" i="3" a="1"/>
  <c r="BF112" i="3"/>
  <c r="BG112" i="3"/>
  <c r="BH112" i="3" a="1"/>
  <c r="BI112" i="3"/>
  <c r="BJ112" i="3" a="1"/>
  <c r="BK112" i="3" a="1"/>
  <c r="BL112" i="3"/>
  <c r="BM112" i="3"/>
  <c r="B113" i="3"/>
  <c r="C113" i="3"/>
  <c r="D113" i="3"/>
  <c r="E113" i="3"/>
  <c r="F113" i="3"/>
  <c r="G113" i="3"/>
  <c r="H113" i="3"/>
  <c r="I113" i="3"/>
  <c r="J113" i="3"/>
  <c r="K113" i="3"/>
  <c r="L113" i="3"/>
  <c r="M113" i="3" a="1"/>
  <c r="N113" i="3"/>
  <c r="O113" i="3"/>
  <c r="P113" i="3"/>
  <c r="Q113" i="3" a="1"/>
  <c r="R113" i="3"/>
  <c r="S113" i="3"/>
  <c r="T113" i="3"/>
  <c r="U113" i="3"/>
  <c r="V113" i="3" a="1"/>
  <c r="W113" i="3" a="1"/>
  <c r="X113" i="3"/>
  <c r="Y113" i="3"/>
  <c r="Z113" i="3"/>
  <c r="AA113" i="3"/>
  <c r="AB113" i="3" a="1"/>
  <c r="AC113" i="3"/>
  <c r="AD113" i="3" a="1"/>
  <c r="AE113" i="3"/>
  <c r="AG113" i="3"/>
  <c r="AH113" i="3"/>
  <c r="AI113" i="3"/>
  <c r="AJ113" i="3"/>
  <c r="AK113" i="3"/>
  <c r="AL113" i="3"/>
  <c r="AM113" i="3"/>
  <c r="AN113" i="3"/>
  <c r="AO113" i="3"/>
  <c r="AP113" i="3"/>
  <c r="AQ113" i="3" a="1"/>
  <c r="AR113" i="3" a="1"/>
  <c r="AS113" i="3"/>
  <c r="AT113" i="3" a="1"/>
  <c r="AU113" i="3"/>
  <c r="AV113" i="3" a="1"/>
  <c r="AW113" i="3"/>
  <c r="AX113" i="3"/>
  <c r="AY113" i="3"/>
  <c r="AZ113" i="3"/>
  <c r="BA113" i="3"/>
  <c r="BB113" i="3"/>
  <c r="BC113" i="3"/>
  <c r="BD113" i="3"/>
  <c r="BE113" i="3" a="1"/>
  <c r="BF113" i="3"/>
  <c r="BG113" i="3"/>
  <c r="BH113" i="3" a="1"/>
  <c r="BI113" i="3"/>
  <c r="BJ113" i="3" a="1"/>
  <c r="BK113" i="3" a="1"/>
  <c r="BL113" i="3"/>
  <c r="BM113" i="3"/>
  <c r="B114" i="3"/>
  <c r="C114" i="3"/>
  <c r="D114" i="3"/>
  <c r="E114" i="3"/>
  <c r="F114" i="3"/>
  <c r="G114" i="3"/>
  <c r="H114" i="3"/>
  <c r="I114" i="3"/>
  <c r="J114" i="3"/>
  <c r="K114" i="3"/>
  <c r="L114" i="3"/>
  <c r="M114" i="3" a="1"/>
  <c r="N114" i="3"/>
  <c r="O114" i="3"/>
  <c r="P114" i="3"/>
  <c r="Q114" i="3" a="1"/>
  <c r="R114" i="3"/>
  <c r="S114" i="3"/>
  <c r="T114" i="3"/>
  <c r="U114" i="3"/>
  <c r="V114" i="3" a="1"/>
  <c r="W114" i="3" a="1"/>
  <c r="X114" i="3"/>
  <c r="Y114" i="3"/>
  <c r="Z114" i="3"/>
  <c r="AA114" i="3"/>
  <c r="AB114" i="3" a="1"/>
  <c r="AC114" i="3"/>
  <c r="AD114" i="3" a="1"/>
  <c r="AE114" i="3"/>
  <c r="AG114" i="3"/>
  <c r="AH114" i="3"/>
  <c r="AI114" i="3"/>
  <c r="AJ114" i="3"/>
  <c r="AK114" i="3"/>
  <c r="AL114" i="3"/>
  <c r="AM114" i="3"/>
  <c r="AN114" i="3"/>
  <c r="AO114" i="3"/>
  <c r="AP114" i="3"/>
  <c r="AQ114" i="3" a="1"/>
  <c r="AR114" i="3" a="1"/>
  <c r="AS114" i="3"/>
  <c r="AT114" i="3" a="1"/>
  <c r="AU114" i="3"/>
  <c r="AV114" i="3" a="1"/>
  <c r="AW114" i="3"/>
  <c r="AX114" i="3"/>
  <c r="AY114" i="3"/>
  <c r="AZ114" i="3"/>
  <c r="BA114" i="3"/>
  <c r="BB114" i="3"/>
  <c r="BC114" i="3"/>
  <c r="BD114" i="3"/>
  <c r="BE114" i="3" a="1"/>
  <c r="BF114" i="3"/>
  <c r="BG114" i="3"/>
  <c r="BH114" i="3" a="1"/>
  <c r="BI114" i="3"/>
  <c r="BJ114" i="3" a="1"/>
  <c r="BK114" i="3" a="1"/>
  <c r="BL114" i="3"/>
  <c r="BM114" i="3"/>
  <c r="B115" i="3"/>
  <c r="C115" i="3"/>
  <c r="D115" i="3"/>
  <c r="E115" i="3"/>
  <c r="F115" i="3"/>
  <c r="G115" i="3"/>
  <c r="H115" i="3"/>
  <c r="I115" i="3"/>
  <c r="J115" i="3"/>
  <c r="K115" i="3"/>
  <c r="L115" i="3"/>
  <c r="M115" i="3" a="1"/>
  <c r="N115" i="3"/>
  <c r="O115" i="3"/>
  <c r="P115" i="3"/>
  <c r="Q115" i="3" a="1"/>
  <c r="R115" i="3"/>
  <c r="S115" i="3"/>
  <c r="T115" i="3"/>
  <c r="U115" i="3"/>
  <c r="V115" i="3" a="1"/>
  <c r="W115" i="3" a="1"/>
  <c r="X115" i="3"/>
  <c r="Y115" i="3"/>
  <c r="Z115" i="3"/>
  <c r="AA115" i="3"/>
  <c r="AB115" i="3" a="1"/>
  <c r="AC115" i="3"/>
  <c r="AD115" i="3" a="1"/>
  <c r="AE115" i="3"/>
  <c r="AG115" i="3"/>
  <c r="AH115" i="3"/>
  <c r="AI115" i="3"/>
  <c r="AJ115" i="3"/>
  <c r="AK115" i="3"/>
  <c r="AL115" i="3"/>
  <c r="AM115" i="3"/>
  <c r="AN115" i="3"/>
  <c r="AO115" i="3"/>
  <c r="AP115" i="3"/>
  <c r="AQ115" i="3" a="1"/>
  <c r="AR115" i="3" a="1"/>
  <c r="AS115" i="3"/>
  <c r="AT115" i="3" a="1"/>
  <c r="AU115" i="3"/>
  <c r="AV115" i="3" a="1"/>
  <c r="AW115" i="3"/>
  <c r="AX115" i="3"/>
  <c r="AY115" i="3"/>
  <c r="AZ115" i="3"/>
  <c r="BA115" i="3"/>
  <c r="BB115" i="3"/>
  <c r="BC115" i="3"/>
  <c r="BD115" i="3"/>
  <c r="BE115" i="3" a="1"/>
  <c r="BF115" i="3"/>
  <c r="BG115" i="3"/>
  <c r="BH115" i="3" a="1"/>
  <c r="BI115" i="3"/>
  <c r="BJ115" i="3" a="1"/>
  <c r="BK115" i="3" a="1"/>
  <c r="BL115" i="3"/>
  <c r="BM115" i="3"/>
  <c r="B116" i="3"/>
  <c r="C116" i="3"/>
  <c r="D116" i="3"/>
  <c r="E116" i="3"/>
  <c r="F116" i="3"/>
  <c r="G116" i="3"/>
  <c r="H116" i="3"/>
  <c r="I116" i="3"/>
  <c r="J116" i="3"/>
  <c r="K116" i="3"/>
  <c r="L116" i="3"/>
  <c r="M116" i="3" a="1"/>
  <c r="N116" i="3"/>
  <c r="O116" i="3"/>
  <c r="P116" i="3"/>
  <c r="Q116" i="3" a="1"/>
  <c r="R116" i="3"/>
  <c r="S116" i="3"/>
  <c r="T116" i="3"/>
  <c r="U116" i="3"/>
  <c r="V116" i="3" a="1"/>
  <c r="W116" i="3" a="1"/>
  <c r="X116" i="3"/>
  <c r="Y116" i="3"/>
  <c r="Z116" i="3"/>
  <c r="AA116" i="3"/>
  <c r="AB116" i="3" a="1"/>
  <c r="AC116" i="3"/>
  <c r="AD116" i="3" a="1"/>
  <c r="AE116" i="3"/>
  <c r="AG116" i="3"/>
  <c r="AH116" i="3"/>
  <c r="AI116" i="3"/>
  <c r="AJ116" i="3"/>
  <c r="AK116" i="3"/>
  <c r="AL116" i="3"/>
  <c r="AM116" i="3"/>
  <c r="AN116" i="3"/>
  <c r="AO116" i="3"/>
  <c r="AP116" i="3"/>
  <c r="AQ116" i="3" a="1"/>
  <c r="AR116" i="3" a="1"/>
  <c r="AS116" i="3"/>
  <c r="AT116" i="3" a="1"/>
  <c r="AU116" i="3"/>
  <c r="AV116" i="3" a="1"/>
  <c r="AW116" i="3"/>
  <c r="AX116" i="3"/>
  <c r="AY116" i="3"/>
  <c r="AZ116" i="3"/>
  <c r="BA116" i="3"/>
  <c r="BB116" i="3"/>
  <c r="BC116" i="3"/>
  <c r="BD116" i="3"/>
  <c r="BE116" i="3" a="1"/>
  <c r="BF116" i="3"/>
  <c r="BG116" i="3"/>
  <c r="BH116" i="3" a="1"/>
  <c r="BI116" i="3"/>
  <c r="BJ116" i="3" a="1"/>
  <c r="BK116" i="3" a="1"/>
  <c r="BL116" i="3"/>
  <c r="BM116" i="3"/>
  <c r="B117" i="3"/>
  <c r="C117" i="3"/>
  <c r="D117" i="3"/>
  <c r="E117" i="3"/>
  <c r="F117" i="3"/>
  <c r="G117" i="3"/>
  <c r="H117" i="3"/>
  <c r="I117" i="3"/>
  <c r="J117" i="3"/>
  <c r="K117" i="3"/>
  <c r="L117" i="3"/>
  <c r="M117" i="3" a="1"/>
  <c r="N117" i="3"/>
  <c r="O117" i="3"/>
  <c r="P117" i="3"/>
  <c r="Q117" i="3" a="1"/>
  <c r="R117" i="3"/>
  <c r="S117" i="3"/>
  <c r="T117" i="3"/>
  <c r="U117" i="3"/>
  <c r="V117" i="3" a="1"/>
  <c r="W117" i="3" a="1"/>
  <c r="X117" i="3"/>
  <c r="Y117" i="3"/>
  <c r="Z117" i="3"/>
  <c r="AA117" i="3"/>
  <c r="AB117" i="3" a="1"/>
  <c r="AC117" i="3"/>
  <c r="AD117" i="3" a="1"/>
  <c r="AE117" i="3"/>
  <c r="AG117" i="3"/>
  <c r="AH117" i="3"/>
  <c r="AI117" i="3"/>
  <c r="AJ117" i="3"/>
  <c r="AK117" i="3"/>
  <c r="AL117" i="3"/>
  <c r="AM117" i="3"/>
  <c r="AN117" i="3"/>
  <c r="AO117" i="3"/>
  <c r="AP117" i="3"/>
  <c r="AQ117" i="3" a="1"/>
  <c r="AR117" i="3" a="1"/>
  <c r="AS117" i="3"/>
  <c r="AT117" i="3" a="1"/>
  <c r="AU117" i="3"/>
  <c r="AV117" i="3" a="1"/>
  <c r="AW117" i="3"/>
  <c r="AX117" i="3"/>
  <c r="AY117" i="3"/>
  <c r="AZ117" i="3"/>
  <c r="BA117" i="3"/>
  <c r="BB117" i="3"/>
  <c r="BC117" i="3"/>
  <c r="BD117" i="3"/>
  <c r="BE117" i="3" a="1"/>
  <c r="BF117" i="3"/>
  <c r="BG117" i="3"/>
  <c r="BH117" i="3" a="1"/>
  <c r="BI117" i="3"/>
  <c r="BJ117" i="3" a="1"/>
  <c r="BK117" i="3" a="1"/>
  <c r="BL117" i="3"/>
  <c r="BM117" i="3"/>
  <c r="B118" i="3"/>
  <c r="C118" i="3"/>
  <c r="D118" i="3"/>
  <c r="E118" i="3"/>
  <c r="F118" i="3"/>
  <c r="G118" i="3"/>
  <c r="H118" i="3"/>
  <c r="I118" i="3"/>
  <c r="J118" i="3"/>
  <c r="K118" i="3"/>
  <c r="L118" i="3"/>
  <c r="M118" i="3" a="1"/>
  <c r="N118" i="3"/>
  <c r="O118" i="3"/>
  <c r="P118" i="3"/>
  <c r="Q118" i="3" a="1"/>
  <c r="R118" i="3"/>
  <c r="S118" i="3"/>
  <c r="T118" i="3"/>
  <c r="U118" i="3"/>
  <c r="V118" i="3" a="1"/>
  <c r="W118" i="3" a="1"/>
  <c r="X118" i="3"/>
  <c r="Y118" i="3"/>
  <c r="Z118" i="3"/>
  <c r="AA118" i="3"/>
  <c r="AB118" i="3" a="1"/>
  <c r="AC118" i="3"/>
  <c r="AD118" i="3" a="1"/>
  <c r="AE118" i="3"/>
  <c r="AG118" i="3"/>
  <c r="AH118" i="3"/>
  <c r="AI118" i="3"/>
  <c r="AJ118" i="3"/>
  <c r="AK118" i="3"/>
  <c r="AL118" i="3"/>
  <c r="AM118" i="3"/>
  <c r="AN118" i="3"/>
  <c r="AO118" i="3"/>
  <c r="AP118" i="3"/>
  <c r="AQ118" i="3" a="1"/>
  <c r="AR118" i="3" a="1"/>
  <c r="AS118" i="3"/>
  <c r="AT118" i="3" a="1"/>
  <c r="AU118" i="3"/>
  <c r="AV118" i="3" a="1"/>
  <c r="AW118" i="3"/>
  <c r="AX118" i="3"/>
  <c r="AY118" i="3"/>
  <c r="AZ118" i="3"/>
  <c r="BA118" i="3"/>
  <c r="BB118" i="3"/>
  <c r="BC118" i="3"/>
  <c r="BD118" i="3"/>
  <c r="BE118" i="3" a="1"/>
  <c r="BF118" i="3"/>
  <c r="BG118" i="3"/>
  <c r="BH118" i="3" a="1"/>
  <c r="BI118" i="3"/>
  <c r="BJ118" i="3" a="1"/>
  <c r="BK118" i="3" a="1"/>
  <c r="BL118" i="3"/>
  <c r="BM118" i="3"/>
  <c r="B119" i="3"/>
  <c r="C119" i="3"/>
  <c r="D119" i="3"/>
  <c r="E119" i="3"/>
  <c r="F119" i="3"/>
  <c r="G119" i="3"/>
  <c r="H119" i="3"/>
  <c r="I119" i="3"/>
  <c r="J119" i="3"/>
  <c r="K119" i="3"/>
  <c r="L119" i="3"/>
  <c r="M119" i="3" a="1"/>
  <c r="N119" i="3"/>
  <c r="O119" i="3"/>
  <c r="P119" i="3"/>
  <c r="Q119" i="3" a="1"/>
  <c r="R119" i="3"/>
  <c r="S119" i="3"/>
  <c r="T119" i="3"/>
  <c r="U119" i="3"/>
  <c r="V119" i="3" a="1"/>
  <c r="W119" i="3" a="1"/>
  <c r="X119" i="3"/>
  <c r="Y119" i="3"/>
  <c r="Z119" i="3"/>
  <c r="AA119" i="3"/>
  <c r="AB119" i="3" a="1"/>
  <c r="AC119" i="3"/>
  <c r="AD119" i="3" a="1"/>
  <c r="AE119" i="3"/>
  <c r="AG119" i="3"/>
  <c r="AH119" i="3"/>
  <c r="AI119" i="3"/>
  <c r="AJ119" i="3"/>
  <c r="AK119" i="3"/>
  <c r="AL119" i="3"/>
  <c r="AM119" i="3"/>
  <c r="AN119" i="3"/>
  <c r="AO119" i="3"/>
  <c r="AP119" i="3"/>
  <c r="AQ119" i="3" a="1"/>
  <c r="AR119" i="3" a="1"/>
  <c r="AS119" i="3"/>
  <c r="AT119" i="3" a="1"/>
  <c r="AU119" i="3"/>
  <c r="AV119" i="3" a="1"/>
  <c r="AW119" i="3"/>
  <c r="AX119" i="3"/>
  <c r="AY119" i="3"/>
  <c r="AZ119" i="3"/>
  <c r="BA119" i="3"/>
  <c r="BB119" i="3"/>
  <c r="BC119" i="3"/>
  <c r="BD119" i="3"/>
  <c r="BE119" i="3" a="1"/>
  <c r="BF119" i="3"/>
  <c r="BG119" i="3"/>
  <c r="BH119" i="3" a="1"/>
  <c r="BI119" i="3"/>
  <c r="BJ119" i="3" a="1"/>
  <c r="BK119" i="3" a="1"/>
  <c r="BL119" i="3"/>
  <c r="BM119" i="3"/>
  <c r="B120" i="3"/>
  <c r="C120" i="3"/>
  <c r="D120" i="3"/>
  <c r="E120" i="3"/>
  <c r="F120" i="3"/>
  <c r="G120" i="3"/>
  <c r="H120" i="3"/>
  <c r="I120" i="3"/>
  <c r="J120" i="3"/>
  <c r="K120" i="3"/>
  <c r="L120" i="3"/>
  <c r="M120" i="3" a="1"/>
  <c r="N120" i="3"/>
  <c r="O120" i="3"/>
  <c r="P120" i="3"/>
  <c r="Q120" i="3" a="1"/>
  <c r="R120" i="3"/>
  <c r="S120" i="3"/>
  <c r="T120" i="3"/>
  <c r="U120" i="3"/>
  <c r="V120" i="3" a="1"/>
  <c r="W120" i="3" a="1"/>
  <c r="X120" i="3"/>
  <c r="Y120" i="3"/>
  <c r="Z120" i="3"/>
  <c r="AA120" i="3"/>
  <c r="AB120" i="3" a="1"/>
  <c r="AC120" i="3"/>
  <c r="AD120" i="3" a="1"/>
  <c r="AE120" i="3"/>
  <c r="AG120" i="3"/>
  <c r="AH120" i="3"/>
  <c r="AI120" i="3"/>
  <c r="AJ120" i="3"/>
  <c r="AK120" i="3"/>
  <c r="AL120" i="3"/>
  <c r="AM120" i="3"/>
  <c r="AN120" i="3"/>
  <c r="AO120" i="3"/>
  <c r="AP120" i="3"/>
  <c r="AQ120" i="3" a="1"/>
  <c r="AR120" i="3" a="1"/>
  <c r="AS120" i="3"/>
  <c r="AT120" i="3" a="1"/>
  <c r="AU120" i="3"/>
  <c r="AV120" i="3" a="1"/>
  <c r="AW120" i="3"/>
  <c r="AX120" i="3"/>
  <c r="AY120" i="3"/>
  <c r="AZ120" i="3"/>
  <c r="BA120" i="3"/>
  <c r="BB120" i="3"/>
  <c r="BC120" i="3"/>
  <c r="BD120" i="3"/>
  <c r="BE120" i="3" a="1"/>
  <c r="BF120" i="3"/>
  <c r="BG120" i="3"/>
  <c r="BH120" i="3" a="1"/>
  <c r="BI120" i="3"/>
  <c r="BJ120" i="3" a="1"/>
  <c r="BK120" i="3" a="1"/>
  <c r="BL120" i="3"/>
  <c r="BM120" i="3"/>
  <c r="B121" i="3"/>
  <c r="C121" i="3"/>
  <c r="D121" i="3"/>
  <c r="E121" i="3"/>
  <c r="F121" i="3"/>
  <c r="G121" i="3"/>
  <c r="H121" i="3"/>
  <c r="I121" i="3"/>
  <c r="J121" i="3"/>
  <c r="K121" i="3"/>
  <c r="L121" i="3"/>
  <c r="M121" i="3" a="1"/>
  <c r="N121" i="3"/>
  <c r="O121" i="3"/>
  <c r="P121" i="3"/>
  <c r="Q121" i="3" a="1"/>
  <c r="R121" i="3"/>
  <c r="S121" i="3"/>
  <c r="T121" i="3"/>
  <c r="U121" i="3"/>
  <c r="V121" i="3" a="1"/>
  <c r="W121" i="3" a="1"/>
  <c r="X121" i="3"/>
  <c r="Y121" i="3"/>
  <c r="Z121" i="3"/>
  <c r="AA121" i="3"/>
  <c r="AB121" i="3" a="1"/>
  <c r="AC121" i="3"/>
  <c r="AD121" i="3" a="1"/>
  <c r="AE121" i="3"/>
  <c r="AG121" i="3"/>
  <c r="AH121" i="3"/>
  <c r="AI121" i="3"/>
  <c r="AJ121" i="3"/>
  <c r="AK121" i="3"/>
  <c r="AL121" i="3"/>
  <c r="AM121" i="3"/>
  <c r="AN121" i="3"/>
  <c r="AO121" i="3"/>
  <c r="AP121" i="3"/>
  <c r="AQ121" i="3" a="1"/>
  <c r="AR121" i="3" a="1"/>
  <c r="AS121" i="3"/>
  <c r="AT121" i="3" a="1"/>
  <c r="AU121" i="3"/>
  <c r="AV121" i="3" a="1"/>
  <c r="AW121" i="3"/>
  <c r="AX121" i="3"/>
  <c r="AY121" i="3"/>
  <c r="AZ121" i="3"/>
  <c r="BA121" i="3"/>
  <c r="BB121" i="3"/>
  <c r="BC121" i="3"/>
  <c r="BD121" i="3"/>
  <c r="BE121" i="3" a="1"/>
  <c r="BF121" i="3"/>
  <c r="BG121" i="3"/>
  <c r="BH121" i="3" a="1"/>
  <c r="BI121" i="3"/>
  <c r="BJ121" i="3" a="1"/>
  <c r="BK121" i="3" a="1"/>
  <c r="BL121" i="3"/>
  <c r="BM121" i="3"/>
  <c r="B122" i="3"/>
  <c r="C122" i="3"/>
  <c r="D122" i="3"/>
  <c r="E122" i="3"/>
  <c r="F122" i="3"/>
  <c r="G122" i="3"/>
  <c r="H122" i="3"/>
  <c r="I122" i="3"/>
  <c r="J122" i="3"/>
  <c r="K122" i="3"/>
  <c r="L122" i="3"/>
  <c r="M122" i="3" a="1"/>
  <c r="N122" i="3"/>
  <c r="O122" i="3"/>
  <c r="P122" i="3"/>
  <c r="Q122" i="3" a="1"/>
  <c r="R122" i="3"/>
  <c r="S122" i="3"/>
  <c r="T122" i="3"/>
  <c r="U122" i="3"/>
  <c r="V122" i="3" a="1"/>
  <c r="W122" i="3" a="1"/>
  <c r="X122" i="3"/>
  <c r="Y122" i="3"/>
  <c r="Z122" i="3"/>
  <c r="AA122" i="3"/>
  <c r="AB122" i="3" a="1"/>
  <c r="AC122" i="3"/>
  <c r="AD122" i="3" a="1"/>
  <c r="AE122" i="3"/>
  <c r="AG122" i="3"/>
  <c r="AH122" i="3"/>
  <c r="AI122" i="3"/>
  <c r="AJ122" i="3"/>
  <c r="AK122" i="3"/>
  <c r="AL122" i="3"/>
  <c r="AM122" i="3"/>
  <c r="AN122" i="3"/>
  <c r="AO122" i="3"/>
  <c r="AP122" i="3"/>
  <c r="AQ122" i="3" a="1"/>
  <c r="AR122" i="3" a="1"/>
  <c r="AS122" i="3"/>
  <c r="AT122" i="3" a="1"/>
  <c r="AU122" i="3"/>
  <c r="AV122" i="3" a="1"/>
  <c r="AW122" i="3"/>
  <c r="AX122" i="3"/>
  <c r="AY122" i="3"/>
  <c r="AZ122" i="3"/>
  <c r="BA122" i="3"/>
  <c r="BB122" i="3"/>
  <c r="BC122" i="3"/>
  <c r="BD122" i="3"/>
  <c r="BE122" i="3" a="1"/>
  <c r="BF122" i="3"/>
  <c r="BG122" i="3"/>
  <c r="BH122" i="3" a="1"/>
  <c r="BI122" i="3"/>
  <c r="BJ122" i="3" a="1"/>
  <c r="BK122" i="3" a="1"/>
  <c r="BL122" i="3"/>
  <c r="BM122" i="3"/>
  <c r="B123" i="3"/>
  <c r="C123" i="3"/>
  <c r="D123" i="3"/>
  <c r="E123" i="3"/>
  <c r="F123" i="3"/>
  <c r="G123" i="3"/>
  <c r="H123" i="3"/>
  <c r="I123" i="3"/>
  <c r="J123" i="3"/>
  <c r="K123" i="3"/>
  <c r="L123" i="3"/>
  <c r="M123" i="3" a="1"/>
  <c r="N123" i="3"/>
  <c r="O123" i="3"/>
  <c r="P123" i="3"/>
  <c r="Q123" i="3" a="1"/>
  <c r="R123" i="3"/>
  <c r="S123" i="3"/>
  <c r="T123" i="3"/>
  <c r="U123" i="3"/>
  <c r="V123" i="3" a="1"/>
  <c r="W123" i="3" a="1"/>
  <c r="X123" i="3"/>
  <c r="Y123" i="3"/>
  <c r="Z123" i="3"/>
  <c r="AA123" i="3"/>
  <c r="AB123" i="3" a="1"/>
  <c r="AC123" i="3"/>
  <c r="AD123" i="3" a="1"/>
  <c r="AE123" i="3"/>
  <c r="AG123" i="3"/>
  <c r="AH123" i="3"/>
  <c r="AI123" i="3"/>
  <c r="AJ123" i="3"/>
  <c r="AK123" i="3"/>
  <c r="AL123" i="3"/>
  <c r="AM123" i="3"/>
  <c r="AN123" i="3"/>
  <c r="AO123" i="3"/>
  <c r="AP123" i="3"/>
  <c r="AQ123" i="3" a="1"/>
  <c r="AR123" i="3" a="1"/>
  <c r="AS123" i="3"/>
  <c r="AT123" i="3" a="1"/>
  <c r="AU123" i="3"/>
  <c r="AV123" i="3" a="1"/>
  <c r="AW123" i="3"/>
  <c r="AX123" i="3"/>
  <c r="AY123" i="3"/>
  <c r="AZ123" i="3"/>
  <c r="BA123" i="3"/>
  <c r="BB123" i="3"/>
  <c r="BC123" i="3"/>
  <c r="BD123" i="3"/>
  <c r="BE123" i="3" a="1"/>
  <c r="BF123" i="3"/>
  <c r="BG123" i="3"/>
  <c r="BH123" i="3" a="1"/>
  <c r="BI123" i="3"/>
  <c r="BJ123" i="3" a="1"/>
  <c r="BK123" i="3" a="1"/>
  <c r="BL123" i="3"/>
  <c r="BM123" i="3"/>
  <c r="B124" i="3"/>
  <c r="C124" i="3"/>
  <c r="D124" i="3"/>
  <c r="E124" i="3"/>
  <c r="F124" i="3"/>
  <c r="G124" i="3"/>
  <c r="H124" i="3"/>
  <c r="I124" i="3"/>
  <c r="J124" i="3"/>
  <c r="K124" i="3"/>
  <c r="L124" i="3"/>
  <c r="M124" i="3" a="1"/>
  <c r="N124" i="3"/>
  <c r="O124" i="3"/>
  <c r="P124" i="3"/>
  <c r="Q124" i="3" a="1"/>
  <c r="R124" i="3"/>
  <c r="S124" i="3"/>
  <c r="T124" i="3"/>
  <c r="U124" i="3"/>
  <c r="V124" i="3" a="1"/>
  <c r="W124" i="3" a="1"/>
  <c r="X124" i="3"/>
  <c r="Y124" i="3"/>
  <c r="Z124" i="3"/>
  <c r="AA124" i="3"/>
  <c r="AB124" i="3" a="1"/>
  <c r="AC124" i="3"/>
  <c r="AD124" i="3" a="1"/>
  <c r="AE124" i="3"/>
  <c r="AG124" i="3"/>
  <c r="AH124" i="3"/>
  <c r="AI124" i="3"/>
  <c r="AJ124" i="3"/>
  <c r="AK124" i="3"/>
  <c r="AL124" i="3"/>
  <c r="AM124" i="3"/>
  <c r="AN124" i="3"/>
  <c r="AO124" i="3"/>
  <c r="AP124" i="3"/>
  <c r="AQ124" i="3" a="1"/>
  <c r="AR124" i="3" a="1"/>
  <c r="AS124" i="3"/>
  <c r="AT124" i="3" a="1"/>
  <c r="AU124" i="3"/>
  <c r="AV124" i="3" a="1"/>
  <c r="AW124" i="3"/>
  <c r="AX124" i="3"/>
  <c r="AY124" i="3"/>
  <c r="AZ124" i="3"/>
  <c r="BA124" i="3"/>
  <c r="BB124" i="3"/>
  <c r="BC124" i="3"/>
  <c r="BD124" i="3"/>
  <c r="BE124" i="3" a="1"/>
  <c r="BF124" i="3"/>
  <c r="BG124" i="3"/>
  <c r="BH124" i="3" a="1"/>
  <c r="BI124" i="3"/>
  <c r="BJ124" i="3" a="1"/>
  <c r="BK124" i="3" a="1"/>
  <c r="BL124" i="3"/>
  <c r="BM124" i="3"/>
  <c r="B125" i="3"/>
  <c r="C125" i="3"/>
  <c r="D125" i="3"/>
  <c r="E125" i="3"/>
  <c r="F125" i="3"/>
  <c r="G125" i="3"/>
  <c r="H125" i="3"/>
  <c r="I125" i="3"/>
  <c r="J125" i="3"/>
  <c r="K125" i="3"/>
  <c r="L125" i="3"/>
  <c r="M125" i="3" a="1"/>
  <c r="N125" i="3"/>
  <c r="O125" i="3"/>
  <c r="P125" i="3"/>
  <c r="Q125" i="3" a="1"/>
  <c r="R125" i="3"/>
  <c r="S125" i="3"/>
  <c r="T125" i="3"/>
  <c r="U125" i="3"/>
  <c r="V125" i="3" a="1"/>
  <c r="W125" i="3" a="1"/>
  <c r="X125" i="3"/>
  <c r="Y125" i="3"/>
  <c r="Z125" i="3"/>
  <c r="AA125" i="3"/>
  <c r="AB125" i="3" a="1"/>
  <c r="AC125" i="3"/>
  <c r="AD125" i="3" a="1"/>
  <c r="AE125" i="3"/>
  <c r="AG125" i="3"/>
  <c r="AH125" i="3"/>
  <c r="AI125" i="3"/>
  <c r="AJ125" i="3"/>
  <c r="AK125" i="3"/>
  <c r="AL125" i="3"/>
  <c r="AM125" i="3"/>
  <c r="AN125" i="3"/>
  <c r="AO125" i="3"/>
  <c r="AP125" i="3"/>
  <c r="AQ125" i="3" a="1"/>
  <c r="AR125" i="3" a="1"/>
  <c r="AS125" i="3"/>
  <c r="AT125" i="3" a="1"/>
  <c r="AU125" i="3"/>
  <c r="AV125" i="3" a="1"/>
  <c r="AW125" i="3"/>
  <c r="AX125" i="3"/>
  <c r="AY125" i="3"/>
  <c r="AZ125" i="3"/>
  <c r="BA125" i="3"/>
  <c r="BB125" i="3"/>
  <c r="BC125" i="3"/>
  <c r="BD125" i="3"/>
  <c r="BE125" i="3" a="1"/>
  <c r="BF125" i="3"/>
  <c r="BG125" i="3"/>
  <c r="BH125" i="3" a="1"/>
  <c r="BI125" i="3"/>
  <c r="BJ125" i="3" a="1"/>
  <c r="BK125" i="3" a="1"/>
  <c r="BL125" i="3"/>
  <c r="BM125" i="3"/>
  <c r="B126" i="3"/>
  <c r="C126" i="3"/>
  <c r="D126" i="3"/>
  <c r="E126" i="3"/>
  <c r="F126" i="3"/>
  <c r="G126" i="3"/>
  <c r="H126" i="3"/>
  <c r="I126" i="3"/>
  <c r="J126" i="3"/>
  <c r="K126" i="3"/>
  <c r="L126" i="3"/>
  <c r="M126" i="3" a="1"/>
  <c r="N126" i="3"/>
  <c r="O126" i="3"/>
  <c r="P126" i="3"/>
  <c r="Q126" i="3" a="1"/>
  <c r="R126" i="3"/>
  <c r="S126" i="3"/>
  <c r="T126" i="3"/>
  <c r="U126" i="3"/>
  <c r="V126" i="3" a="1"/>
  <c r="W126" i="3" a="1"/>
  <c r="X126" i="3"/>
  <c r="Y126" i="3"/>
  <c r="Z126" i="3"/>
  <c r="AA126" i="3"/>
  <c r="AB126" i="3" a="1"/>
  <c r="AC126" i="3"/>
  <c r="AD126" i="3" a="1"/>
  <c r="AE126" i="3"/>
  <c r="AG126" i="3"/>
  <c r="AH126" i="3"/>
  <c r="AI126" i="3"/>
  <c r="AJ126" i="3"/>
  <c r="AK126" i="3"/>
  <c r="AL126" i="3"/>
  <c r="AM126" i="3"/>
  <c r="AN126" i="3"/>
  <c r="AO126" i="3"/>
  <c r="AP126" i="3"/>
  <c r="AQ126" i="3" a="1"/>
  <c r="AR126" i="3" a="1"/>
  <c r="AS126" i="3"/>
  <c r="AT126" i="3" a="1"/>
  <c r="AU126" i="3"/>
  <c r="AV126" i="3" a="1"/>
  <c r="AW126" i="3"/>
  <c r="AX126" i="3"/>
  <c r="AY126" i="3"/>
  <c r="AZ126" i="3"/>
  <c r="BA126" i="3"/>
  <c r="BB126" i="3"/>
  <c r="BC126" i="3"/>
  <c r="BD126" i="3"/>
  <c r="BE126" i="3" a="1"/>
  <c r="BF126" i="3"/>
  <c r="BG126" i="3"/>
  <c r="BH126" i="3" a="1"/>
  <c r="BI126" i="3"/>
  <c r="BJ126" i="3" a="1"/>
  <c r="BK126" i="3" a="1"/>
  <c r="BL126" i="3"/>
  <c r="BM126" i="3"/>
  <c r="B127" i="3"/>
  <c r="C127" i="3"/>
  <c r="D127" i="3"/>
  <c r="E127" i="3"/>
  <c r="F127" i="3"/>
  <c r="G127" i="3"/>
  <c r="H127" i="3"/>
  <c r="I127" i="3"/>
  <c r="J127" i="3"/>
  <c r="K127" i="3"/>
  <c r="L127" i="3"/>
  <c r="M127" i="3" a="1"/>
  <c r="N127" i="3"/>
  <c r="O127" i="3"/>
  <c r="P127" i="3"/>
  <c r="Q127" i="3" a="1"/>
  <c r="R127" i="3"/>
  <c r="S127" i="3"/>
  <c r="T127" i="3"/>
  <c r="U127" i="3"/>
  <c r="V127" i="3" a="1"/>
  <c r="W127" i="3" a="1"/>
  <c r="X127" i="3"/>
  <c r="Y127" i="3"/>
  <c r="Z127" i="3"/>
  <c r="AA127" i="3"/>
  <c r="AB127" i="3" a="1"/>
  <c r="AC127" i="3"/>
  <c r="AD127" i="3" a="1"/>
  <c r="AE127" i="3"/>
  <c r="AG127" i="3"/>
  <c r="AH127" i="3"/>
  <c r="AI127" i="3"/>
  <c r="AJ127" i="3"/>
  <c r="AK127" i="3"/>
  <c r="AL127" i="3"/>
  <c r="AM127" i="3"/>
  <c r="AN127" i="3"/>
  <c r="AO127" i="3"/>
  <c r="AP127" i="3"/>
  <c r="AQ127" i="3" a="1"/>
  <c r="AR127" i="3" a="1"/>
  <c r="AS127" i="3"/>
  <c r="AT127" i="3" a="1"/>
  <c r="AU127" i="3"/>
  <c r="AV127" i="3" a="1"/>
  <c r="AW127" i="3"/>
  <c r="AX127" i="3"/>
  <c r="AY127" i="3"/>
  <c r="AZ127" i="3"/>
  <c r="BA127" i="3"/>
  <c r="BB127" i="3"/>
  <c r="BC127" i="3"/>
  <c r="BD127" i="3"/>
  <c r="BE127" i="3" a="1"/>
  <c r="BF127" i="3"/>
  <c r="BG127" i="3"/>
  <c r="BH127" i="3" a="1"/>
  <c r="BI127" i="3"/>
  <c r="BJ127" i="3" a="1"/>
  <c r="BK127" i="3" a="1"/>
  <c r="BL127" i="3"/>
  <c r="BM127" i="3"/>
  <c r="B128" i="3"/>
  <c r="C128" i="3"/>
  <c r="D128" i="3"/>
  <c r="E128" i="3"/>
  <c r="F128" i="3"/>
  <c r="G128" i="3"/>
  <c r="H128" i="3"/>
  <c r="I128" i="3"/>
  <c r="J128" i="3"/>
  <c r="K128" i="3"/>
  <c r="L128" i="3"/>
  <c r="M128" i="3" a="1"/>
  <c r="N128" i="3"/>
  <c r="O128" i="3"/>
  <c r="P128" i="3"/>
  <c r="Q128" i="3" a="1"/>
  <c r="R128" i="3"/>
  <c r="S128" i="3"/>
  <c r="T128" i="3"/>
  <c r="U128" i="3"/>
  <c r="V128" i="3" a="1"/>
  <c r="W128" i="3" a="1"/>
  <c r="X128" i="3"/>
  <c r="Y128" i="3"/>
  <c r="Z128" i="3"/>
  <c r="AA128" i="3"/>
  <c r="AB128" i="3" a="1"/>
  <c r="AC128" i="3"/>
  <c r="AD128" i="3" a="1"/>
  <c r="AE128" i="3"/>
  <c r="AG128" i="3"/>
  <c r="AH128" i="3"/>
  <c r="AI128" i="3"/>
  <c r="AJ128" i="3"/>
  <c r="AK128" i="3"/>
  <c r="AL128" i="3"/>
  <c r="AM128" i="3"/>
  <c r="AN128" i="3"/>
  <c r="AO128" i="3"/>
  <c r="AP128" i="3"/>
  <c r="AQ128" i="3" a="1"/>
  <c r="AR128" i="3" a="1"/>
  <c r="AS128" i="3"/>
  <c r="AT128" i="3" a="1"/>
  <c r="AU128" i="3"/>
  <c r="AV128" i="3" a="1"/>
  <c r="AW128" i="3"/>
  <c r="AX128" i="3"/>
  <c r="AY128" i="3"/>
  <c r="AZ128" i="3"/>
  <c r="BA128" i="3"/>
  <c r="BB128" i="3"/>
  <c r="BC128" i="3"/>
  <c r="BD128" i="3"/>
  <c r="BE128" i="3" a="1"/>
  <c r="BF128" i="3"/>
  <c r="BG128" i="3"/>
  <c r="BH128" i="3" a="1"/>
  <c r="BI128" i="3"/>
  <c r="BJ128" i="3" a="1"/>
  <c r="BK128" i="3" a="1"/>
  <c r="BL128" i="3"/>
  <c r="BM128" i="3"/>
  <c r="B129" i="3"/>
  <c r="C129" i="3"/>
  <c r="D129" i="3"/>
  <c r="E129" i="3"/>
  <c r="F129" i="3"/>
  <c r="G129" i="3"/>
  <c r="H129" i="3"/>
  <c r="I129" i="3"/>
  <c r="J129" i="3"/>
  <c r="K129" i="3"/>
  <c r="L129" i="3"/>
  <c r="M129" i="3" a="1"/>
  <c r="N129" i="3"/>
  <c r="O129" i="3"/>
  <c r="P129" i="3"/>
  <c r="Q129" i="3" a="1"/>
  <c r="R129" i="3"/>
  <c r="S129" i="3"/>
  <c r="T129" i="3"/>
  <c r="U129" i="3"/>
  <c r="V129" i="3" a="1"/>
  <c r="W129" i="3" a="1"/>
  <c r="X129" i="3"/>
  <c r="Y129" i="3"/>
  <c r="Z129" i="3"/>
  <c r="AA129" i="3"/>
  <c r="AB129" i="3" a="1"/>
  <c r="AC129" i="3"/>
  <c r="AD129" i="3" a="1"/>
  <c r="AE129" i="3"/>
  <c r="AG129" i="3"/>
  <c r="AH129" i="3"/>
  <c r="AI129" i="3"/>
  <c r="AJ129" i="3"/>
  <c r="AK129" i="3"/>
  <c r="AL129" i="3"/>
  <c r="AM129" i="3"/>
  <c r="AN129" i="3"/>
  <c r="AO129" i="3"/>
  <c r="AP129" i="3"/>
  <c r="AQ129" i="3" a="1"/>
  <c r="AR129" i="3" a="1"/>
  <c r="AS129" i="3"/>
  <c r="AT129" i="3" a="1"/>
  <c r="AU129" i="3"/>
  <c r="AV129" i="3" a="1"/>
  <c r="AW129" i="3"/>
  <c r="AX129" i="3"/>
  <c r="AY129" i="3"/>
  <c r="AZ129" i="3"/>
  <c r="BA129" i="3"/>
  <c r="BB129" i="3"/>
  <c r="BC129" i="3"/>
  <c r="BD129" i="3"/>
  <c r="BE129" i="3" a="1"/>
  <c r="BF129" i="3"/>
  <c r="BG129" i="3"/>
  <c r="BH129" i="3" a="1"/>
  <c r="BI129" i="3"/>
  <c r="BJ129" i="3" a="1"/>
  <c r="BK129" i="3" a="1"/>
  <c r="BL129" i="3"/>
  <c r="BM129" i="3"/>
  <c r="B130" i="3"/>
  <c r="C130" i="3"/>
  <c r="D130" i="3"/>
  <c r="E130" i="3"/>
  <c r="F130" i="3"/>
  <c r="G130" i="3"/>
  <c r="H130" i="3"/>
  <c r="I130" i="3"/>
  <c r="J130" i="3"/>
  <c r="K130" i="3"/>
  <c r="L130" i="3"/>
  <c r="M130" i="3" a="1"/>
  <c r="N130" i="3"/>
  <c r="O130" i="3"/>
  <c r="P130" i="3"/>
  <c r="Q130" i="3" a="1"/>
  <c r="R130" i="3"/>
  <c r="S130" i="3"/>
  <c r="T130" i="3"/>
  <c r="U130" i="3"/>
  <c r="V130" i="3" a="1"/>
  <c r="W130" i="3" a="1"/>
  <c r="X130" i="3"/>
  <c r="Y130" i="3"/>
  <c r="Z130" i="3"/>
  <c r="AA130" i="3"/>
  <c r="AB130" i="3" a="1"/>
  <c r="AC130" i="3"/>
  <c r="AD130" i="3" a="1"/>
  <c r="AE130" i="3"/>
  <c r="AG130" i="3"/>
  <c r="AH130" i="3"/>
  <c r="AI130" i="3"/>
  <c r="AJ130" i="3"/>
  <c r="AK130" i="3"/>
  <c r="AL130" i="3"/>
  <c r="AM130" i="3"/>
  <c r="AN130" i="3"/>
  <c r="AO130" i="3"/>
  <c r="AP130" i="3"/>
  <c r="AQ130" i="3" a="1"/>
  <c r="AR130" i="3" a="1"/>
  <c r="AS130" i="3"/>
  <c r="AT130" i="3" a="1"/>
  <c r="AU130" i="3"/>
  <c r="AV130" i="3" a="1"/>
  <c r="AW130" i="3"/>
  <c r="AX130" i="3"/>
  <c r="AY130" i="3"/>
  <c r="AZ130" i="3"/>
  <c r="BA130" i="3"/>
  <c r="BB130" i="3"/>
  <c r="BC130" i="3"/>
  <c r="BD130" i="3"/>
  <c r="BE130" i="3" a="1"/>
  <c r="BF130" i="3"/>
  <c r="BG130" i="3"/>
  <c r="BH130" i="3" a="1"/>
  <c r="BI130" i="3"/>
  <c r="BJ130" i="3" a="1"/>
  <c r="BK130" i="3" a="1"/>
  <c r="BL130" i="3"/>
  <c r="BM130" i="3"/>
  <c r="B131" i="3"/>
  <c r="C131" i="3"/>
  <c r="D131" i="3"/>
  <c r="E131" i="3"/>
  <c r="F131" i="3"/>
  <c r="G131" i="3"/>
  <c r="H131" i="3"/>
  <c r="I131" i="3"/>
  <c r="J131" i="3"/>
  <c r="K131" i="3"/>
  <c r="L131" i="3"/>
  <c r="M131" i="3" a="1"/>
  <c r="N131" i="3"/>
  <c r="O131" i="3"/>
  <c r="P131" i="3"/>
  <c r="Q131" i="3" a="1"/>
  <c r="R131" i="3"/>
  <c r="S131" i="3"/>
  <c r="T131" i="3"/>
  <c r="U131" i="3"/>
  <c r="V131" i="3" a="1"/>
  <c r="W131" i="3" a="1"/>
  <c r="X131" i="3"/>
  <c r="Y131" i="3"/>
  <c r="Z131" i="3"/>
  <c r="AA131" i="3"/>
  <c r="AB131" i="3" a="1"/>
  <c r="AC131" i="3"/>
  <c r="AD131" i="3" a="1"/>
  <c r="AE131" i="3"/>
  <c r="AG131" i="3"/>
  <c r="AH131" i="3"/>
  <c r="AI131" i="3"/>
  <c r="AJ131" i="3"/>
  <c r="AK131" i="3"/>
  <c r="AL131" i="3"/>
  <c r="AM131" i="3"/>
  <c r="AN131" i="3"/>
  <c r="AO131" i="3"/>
  <c r="AP131" i="3"/>
  <c r="AQ131" i="3" a="1"/>
  <c r="AR131" i="3" a="1"/>
  <c r="AS131" i="3"/>
  <c r="AT131" i="3" a="1"/>
  <c r="AU131" i="3"/>
  <c r="AV131" i="3" a="1"/>
  <c r="AW131" i="3"/>
  <c r="AX131" i="3"/>
  <c r="AY131" i="3"/>
  <c r="AZ131" i="3"/>
  <c r="BA131" i="3"/>
  <c r="BB131" i="3"/>
  <c r="BC131" i="3"/>
  <c r="BD131" i="3"/>
  <c r="BE131" i="3" a="1"/>
  <c r="BF131" i="3"/>
  <c r="BG131" i="3"/>
  <c r="BH131" i="3" a="1"/>
  <c r="BI131" i="3"/>
  <c r="BJ131" i="3" a="1"/>
  <c r="BK131" i="3" a="1"/>
  <c r="BL131" i="3"/>
  <c r="BM131" i="3"/>
  <c r="B132" i="3"/>
  <c r="C132" i="3"/>
  <c r="D132" i="3"/>
  <c r="E132" i="3"/>
  <c r="F132" i="3"/>
  <c r="G132" i="3"/>
  <c r="H132" i="3"/>
  <c r="I132" i="3"/>
  <c r="J132" i="3"/>
  <c r="K132" i="3"/>
  <c r="L132" i="3"/>
  <c r="M132" i="3" a="1"/>
  <c r="N132" i="3"/>
  <c r="O132" i="3"/>
  <c r="P132" i="3"/>
  <c r="Q132" i="3" a="1"/>
  <c r="R132" i="3"/>
  <c r="S132" i="3"/>
  <c r="T132" i="3"/>
  <c r="U132" i="3"/>
  <c r="V132" i="3" a="1"/>
  <c r="W132" i="3" a="1"/>
  <c r="X132" i="3"/>
  <c r="Y132" i="3"/>
  <c r="Z132" i="3"/>
  <c r="AA132" i="3"/>
  <c r="AB132" i="3" a="1"/>
  <c r="AC132" i="3"/>
  <c r="AD132" i="3" a="1"/>
  <c r="AE132" i="3"/>
  <c r="AG132" i="3"/>
  <c r="AH132" i="3"/>
  <c r="AI132" i="3"/>
  <c r="AJ132" i="3"/>
  <c r="AK132" i="3"/>
  <c r="AL132" i="3"/>
  <c r="AM132" i="3"/>
  <c r="AN132" i="3"/>
  <c r="AO132" i="3"/>
  <c r="AP132" i="3"/>
  <c r="AQ132" i="3" a="1"/>
  <c r="AR132" i="3" a="1"/>
  <c r="AS132" i="3"/>
  <c r="AT132" i="3" a="1"/>
  <c r="AU132" i="3"/>
  <c r="AV132" i="3" a="1"/>
  <c r="AW132" i="3"/>
  <c r="AX132" i="3"/>
  <c r="AY132" i="3"/>
  <c r="AZ132" i="3"/>
  <c r="BA132" i="3"/>
  <c r="BB132" i="3"/>
  <c r="BC132" i="3"/>
  <c r="BD132" i="3"/>
  <c r="BE132" i="3" a="1"/>
  <c r="BF132" i="3"/>
  <c r="BG132" i="3"/>
  <c r="BH132" i="3" a="1"/>
  <c r="BI132" i="3"/>
  <c r="BJ132" i="3" a="1"/>
  <c r="BK132" i="3" a="1"/>
  <c r="BL132" i="3"/>
  <c r="BM132" i="3"/>
  <c r="B133" i="3"/>
  <c r="C133" i="3"/>
  <c r="D133" i="3"/>
  <c r="E133" i="3"/>
  <c r="F133" i="3"/>
  <c r="G133" i="3"/>
  <c r="H133" i="3"/>
  <c r="I133" i="3"/>
  <c r="J133" i="3"/>
  <c r="K133" i="3"/>
  <c r="L133" i="3"/>
  <c r="M133" i="3" a="1"/>
  <c r="N133" i="3"/>
  <c r="O133" i="3"/>
  <c r="P133" i="3"/>
  <c r="Q133" i="3" a="1"/>
  <c r="R133" i="3"/>
  <c r="S133" i="3"/>
  <c r="T133" i="3"/>
  <c r="U133" i="3"/>
  <c r="V133" i="3" a="1"/>
  <c r="W133" i="3" a="1"/>
  <c r="X133" i="3"/>
  <c r="Y133" i="3"/>
  <c r="Z133" i="3"/>
  <c r="AA133" i="3"/>
  <c r="AB133" i="3" a="1"/>
  <c r="AC133" i="3"/>
  <c r="AD133" i="3" a="1"/>
  <c r="AE133" i="3"/>
  <c r="AG133" i="3"/>
  <c r="AH133" i="3"/>
  <c r="AI133" i="3"/>
  <c r="AJ133" i="3"/>
  <c r="AK133" i="3"/>
  <c r="AL133" i="3"/>
  <c r="AM133" i="3"/>
  <c r="AN133" i="3"/>
  <c r="AO133" i="3"/>
  <c r="AP133" i="3"/>
  <c r="AQ133" i="3" a="1"/>
  <c r="AR133" i="3" a="1"/>
  <c r="AS133" i="3"/>
  <c r="AT133" i="3" a="1"/>
  <c r="AU133" i="3"/>
  <c r="AV133" i="3" a="1"/>
  <c r="AW133" i="3"/>
  <c r="AX133" i="3"/>
  <c r="AY133" i="3"/>
  <c r="AZ133" i="3"/>
  <c r="BA133" i="3"/>
  <c r="BB133" i="3"/>
  <c r="BC133" i="3"/>
  <c r="BD133" i="3"/>
  <c r="BE133" i="3" a="1"/>
  <c r="BF133" i="3"/>
  <c r="BG133" i="3"/>
  <c r="BH133" i="3" a="1"/>
  <c r="BI133" i="3"/>
  <c r="BJ133" i="3" a="1"/>
  <c r="BK133" i="3" a="1"/>
  <c r="BL133" i="3"/>
  <c r="BM133" i="3"/>
  <c r="B134" i="3"/>
  <c r="C134" i="3"/>
  <c r="D134" i="3"/>
  <c r="E134" i="3"/>
  <c r="F134" i="3"/>
  <c r="G134" i="3"/>
  <c r="H134" i="3"/>
  <c r="I134" i="3"/>
  <c r="J134" i="3"/>
  <c r="K134" i="3"/>
  <c r="L134" i="3"/>
  <c r="M134" i="3" a="1"/>
  <c r="N134" i="3"/>
  <c r="O134" i="3"/>
  <c r="P134" i="3"/>
  <c r="Q134" i="3" a="1"/>
  <c r="R134" i="3"/>
  <c r="S134" i="3"/>
  <c r="T134" i="3"/>
  <c r="U134" i="3"/>
  <c r="V134" i="3" a="1"/>
  <c r="W134" i="3" a="1"/>
  <c r="X134" i="3"/>
  <c r="Y134" i="3"/>
  <c r="Z134" i="3"/>
  <c r="AA134" i="3"/>
  <c r="AB134" i="3" a="1"/>
  <c r="AC134" i="3"/>
  <c r="AD134" i="3" a="1"/>
  <c r="AE134" i="3"/>
  <c r="AG134" i="3"/>
  <c r="AH134" i="3"/>
  <c r="AI134" i="3"/>
  <c r="AJ134" i="3"/>
  <c r="AK134" i="3"/>
  <c r="AL134" i="3"/>
  <c r="AM134" i="3"/>
  <c r="AN134" i="3"/>
  <c r="AO134" i="3"/>
  <c r="AP134" i="3"/>
  <c r="AQ134" i="3" a="1"/>
  <c r="AR134" i="3" a="1"/>
  <c r="AS134" i="3"/>
  <c r="AT134" i="3" a="1"/>
  <c r="AU134" i="3"/>
  <c r="AV134" i="3" a="1"/>
  <c r="AW134" i="3"/>
  <c r="AX134" i="3"/>
  <c r="AY134" i="3"/>
  <c r="AZ134" i="3"/>
  <c r="BA134" i="3"/>
  <c r="BB134" i="3"/>
  <c r="BC134" i="3"/>
  <c r="BD134" i="3"/>
  <c r="BE134" i="3" a="1"/>
  <c r="BF134" i="3"/>
  <c r="BG134" i="3"/>
  <c r="BH134" i="3" a="1"/>
  <c r="BI134" i="3"/>
  <c r="BJ134" i="3" a="1"/>
  <c r="BK134" i="3" a="1"/>
  <c r="BL134" i="3"/>
  <c r="BM134" i="3"/>
  <c r="B135" i="3"/>
  <c r="C135" i="3"/>
  <c r="D135" i="3"/>
  <c r="E135" i="3"/>
  <c r="F135" i="3"/>
  <c r="G135" i="3"/>
  <c r="H135" i="3"/>
  <c r="I135" i="3"/>
  <c r="J135" i="3"/>
  <c r="K135" i="3"/>
  <c r="L135" i="3"/>
  <c r="M135" i="3" a="1"/>
  <c r="N135" i="3"/>
  <c r="O135" i="3"/>
  <c r="P135" i="3"/>
  <c r="Q135" i="3" a="1"/>
  <c r="R135" i="3"/>
  <c r="S135" i="3"/>
  <c r="T135" i="3"/>
  <c r="U135" i="3"/>
  <c r="V135" i="3" a="1"/>
  <c r="W135" i="3" a="1"/>
  <c r="X135" i="3"/>
  <c r="Y135" i="3"/>
  <c r="Z135" i="3"/>
  <c r="AA135" i="3"/>
  <c r="AB135" i="3" a="1"/>
  <c r="AC135" i="3"/>
  <c r="AD135" i="3" a="1"/>
  <c r="AE135" i="3"/>
  <c r="AG135" i="3"/>
  <c r="AH135" i="3"/>
  <c r="AI135" i="3"/>
  <c r="AJ135" i="3"/>
  <c r="AK135" i="3"/>
  <c r="AL135" i="3"/>
  <c r="AM135" i="3"/>
  <c r="AN135" i="3"/>
  <c r="AO135" i="3"/>
  <c r="AP135" i="3"/>
  <c r="AQ135" i="3" a="1"/>
  <c r="AR135" i="3" a="1"/>
  <c r="AS135" i="3"/>
  <c r="AT135" i="3" a="1"/>
  <c r="AU135" i="3"/>
  <c r="AV135" i="3" a="1"/>
  <c r="AW135" i="3"/>
  <c r="AX135" i="3"/>
  <c r="AY135" i="3"/>
  <c r="AZ135" i="3"/>
  <c r="BA135" i="3"/>
  <c r="BB135" i="3"/>
  <c r="BC135" i="3"/>
  <c r="BD135" i="3"/>
  <c r="BE135" i="3" a="1"/>
  <c r="BF135" i="3"/>
  <c r="BG135" i="3"/>
  <c r="BH135" i="3" a="1"/>
  <c r="BI135" i="3"/>
  <c r="BJ135" i="3" a="1"/>
  <c r="BK135" i="3" a="1"/>
  <c r="BL135" i="3"/>
  <c r="BM135" i="3"/>
  <c r="B136" i="3"/>
  <c r="C136" i="3"/>
  <c r="D136" i="3"/>
  <c r="E136" i="3"/>
  <c r="F136" i="3"/>
  <c r="G136" i="3"/>
  <c r="H136" i="3"/>
  <c r="I136" i="3"/>
  <c r="J136" i="3"/>
  <c r="K136" i="3"/>
  <c r="L136" i="3"/>
  <c r="M136" i="3" a="1"/>
  <c r="N136" i="3"/>
  <c r="O136" i="3"/>
  <c r="P136" i="3"/>
  <c r="Q136" i="3" a="1"/>
  <c r="R136" i="3"/>
  <c r="S136" i="3"/>
  <c r="T136" i="3"/>
  <c r="U136" i="3"/>
  <c r="V136" i="3" a="1"/>
  <c r="W136" i="3" a="1"/>
  <c r="X136" i="3"/>
  <c r="Y136" i="3"/>
  <c r="Z136" i="3"/>
  <c r="AA136" i="3"/>
  <c r="AB136" i="3" a="1"/>
  <c r="AC136" i="3"/>
  <c r="AD136" i="3" a="1"/>
  <c r="AE136" i="3"/>
  <c r="AG136" i="3"/>
  <c r="AH136" i="3"/>
  <c r="AI136" i="3"/>
  <c r="AJ136" i="3"/>
  <c r="AK136" i="3"/>
  <c r="AL136" i="3"/>
  <c r="AM136" i="3"/>
  <c r="AN136" i="3"/>
  <c r="AO136" i="3"/>
  <c r="AP136" i="3"/>
  <c r="AQ136" i="3" a="1"/>
  <c r="AR136" i="3" a="1"/>
  <c r="AS136" i="3"/>
  <c r="AT136" i="3" a="1"/>
  <c r="AU136" i="3"/>
  <c r="AV136" i="3" a="1"/>
  <c r="AW136" i="3"/>
  <c r="AX136" i="3"/>
  <c r="AY136" i="3"/>
  <c r="AZ136" i="3"/>
  <c r="BA136" i="3"/>
  <c r="BB136" i="3"/>
  <c r="BC136" i="3"/>
  <c r="BD136" i="3"/>
  <c r="BE136" i="3" a="1"/>
  <c r="BF136" i="3"/>
  <c r="BG136" i="3"/>
  <c r="BH136" i="3" a="1"/>
  <c r="BI136" i="3"/>
  <c r="BJ136" i="3" a="1"/>
  <c r="BK136" i="3" a="1"/>
  <c r="BL136" i="3"/>
  <c r="BM136" i="3"/>
  <c r="B137" i="3"/>
  <c r="C137" i="3"/>
  <c r="D137" i="3"/>
  <c r="E137" i="3"/>
  <c r="F137" i="3"/>
  <c r="G137" i="3"/>
  <c r="H137" i="3"/>
  <c r="I137" i="3"/>
  <c r="J137" i="3"/>
  <c r="K137" i="3"/>
  <c r="L137" i="3"/>
  <c r="M137" i="3" a="1"/>
  <c r="N137" i="3"/>
  <c r="O137" i="3"/>
  <c r="P137" i="3"/>
  <c r="Q137" i="3" a="1"/>
  <c r="R137" i="3"/>
  <c r="S137" i="3"/>
  <c r="T137" i="3"/>
  <c r="U137" i="3"/>
  <c r="V137" i="3" a="1"/>
  <c r="W137" i="3" a="1"/>
  <c r="X137" i="3"/>
  <c r="Y137" i="3"/>
  <c r="Z137" i="3"/>
  <c r="AA137" i="3"/>
  <c r="AB137" i="3" a="1"/>
  <c r="AC137" i="3"/>
  <c r="AD137" i="3" a="1"/>
  <c r="AE137" i="3"/>
  <c r="AG137" i="3"/>
  <c r="AH137" i="3"/>
  <c r="AI137" i="3"/>
  <c r="AJ137" i="3"/>
  <c r="AK137" i="3"/>
  <c r="AL137" i="3"/>
  <c r="AM137" i="3"/>
  <c r="AN137" i="3"/>
  <c r="AO137" i="3"/>
  <c r="AP137" i="3"/>
  <c r="AQ137" i="3" a="1"/>
  <c r="AR137" i="3" a="1"/>
  <c r="AS137" i="3"/>
  <c r="AT137" i="3" a="1"/>
  <c r="AU137" i="3"/>
  <c r="AV137" i="3" a="1"/>
  <c r="AW137" i="3"/>
  <c r="AX137" i="3"/>
  <c r="AY137" i="3"/>
  <c r="AZ137" i="3"/>
  <c r="BA137" i="3"/>
  <c r="BB137" i="3"/>
  <c r="BC137" i="3"/>
  <c r="BD137" i="3"/>
  <c r="BE137" i="3" a="1"/>
  <c r="BF137" i="3"/>
  <c r="BG137" i="3"/>
  <c r="BH137" i="3" a="1"/>
  <c r="BI137" i="3"/>
  <c r="BJ137" i="3" a="1"/>
  <c r="BK137" i="3" a="1"/>
  <c r="BL137" i="3"/>
  <c r="BM137" i="3"/>
  <c r="B138" i="3"/>
  <c r="C138" i="3"/>
  <c r="D138" i="3"/>
  <c r="E138" i="3"/>
  <c r="F138" i="3"/>
  <c r="G138" i="3"/>
  <c r="H138" i="3"/>
  <c r="I138" i="3"/>
  <c r="J138" i="3"/>
  <c r="K138" i="3"/>
  <c r="L138" i="3"/>
  <c r="M138" i="3" a="1"/>
  <c r="N138" i="3"/>
  <c r="O138" i="3"/>
  <c r="P138" i="3"/>
  <c r="Q138" i="3" a="1"/>
  <c r="R138" i="3"/>
  <c r="S138" i="3"/>
  <c r="T138" i="3"/>
  <c r="U138" i="3"/>
  <c r="V138" i="3" a="1"/>
  <c r="W138" i="3" a="1"/>
  <c r="X138" i="3"/>
  <c r="Y138" i="3"/>
  <c r="Z138" i="3"/>
  <c r="AA138" i="3"/>
  <c r="AB138" i="3" a="1"/>
  <c r="AC138" i="3"/>
  <c r="AD138" i="3" a="1"/>
  <c r="AE138" i="3"/>
  <c r="AG138" i="3"/>
  <c r="AH138" i="3"/>
  <c r="AI138" i="3"/>
  <c r="AJ138" i="3"/>
  <c r="AK138" i="3"/>
  <c r="AL138" i="3"/>
  <c r="AM138" i="3"/>
  <c r="AN138" i="3"/>
  <c r="AO138" i="3"/>
  <c r="AP138" i="3"/>
  <c r="AQ138" i="3" a="1"/>
  <c r="AR138" i="3" a="1"/>
  <c r="AS138" i="3"/>
  <c r="AT138" i="3" a="1"/>
  <c r="AU138" i="3"/>
  <c r="AV138" i="3" a="1"/>
  <c r="AW138" i="3"/>
  <c r="AX138" i="3"/>
  <c r="AY138" i="3"/>
  <c r="AZ138" i="3"/>
  <c r="BA138" i="3"/>
  <c r="BB138" i="3"/>
  <c r="BC138" i="3"/>
  <c r="BD138" i="3"/>
  <c r="BE138" i="3" a="1"/>
  <c r="BF138" i="3"/>
  <c r="BG138" i="3"/>
  <c r="BH138" i="3" a="1"/>
  <c r="BI138" i="3"/>
  <c r="BJ138" i="3" a="1"/>
  <c r="BK138" i="3" a="1"/>
  <c r="BL138" i="3"/>
  <c r="B139" i="3"/>
  <c r="C139" i="3"/>
  <c r="D139" i="3"/>
  <c r="E139" i="3"/>
  <c r="F139" i="3"/>
  <c r="G139" i="3"/>
  <c r="H139" i="3"/>
  <c r="I139" i="3"/>
  <c r="J139" i="3"/>
  <c r="K139" i="3"/>
  <c r="L139" i="3"/>
  <c r="M139" i="3" a="1"/>
  <c r="N139" i="3"/>
  <c r="O139" i="3"/>
  <c r="P139" i="3"/>
  <c r="Q139" i="3" a="1"/>
  <c r="R139" i="3"/>
  <c r="S139" i="3"/>
  <c r="T139" i="3"/>
  <c r="U139" i="3"/>
  <c r="V139" i="3" a="1"/>
  <c r="W139" i="3" a="1"/>
  <c r="X139" i="3"/>
  <c r="Y139" i="3"/>
  <c r="Z139" i="3"/>
  <c r="AA139" i="3"/>
  <c r="AB139" i="3" a="1"/>
  <c r="AC139" i="3"/>
  <c r="AD139" i="3" a="1"/>
  <c r="AE139" i="3"/>
  <c r="AG139" i="3"/>
  <c r="AH139" i="3"/>
  <c r="AI139" i="3"/>
  <c r="AJ139" i="3"/>
  <c r="AK139" i="3"/>
  <c r="AL139" i="3"/>
  <c r="AM139" i="3"/>
  <c r="AN139" i="3"/>
  <c r="AO139" i="3"/>
  <c r="AP139" i="3"/>
  <c r="AQ139" i="3" a="1"/>
  <c r="AR139" i="3" a="1"/>
  <c r="AS139" i="3"/>
  <c r="AT139" i="3" a="1"/>
  <c r="AU139" i="3"/>
  <c r="AV139" i="3" a="1"/>
  <c r="AW139" i="3"/>
  <c r="AX139" i="3"/>
  <c r="AY139" i="3"/>
  <c r="AZ139" i="3"/>
  <c r="BA139" i="3"/>
  <c r="BB139" i="3"/>
  <c r="BC139" i="3"/>
  <c r="BD139" i="3"/>
  <c r="BE139" i="3" a="1"/>
  <c r="BF139" i="3"/>
  <c r="BG139" i="3"/>
  <c r="BH139" i="3" a="1"/>
  <c r="BI139" i="3"/>
  <c r="BJ139" i="3" a="1"/>
  <c r="BK139" i="3" a="1"/>
  <c r="BL139" i="3"/>
  <c r="B140" i="3"/>
  <c r="C140" i="3"/>
  <c r="D140" i="3"/>
  <c r="E140" i="3"/>
  <c r="F140" i="3"/>
  <c r="G140" i="3"/>
  <c r="H140" i="3"/>
  <c r="I140" i="3"/>
  <c r="J140" i="3"/>
  <c r="K140" i="3"/>
  <c r="L140" i="3"/>
  <c r="M140" i="3" a="1"/>
  <c r="N140" i="3"/>
  <c r="O140" i="3"/>
  <c r="P140" i="3"/>
  <c r="Q140" i="3" a="1"/>
  <c r="R140" i="3"/>
  <c r="S140" i="3"/>
  <c r="T140" i="3"/>
  <c r="U140" i="3"/>
  <c r="V140" i="3" a="1"/>
  <c r="W140" i="3" a="1"/>
  <c r="X140" i="3"/>
  <c r="Y140" i="3"/>
  <c r="Z140" i="3"/>
  <c r="AA140" i="3"/>
  <c r="AB140" i="3" a="1"/>
  <c r="AC140" i="3"/>
  <c r="AD140" i="3" a="1"/>
  <c r="AE140" i="3"/>
  <c r="AG140" i="3"/>
  <c r="AH140" i="3"/>
  <c r="AI140" i="3"/>
  <c r="AJ140" i="3"/>
  <c r="AK140" i="3"/>
  <c r="AL140" i="3"/>
  <c r="AM140" i="3"/>
  <c r="AN140" i="3"/>
  <c r="AO140" i="3"/>
  <c r="AP140" i="3"/>
  <c r="AQ140" i="3" a="1"/>
  <c r="AR140" i="3" a="1"/>
  <c r="AS140" i="3"/>
  <c r="AT140" i="3" a="1"/>
  <c r="AU140" i="3"/>
  <c r="AV140" i="3" a="1"/>
  <c r="AW140" i="3"/>
  <c r="AX140" i="3"/>
  <c r="AY140" i="3"/>
  <c r="AZ140" i="3"/>
  <c r="BA140" i="3"/>
  <c r="BB140" i="3"/>
  <c r="BC140" i="3"/>
  <c r="BD140" i="3"/>
  <c r="BE140" i="3" a="1"/>
  <c r="BF140" i="3"/>
  <c r="BG140" i="3"/>
  <c r="BH140" i="3" a="1"/>
  <c r="BI140" i="3"/>
  <c r="BJ140" i="3" a="1"/>
  <c r="BK140" i="3" a="1"/>
  <c r="BL140" i="3"/>
  <c r="B141" i="3"/>
  <c r="C141" i="3"/>
  <c r="D141" i="3"/>
  <c r="E141" i="3"/>
  <c r="F141" i="3"/>
  <c r="G141" i="3"/>
  <c r="H141" i="3"/>
  <c r="I141" i="3"/>
  <c r="J141" i="3"/>
  <c r="K141" i="3"/>
  <c r="L141" i="3"/>
  <c r="M141" i="3" a="1"/>
  <c r="N141" i="3"/>
  <c r="O141" i="3"/>
  <c r="P141" i="3"/>
  <c r="Q141" i="3" a="1"/>
  <c r="R141" i="3"/>
  <c r="S141" i="3"/>
  <c r="T141" i="3"/>
  <c r="U141" i="3"/>
  <c r="V141" i="3" a="1"/>
  <c r="W141" i="3" a="1"/>
  <c r="X141" i="3"/>
  <c r="Y141" i="3"/>
  <c r="Z141" i="3"/>
  <c r="AA141" i="3"/>
  <c r="AB141" i="3" a="1"/>
  <c r="AC141" i="3"/>
  <c r="AD141" i="3" a="1"/>
  <c r="AE141" i="3"/>
  <c r="AG141" i="3"/>
  <c r="AH141" i="3"/>
  <c r="AI141" i="3"/>
  <c r="AJ141" i="3"/>
  <c r="AK141" i="3"/>
  <c r="AL141" i="3"/>
  <c r="AM141" i="3"/>
  <c r="AN141" i="3"/>
  <c r="AO141" i="3"/>
  <c r="AP141" i="3"/>
  <c r="AQ141" i="3" a="1"/>
  <c r="AR141" i="3" a="1"/>
  <c r="AS141" i="3"/>
  <c r="AT141" i="3" a="1"/>
  <c r="AU141" i="3"/>
  <c r="AV141" i="3" a="1"/>
  <c r="AW141" i="3"/>
  <c r="AX141" i="3"/>
  <c r="AY141" i="3"/>
  <c r="AZ141" i="3"/>
  <c r="BA141" i="3"/>
  <c r="BB141" i="3"/>
  <c r="BC141" i="3"/>
  <c r="BD141" i="3"/>
  <c r="BE141" i="3" a="1"/>
  <c r="BF141" i="3"/>
  <c r="BG141" i="3"/>
  <c r="BH141" i="3" a="1"/>
  <c r="BI141" i="3"/>
  <c r="BJ141" i="3" a="1"/>
  <c r="BK141" i="3" a="1"/>
  <c r="BL141" i="3"/>
  <c r="B142" i="3"/>
  <c r="C142" i="3"/>
  <c r="D142" i="3"/>
  <c r="E142" i="3"/>
  <c r="F142" i="3"/>
  <c r="G142" i="3"/>
  <c r="H142" i="3"/>
  <c r="I142" i="3"/>
  <c r="J142" i="3"/>
  <c r="K142" i="3"/>
  <c r="L142" i="3"/>
  <c r="M142" i="3" a="1"/>
  <c r="N142" i="3"/>
  <c r="O142" i="3"/>
  <c r="P142" i="3"/>
  <c r="Q142" i="3" a="1"/>
  <c r="R142" i="3"/>
  <c r="S142" i="3"/>
  <c r="T142" i="3"/>
  <c r="U142" i="3"/>
  <c r="V142" i="3" a="1"/>
  <c r="W142" i="3" a="1"/>
  <c r="X142" i="3"/>
  <c r="Y142" i="3"/>
  <c r="Z142" i="3"/>
  <c r="AA142" i="3"/>
  <c r="AB142" i="3" a="1"/>
  <c r="AC142" i="3"/>
  <c r="AD142" i="3" a="1"/>
  <c r="AE142" i="3"/>
  <c r="AG142" i="3"/>
  <c r="AH142" i="3"/>
  <c r="AI142" i="3"/>
  <c r="AJ142" i="3"/>
  <c r="AK142" i="3"/>
  <c r="AL142" i="3"/>
  <c r="AM142" i="3"/>
  <c r="AN142" i="3"/>
  <c r="AO142" i="3"/>
  <c r="AP142" i="3"/>
  <c r="AQ142" i="3" a="1"/>
  <c r="AR142" i="3" a="1"/>
  <c r="AS142" i="3"/>
  <c r="AT142" i="3" a="1"/>
  <c r="AU142" i="3"/>
  <c r="AV142" i="3" a="1"/>
  <c r="AW142" i="3"/>
  <c r="AX142" i="3"/>
  <c r="AY142" i="3"/>
  <c r="AZ142" i="3"/>
  <c r="BA142" i="3"/>
  <c r="BB142" i="3"/>
  <c r="BC142" i="3"/>
  <c r="BD142" i="3"/>
  <c r="BE142" i="3" a="1"/>
  <c r="BF142" i="3"/>
  <c r="BG142" i="3"/>
  <c r="BH142" i="3" a="1"/>
  <c r="BI142" i="3"/>
  <c r="BJ142" i="3" a="1"/>
  <c r="BK142" i="3" a="1"/>
  <c r="BL142" i="3"/>
  <c r="BM142" i="3"/>
  <c r="B143" i="3"/>
  <c r="C143" i="3"/>
  <c r="D143" i="3"/>
  <c r="E143" i="3"/>
  <c r="F143" i="3"/>
  <c r="G143" i="3"/>
  <c r="H143" i="3"/>
  <c r="I143" i="3"/>
  <c r="J143" i="3"/>
  <c r="K143" i="3"/>
  <c r="L143" i="3"/>
  <c r="M143" i="3" a="1"/>
  <c r="N143" i="3"/>
  <c r="O143" i="3"/>
  <c r="P143" i="3"/>
  <c r="Q143" i="3" a="1"/>
  <c r="R143" i="3"/>
  <c r="S143" i="3"/>
  <c r="T143" i="3"/>
  <c r="U143" i="3"/>
  <c r="V143" i="3" a="1"/>
  <c r="W143" i="3" a="1"/>
  <c r="X143" i="3"/>
  <c r="Y143" i="3"/>
  <c r="Z143" i="3"/>
  <c r="AA143" i="3"/>
  <c r="AB143" i="3" a="1"/>
  <c r="AC143" i="3"/>
  <c r="AD143" i="3" a="1"/>
  <c r="AE143" i="3"/>
  <c r="AG143" i="3"/>
  <c r="AH143" i="3"/>
  <c r="AI143" i="3"/>
  <c r="AJ143" i="3"/>
  <c r="AK143" i="3"/>
  <c r="AL143" i="3"/>
  <c r="AM143" i="3"/>
  <c r="AN143" i="3"/>
  <c r="AO143" i="3"/>
  <c r="AP143" i="3"/>
  <c r="AQ143" i="3" a="1"/>
  <c r="AR143" i="3" a="1"/>
  <c r="AS143" i="3"/>
  <c r="AT143" i="3" a="1"/>
  <c r="AU143" i="3"/>
  <c r="AV143" i="3" a="1"/>
  <c r="AW143" i="3"/>
  <c r="AX143" i="3"/>
  <c r="AY143" i="3"/>
  <c r="AZ143" i="3"/>
  <c r="BA143" i="3"/>
  <c r="BB143" i="3"/>
  <c r="BC143" i="3"/>
  <c r="BD143" i="3"/>
  <c r="BE143" i="3" a="1"/>
  <c r="BF143" i="3"/>
  <c r="BG143" i="3"/>
  <c r="BH143" i="3" a="1"/>
  <c r="BI143" i="3"/>
  <c r="BJ143" i="3" a="1"/>
  <c r="BK143" i="3" a="1"/>
  <c r="BL143" i="3"/>
  <c r="BM143" i="3"/>
  <c r="B144" i="3"/>
  <c r="C144" i="3"/>
  <c r="D144" i="3"/>
  <c r="E144" i="3"/>
  <c r="F144" i="3"/>
  <c r="G144" i="3"/>
  <c r="H144" i="3"/>
  <c r="I144" i="3"/>
  <c r="J144" i="3"/>
  <c r="K144" i="3"/>
  <c r="L144" i="3"/>
  <c r="M144" i="3" a="1"/>
  <c r="N144" i="3"/>
  <c r="O144" i="3"/>
  <c r="P144" i="3"/>
  <c r="Q144" i="3" a="1"/>
  <c r="R144" i="3"/>
  <c r="S144" i="3"/>
  <c r="T144" i="3"/>
  <c r="U144" i="3"/>
  <c r="V144" i="3" a="1"/>
  <c r="W144" i="3" a="1"/>
  <c r="X144" i="3"/>
  <c r="Y144" i="3"/>
  <c r="Z144" i="3"/>
  <c r="AA144" i="3"/>
  <c r="AB144" i="3" a="1"/>
  <c r="AC144" i="3"/>
  <c r="AD144" i="3" a="1"/>
  <c r="AE144" i="3"/>
  <c r="AG144" i="3"/>
  <c r="AH144" i="3"/>
  <c r="AI144" i="3"/>
  <c r="AJ144" i="3"/>
  <c r="AK144" i="3"/>
  <c r="AL144" i="3"/>
  <c r="AM144" i="3"/>
  <c r="AN144" i="3"/>
  <c r="AO144" i="3"/>
  <c r="AP144" i="3"/>
  <c r="AQ144" i="3" a="1"/>
  <c r="AR144" i="3" a="1"/>
  <c r="AS144" i="3"/>
  <c r="AT144" i="3" a="1"/>
  <c r="AU144" i="3"/>
  <c r="AV144" i="3" a="1"/>
  <c r="AW144" i="3"/>
  <c r="AX144" i="3"/>
  <c r="AY144" i="3"/>
  <c r="AZ144" i="3"/>
  <c r="BA144" i="3"/>
  <c r="BB144" i="3"/>
  <c r="BC144" i="3"/>
  <c r="BD144" i="3"/>
  <c r="BE144" i="3" a="1"/>
  <c r="BF144" i="3"/>
  <c r="BG144" i="3"/>
  <c r="BH144" i="3" a="1"/>
  <c r="BI144" i="3"/>
  <c r="BJ144" i="3" a="1"/>
  <c r="BK144" i="3" a="1"/>
  <c r="BL144" i="3"/>
  <c r="BM144" i="3"/>
  <c r="B145" i="3"/>
  <c r="C145" i="3"/>
  <c r="D145" i="3"/>
  <c r="E145" i="3"/>
  <c r="F145" i="3"/>
  <c r="G145" i="3"/>
  <c r="H145" i="3"/>
  <c r="I145" i="3"/>
  <c r="J145" i="3"/>
  <c r="K145" i="3"/>
  <c r="L145" i="3"/>
  <c r="M145" i="3" a="1"/>
  <c r="N145" i="3"/>
  <c r="O145" i="3"/>
  <c r="P145" i="3"/>
  <c r="Q145" i="3" a="1"/>
  <c r="R145" i="3"/>
  <c r="S145" i="3"/>
  <c r="T145" i="3"/>
  <c r="U145" i="3"/>
  <c r="V145" i="3" a="1"/>
  <c r="W145" i="3" a="1"/>
  <c r="X145" i="3"/>
  <c r="Y145" i="3"/>
  <c r="Z145" i="3"/>
  <c r="AA145" i="3"/>
  <c r="AB145" i="3" a="1"/>
  <c r="AC145" i="3"/>
  <c r="AD145" i="3" a="1"/>
  <c r="AE145" i="3"/>
  <c r="AG145" i="3"/>
  <c r="AH145" i="3"/>
  <c r="AI145" i="3"/>
  <c r="AJ145" i="3"/>
  <c r="AK145" i="3"/>
  <c r="AL145" i="3"/>
  <c r="AM145" i="3"/>
  <c r="AN145" i="3"/>
  <c r="AO145" i="3"/>
  <c r="AP145" i="3"/>
  <c r="AQ145" i="3" a="1"/>
  <c r="AR145" i="3" a="1"/>
  <c r="AS145" i="3"/>
  <c r="AT145" i="3" a="1"/>
  <c r="AU145" i="3"/>
  <c r="AV145" i="3" a="1"/>
  <c r="AW145" i="3"/>
  <c r="AX145" i="3"/>
  <c r="AY145" i="3"/>
  <c r="AZ145" i="3"/>
  <c r="BA145" i="3"/>
  <c r="BB145" i="3"/>
  <c r="BC145" i="3"/>
  <c r="BD145" i="3"/>
  <c r="BE145" i="3" a="1"/>
  <c r="BF145" i="3"/>
  <c r="BG145" i="3"/>
  <c r="BH145" i="3" a="1"/>
  <c r="BI145" i="3"/>
  <c r="BJ145" i="3" a="1"/>
  <c r="BK145" i="3" a="1"/>
  <c r="BL145" i="3"/>
  <c r="BM145" i="3"/>
  <c r="B146" i="3"/>
  <c r="C146" i="3"/>
  <c r="D146" i="3"/>
  <c r="E146" i="3"/>
  <c r="F146" i="3"/>
  <c r="G146" i="3"/>
  <c r="H146" i="3"/>
  <c r="I146" i="3"/>
  <c r="J146" i="3"/>
  <c r="K146" i="3"/>
  <c r="L146" i="3"/>
  <c r="M146" i="3" a="1"/>
  <c r="N146" i="3"/>
  <c r="O146" i="3"/>
  <c r="P146" i="3"/>
  <c r="Q146" i="3" a="1"/>
  <c r="R146" i="3"/>
  <c r="S146" i="3"/>
  <c r="T146" i="3"/>
  <c r="U146" i="3"/>
  <c r="V146" i="3" a="1"/>
  <c r="W146" i="3" a="1"/>
  <c r="X146" i="3"/>
  <c r="Y146" i="3"/>
  <c r="Z146" i="3"/>
  <c r="AA146" i="3"/>
  <c r="AB146" i="3" a="1"/>
  <c r="AC146" i="3"/>
  <c r="AD146" i="3" a="1"/>
  <c r="AE146" i="3"/>
  <c r="AG146" i="3"/>
  <c r="AH146" i="3"/>
  <c r="AI146" i="3"/>
  <c r="AJ146" i="3"/>
  <c r="AK146" i="3"/>
  <c r="AL146" i="3"/>
  <c r="AM146" i="3"/>
  <c r="AN146" i="3"/>
  <c r="AO146" i="3"/>
  <c r="AP146" i="3"/>
  <c r="AQ146" i="3" a="1"/>
  <c r="AR146" i="3" a="1"/>
  <c r="AS146" i="3"/>
  <c r="AT146" i="3" a="1"/>
  <c r="AU146" i="3"/>
  <c r="AV146" i="3" a="1"/>
  <c r="AW146" i="3"/>
  <c r="AX146" i="3"/>
  <c r="AY146" i="3"/>
  <c r="AZ146" i="3"/>
  <c r="BA146" i="3"/>
  <c r="BB146" i="3"/>
  <c r="BC146" i="3"/>
  <c r="BD146" i="3"/>
  <c r="BE146" i="3" a="1"/>
  <c r="BF146" i="3"/>
  <c r="BG146" i="3"/>
  <c r="BH146" i="3" a="1"/>
  <c r="BI146" i="3"/>
  <c r="BJ146" i="3" a="1"/>
  <c r="BK146" i="3" a="1"/>
  <c r="BL146" i="3"/>
  <c r="BM146" i="3"/>
  <c r="B147" i="3"/>
  <c r="C147" i="3"/>
  <c r="D147" i="3"/>
  <c r="E147" i="3"/>
  <c r="F147" i="3"/>
  <c r="G147" i="3"/>
  <c r="H147" i="3"/>
  <c r="I147" i="3"/>
  <c r="J147" i="3"/>
  <c r="K147" i="3"/>
  <c r="L147" i="3"/>
  <c r="M147" i="3" a="1"/>
  <c r="N147" i="3"/>
  <c r="O147" i="3"/>
  <c r="P147" i="3"/>
  <c r="Q147" i="3" a="1"/>
  <c r="R147" i="3"/>
  <c r="S147" i="3"/>
  <c r="T147" i="3"/>
  <c r="U147" i="3"/>
  <c r="V147" i="3" a="1"/>
  <c r="W147" i="3" a="1"/>
  <c r="X147" i="3"/>
  <c r="Y147" i="3"/>
  <c r="Z147" i="3"/>
  <c r="AA147" i="3"/>
  <c r="AB147" i="3" a="1"/>
  <c r="AC147" i="3"/>
  <c r="AD147" i="3" a="1"/>
  <c r="AE147" i="3"/>
  <c r="AG147" i="3"/>
  <c r="AH147" i="3"/>
  <c r="AI147" i="3"/>
  <c r="AJ147" i="3"/>
  <c r="AK147" i="3"/>
  <c r="AL147" i="3"/>
  <c r="AM147" i="3"/>
  <c r="AN147" i="3"/>
  <c r="AO147" i="3"/>
  <c r="AP147" i="3"/>
  <c r="AQ147" i="3" a="1"/>
  <c r="AR147" i="3" a="1"/>
  <c r="AS147" i="3"/>
  <c r="AT147" i="3" a="1"/>
  <c r="AU147" i="3"/>
  <c r="AV147" i="3" a="1"/>
  <c r="AW147" i="3"/>
  <c r="AX147" i="3"/>
  <c r="AY147" i="3"/>
  <c r="AZ147" i="3"/>
  <c r="BA147" i="3"/>
  <c r="BB147" i="3"/>
  <c r="BC147" i="3"/>
  <c r="BD147" i="3"/>
  <c r="BE147" i="3" a="1"/>
  <c r="BF147" i="3"/>
  <c r="BG147" i="3"/>
  <c r="BH147" i="3" a="1"/>
  <c r="BI147" i="3"/>
  <c r="BJ147" i="3" a="1"/>
  <c r="BK147" i="3" a="1"/>
  <c r="BL147" i="3"/>
  <c r="BM147" i="3"/>
  <c r="B148" i="3"/>
  <c r="C148" i="3"/>
  <c r="D148" i="3"/>
  <c r="E148" i="3"/>
  <c r="F148" i="3"/>
  <c r="G148" i="3"/>
  <c r="H148" i="3"/>
  <c r="I148" i="3"/>
  <c r="J148" i="3"/>
  <c r="K148" i="3"/>
  <c r="L148" i="3"/>
  <c r="M148" i="3" a="1"/>
  <c r="N148" i="3"/>
  <c r="O148" i="3"/>
  <c r="P148" i="3"/>
  <c r="Q148" i="3" a="1"/>
  <c r="R148" i="3"/>
  <c r="S148" i="3"/>
  <c r="T148" i="3"/>
  <c r="U148" i="3"/>
  <c r="V148" i="3" a="1"/>
  <c r="W148" i="3" a="1"/>
  <c r="X148" i="3"/>
  <c r="Y148" i="3"/>
  <c r="Z148" i="3"/>
  <c r="AA148" i="3"/>
  <c r="AB148" i="3" a="1"/>
  <c r="AC148" i="3"/>
  <c r="AD148" i="3" a="1"/>
  <c r="AE148" i="3"/>
  <c r="AG148" i="3"/>
  <c r="AH148" i="3"/>
  <c r="AI148" i="3"/>
  <c r="AJ148" i="3"/>
  <c r="AK148" i="3"/>
  <c r="AL148" i="3"/>
  <c r="AM148" i="3"/>
  <c r="AN148" i="3"/>
  <c r="AO148" i="3"/>
  <c r="AP148" i="3"/>
  <c r="AQ148" i="3" a="1"/>
  <c r="AR148" i="3" a="1"/>
  <c r="AS148" i="3"/>
  <c r="AT148" i="3" a="1"/>
  <c r="AU148" i="3"/>
  <c r="AV148" i="3" a="1"/>
  <c r="AW148" i="3"/>
  <c r="AX148" i="3"/>
  <c r="AY148" i="3"/>
  <c r="AZ148" i="3"/>
  <c r="BA148" i="3"/>
  <c r="BB148" i="3"/>
  <c r="BC148" i="3"/>
  <c r="BD148" i="3"/>
  <c r="BE148" i="3" a="1"/>
  <c r="BF148" i="3"/>
  <c r="BG148" i="3"/>
  <c r="BH148" i="3" a="1"/>
  <c r="BI148" i="3"/>
  <c r="BJ148" i="3" a="1"/>
  <c r="BK148" i="3" a="1"/>
  <c r="BL148" i="3"/>
  <c r="B149" i="3"/>
  <c r="C149" i="3"/>
  <c r="D149" i="3"/>
  <c r="E149" i="3"/>
  <c r="F149" i="3"/>
  <c r="G149" i="3"/>
  <c r="H149" i="3"/>
  <c r="I149" i="3"/>
  <c r="J149" i="3"/>
  <c r="K149" i="3"/>
  <c r="L149" i="3"/>
  <c r="M149" i="3" a="1"/>
  <c r="N149" i="3"/>
  <c r="O149" i="3"/>
  <c r="P149" i="3"/>
  <c r="Q149" i="3" a="1"/>
  <c r="R149" i="3"/>
  <c r="S149" i="3"/>
  <c r="T149" i="3"/>
  <c r="U149" i="3"/>
  <c r="V149" i="3" a="1"/>
  <c r="W149" i="3" a="1"/>
  <c r="X149" i="3"/>
  <c r="Y149" i="3"/>
  <c r="Z149" i="3"/>
  <c r="AA149" i="3"/>
  <c r="AB149" i="3" a="1"/>
  <c r="AC149" i="3"/>
  <c r="AD149" i="3" a="1"/>
  <c r="AE149" i="3"/>
  <c r="AG149" i="3"/>
  <c r="AH149" i="3"/>
  <c r="AI149" i="3"/>
  <c r="AJ149" i="3"/>
  <c r="AK149" i="3"/>
  <c r="AL149" i="3"/>
  <c r="AM149" i="3"/>
  <c r="AN149" i="3"/>
  <c r="AO149" i="3"/>
  <c r="AP149" i="3"/>
  <c r="AQ149" i="3" a="1"/>
  <c r="AR149" i="3" a="1"/>
  <c r="AS149" i="3"/>
  <c r="AT149" i="3" a="1"/>
  <c r="AU149" i="3"/>
  <c r="AV149" i="3" a="1"/>
  <c r="AW149" i="3"/>
  <c r="AX149" i="3"/>
  <c r="AY149" i="3"/>
  <c r="AZ149" i="3"/>
  <c r="BA149" i="3"/>
  <c r="BB149" i="3"/>
  <c r="BC149" i="3"/>
  <c r="BD149" i="3"/>
  <c r="BE149" i="3" a="1"/>
  <c r="BF149" i="3"/>
  <c r="BG149" i="3"/>
  <c r="BH149" i="3" a="1"/>
  <c r="BI149" i="3"/>
  <c r="BJ149" i="3" a="1"/>
  <c r="BK149" i="3" a="1"/>
  <c r="BL149" i="3"/>
  <c r="B150" i="3"/>
  <c r="C150" i="3"/>
  <c r="D150" i="3"/>
  <c r="E150" i="3"/>
  <c r="F150" i="3"/>
  <c r="G150" i="3"/>
  <c r="H150" i="3"/>
  <c r="I150" i="3"/>
  <c r="J150" i="3"/>
  <c r="K150" i="3"/>
  <c r="L150" i="3"/>
  <c r="M150" i="3" a="1"/>
  <c r="N150" i="3"/>
  <c r="O150" i="3"/>
  <c r="P150" i="3"/>
  <c r="Q150" i="3" a="1"/>
  <c r="R150" i="3"/>
  <c r="S150" i="3"/>
  <c r="T150" i="3"/>
  <c r="U150" i="3"/>
  <c r="V150" i="3" a="1"/>
  <c r="W150" i="3" a="1"/>
  <c r="X150" i="3"/>
  <c r="Y150" i="3"/>
  <c r="Z150" i="3"/>
  <c r="AA150" i="3"/>
  <c r="AB150" i="3" a="1"/>
  <c r="AC150" i="3"/>
  <c r="AD150" i="3" a="1"/>
  <c r="AE150" i="3"/>
  <c r="AG150" i="3"/>
  <c r="AH150" i="3"/>
  <c r="AI150" i="3"/>
  <c r="AJ150" i="3"/>
  <c r="AK150" i="3"/>
  <c r="AL150" i="3"/>
  <c r="AM150" i="3"/>
  <c r="AN150" i="3"/>
  <c r="AO150" i="3"/>
  <c r="AP150" i="3"/>
  <c r="AQ150" i="3" a="1"/>
  <c r="AR150" i="3" a="1"/>
  <c r="AS150" i="3"/>
  <c r="AT150" i="3" a="1"/>
  <c r="AU150" i="3"/>
  <c r="AV150" i="3" a="1"/>
  <c r="AW150" i="3"/>
  <c r="AX150" i="3"/>
  <c r="AY150" i="3"/>
  <c r="AZ150" i="3"/>
  <c r="BA150" i="3"/>
  <c r="BB150" i="3"/>
  <c r="BC150" i="3"/>
  <c r="BD150" i="3"/>
  <c r="BE150" i="3" a="1"/>
  <c r="BF150" i="3"/>
  <c r="BG150" i="3"/>
  <c r="BH150" i="3" a="1"/>
  <c r="BI150" i="3"/>
  <c r="BJ150" i="3" a="1"/>
  <c r="BK150" i="3" a="1"/>
  <c r="BL150" i="3"/>
  <c r="B151" i="3"/>
  <c r="C151" i="3"/>
  <c r="D151" i="3"/>
  <c r="E151" i="3"/>
  <c r="F151" i="3"/>
  <c r="G151" i="3"/>
  <c r="H151" i="3"/>
  <c r="I151" i="3"/>
  <c r="J151" i="3"/>
  <c r="K151" i="3"/>
  <c r="L151" i="3"/>
  <c r="M151" i="3" a="1"/>
  <c r="N151" i="3"/>
  <c r="O151" i="3"/>
  <c r="P151" i="3"/>
  <c r="Q151" i="3" a="1"/>
  <c r="R151" i="3"/>
  <c r="S151" i="3"/>
  <c r="T151" i="3"/>
  <c r="U151" i="3"/>
  <c r="V151" i="3" a="1"/>
  <c r="W151" i="3" a="1"/>
  <c r="X151" i="3"/>
  <c r="Y151" i="3"/>
  <c r="Z151" i="3"/>
  <c r="AA151" i="3"/>
  <c r="AB151" i="3" a="1"/>
  <c r="AC151" i="3"/>
  <c r="AD151" i="3" a="1"/>
  <c r="AE151" i="3"/>
  <c r="AG151" i="3"/>
  <c r="AH151" i="3"/>
  <c r="AI151" i="3"/>
  <c r="AJ151" i="3"/>
  <c r="AK151" i="3"/>
  <c r="AL151" i="3"/>
  <c r="AM151" i="3"/>
  <c r="AN151" i="3"/>
  <c r="AO151" i="3"/>
  <c r="AP151" i="3"/>
  <c r="AQ151" i="3" a="1"/>
  <c r="AR151" i="3" a="1"/>
  <c r="AS151" i="3"/>
  <c r="AT151" i="3" a="1"/>
  <c r="AU151" i="3"/>
  <c r="AV151" i="3" a="1"/>
  <c r="AW151" i="3"/>
  <c r="AX151" i="3"/>
  <c r="AY151" i="3"/>
  <c r="AZ151" i="3"/>
  <c r="BA151" i="3"/>
  <c r="BB151" i="3"/>
  <c r="BC151" i="3"/>
  <c r="BD151" i="3"/>
  <c r="BE151" i="3" a="1"/>
  <c r="BF151" i="3"/>
  <c r="BG151" i="3"/>
  <c r="BH151" i="3" a="1"/>
  <c r="BI151" i="3"/>
  <c r="BJ151" i="3" a="1"/>
  <c r="BK151" i="3" a="1"/>
  <c r="BL151" i="3"/>
  <c r="B152" i="3"/>
  <c r="C152" i="3"/>
  <c r="D152" i="3"/>
  <c r="E152" i="3"/>
  <c r="F152" i="3"/>
  <c r="G152" i="3"/>
  <c r="H152" i="3"/>
  <c r="I152" i="3"/>
  <c r="J152" i="3"/>
  <c r="K152" i="3"/>
  <c r="L152" i="3"/>
  <c r="M152" i="3" a="1"/>
  <c r="N152" i="3"/>
  <c r="O152" i="3"/>
  <c r="P152" i="3"/>
  <c r="Q152" i="3" a="1"/>
  <c r="R152" i="3"/>
  <c r="S152" i="3"/>
  <c r="T152" i="3"/>
  <c r="U152" i="3"/>
  <c r="V152" i="3" a="1"/>
  <c r="W152" i="3" a="1"/>
  <c r="X152" i="3"/>
  <c r="Y152" i="3"/>
  <c r="Z152" i="3"/>
  <c r="AA152" i="3"/>
  <c r="AB152" i="3" a="1"/>
  <c r="AC152" i="3"/>
  <c r="AD152" i="3" a="1"/>
  <c r="AE152" i="3"/>
  <c r="AG152" i="3"/>
  <c r="AH152" i="3"/>
  <c r="AI152" i="3"/>
  <c r="AJ152" i="3"/>
  <c r="AK152" i="3"/>
  <c r="AL152" i="3"/>
  <c r="AM152" i="3"/>
  <c r="AN152" i="3"/>
  <c r="AO152" i="3"/>
  <c r="AP152" i="3"/>
  <c r="AQ152" i="3" a="1"/>
  <c r="AR152" i="3" a="1"/>
  <c r="AS152" i="3"/>
  <c r="AT152" i="3" a="1"/>
  <c r="AU152" i="3"/>
  <c r="AV152" i="3" a="1"/>
  <c r="AW152" i="3"/>
  <c r="AX152" i="3"/>
  <c r="AY152" i="3"/>
  <c r="AZ152" i="3"/>
  <c r="BA152" i="3"/>
  <c r="BB152" i="3"/>
  <c r="BC152" i="3"/>
  <c r="BD152" i="3"/>
  <c r="BE152" i="3" a="1"/>
  <c r="BF152" i="3"/>
  <c r="BG152" i="3"/>
  <c r="BH152" i="3" a="1"/>
  <c r="BI152" i="3"/>
  <c r="BJ152" i="3" a="1"/>
  <c r="BK152" i="3" a="1"/>
  <c r="BL152" i="3"/>
  <c r="B153" i="3"/>
  <c r="C153" i="3"/>
  <c r="D153" i="3"/>
  <c r="E153" i="3"/>
  <c r="F153" i="3"/>
  <c r="G153" i="3"/>
  <c r="H153" i="3"/>
  <c r="I153" i="3"/>
  <c r="J153" i="3"/>
  <c r="K153" i="3"/>
  <c r="L153" i="3"/>
  <c r="M153" i="3" a="1"/>
  <c r="N153" i="3"/>
  <c r="O153" i="3"/>
  <c r="P153" i="3"/>
  <c r="Q153" i="3" a="1"/>
  <c r="R153" i="3"/>
  <c r="S153" i="3"/>
  <c r="T153" i="3"/>
  <c r="U153" i="3"/>
  <c r="V153" i="3" a="1"/>
  <c r="W153" i="3" a="1"/>
  <c r="X153" i="3"/>
  <c r="Y153" i="3"/>
  <c r="Z153" i="3"/>
  <c r="AA153" i="3"/>
  <c r="AB153" i="3" a="1"/>
  <c r="AC153" i="3"/>
  <c r="AD153" i="3" a="1"/>
  <c r="AE153" i="3"/>
  <c r="AG153" i="3"/>
  <c r="AH153" i="3"/>
  <c r="AI153" i="3"/>
  <c r="AJ153" i="3"/>
  <c r="AK153" i="3"/>
  <c r="AL153" i="3"/>
  <c r="AM153" i="3"/>
  <c r="AN153" i="3"/>
  <c r="AO153" i="3"/>
  <c r="AP153" i="3"/>
  <c r="AQ153" i="3" a="1"/>
  <c r="AR153" i="3" a="1"/>
  <c r="AS153" i="3"/>
  <c r="AT153" i="3" a="1"/>
  <c r="AU153" i="3"/>
  <c r="AV153" i="3" a="1"/>
  <c r="AW153" i="3"/>
  <c r="AX153" i="3"/>
  <c r="AY153" i="3"/>
  <c r="AZ153" i="3"/>
  <c r="BA153" i="3"/>
  <c r="BB153" i="3"/>
  <c r="BC153" i="3"/>
  <c r="BD153" i="3"/>
  <c r="BE153" i="3" a="1"/>
  <c r="BF153" i="3"/>
  <c r="BG153" i="3"/>
  <c r="BH153" i="3" a="1"/>
  <c r="BI153" i="3"/>
  <c r="BJ153" i="3" a="1"/>
  <c r="BK153" i="3" a="1"/>
  <c r="BL153" i="3"/>
  <c r="B154" i="3"/>
  <c r="C154" i="3"/>
  <c r="D154" i="3"/>
  <c r="E154" i="3"/>
  <c r="F154" i="3"/>
  <c r="G154" i="3"/>
  <c r="H154" i="3"/>
  <c r="I154" i="3"/>
  <c r="J154" i="3"/>
  <c r="K154" i="3"/>
  <c r="L154" i="3"/>
  <c r="M154" i="3" a="1"/>
  <c r="N154" i="3"/>
  <c r="O154" i="3"/>
  <c r="P154" i="3"/>
  <c r="Q154" i="3" a="1"/>
  <c r="R154" i="3"/>
  <c r="S154" i="3"/>
  <c r="T154" i="3"/>
  <c r="U154" i="3"/>
  <c r="V154" i="3" a="1"/>
  <c r="W154" i="3" a="1"/>
  <c r="X154" i="3"/>
  <c r="Y154" i="3"/>
  <c r="Z154" i="3"/>
  <c r="AA154" i="3"/>
  <c r="AB154" i="3" a="1"/>
  <c r="AC154" i="3"/>
  <c r="AD154" i="3" a="1"/>
  <c r="AE154" i="3"/>
  <c r="AG154" i="3"/>
  <c r="AH154" i="3"/>
  <c r="AI154" i="3"/>
  <c r="AJ154" i="3"/>
  <c r="AK154" i="3"/>
  <c r="AL154" i="3"/>
  <c r="AM154" i="3"/>
  <c r="AN154" i="3"/>
  <c r="AO154" i="3"/>
  <c r="AP154" i="3"/>
  <c r="AQ154" i="3" a="1"/>
  <c r="AR154" i="3" a="1"/>
  <c r="AS154" i="3"/>
  <c r="AT154" i="3" a="1"/>
  <c r="AU154" i="3"/>
  <c r="AV154" i="3" a="1"/>
  <c r="AW154" i="3"/>
  <c r="AX154" i="3"/>
  <c r="AY154" i="3"/>
  <c r="AZ154" i="3"/>
  <c r="BA154" i="3"/>
  <c r="BB154" i="3"/>
  <c r="BC154" i="3"/>
  <c r="BD154" i="3"/>
  <c r="BE154" i="3" a="1"/>
  <c r="BF154" i="3"/>
  <c r="BG154" i="3"/>
  <c r="BH154" i="3" a="1"/>
  <c r="BI154" i="3"/>
  <c r="BJ154" i="3" a="1"/>
  <c r="BK154" i="3" a="1"/>
  <c r="BL154" i="3"/>
  <c r="B155" i="3"/>
  <c r="C155" i="3"/>
  <c r="D155" i="3"/>
  <c r="E155" i="3"/>
  <c r="F155" i="3"/>
  <c r="G155" i="3"/>
  <c r="H155" i="3"/>
  <c r="I155" i="3"/>
  <c r="J155" i="3"/>
  <c r="K155" i="3"/>
  <c r="L155" i="3"/>
  <c r="M155" i="3" a="1"/>
  <c r="N155" i="3"/>
  <c r="O155" i="3"/>
  <c r="P155" i="3"/>
  <c r="Q155" i="3" a="1"/>
  <c r="R155" i="3"/>
  <c r="S155" i="3"/>
  <c r="T155" i="3"/>
  <c r="U155" i="3"/>
  <c r="V155" i="3" a="1"/>
  <c r="W155" i="3" a="1"/>
  <c r="X155" i="3"/>
  <c r="Y155" i="3"/>
  <c r="Z155" i="3"/>
  <c r="AA155" i="3"/>
  <c r="AB155" i="3" a="1"/>
  <c r="AC155" i="3"/>
  <c r="AD155" i="3" a="1"/>
  <c r="AE155" i="3"/>
  <c r="AG155" i="3"/>
  <c r="AH155" i="3"/>
  <c r="AI155" i="3"/>
  <c r="AJ155" i="3"/>
  <c r="AK155" i="3"/>
  <c r="AL155" i="3"/>
  <c r="AM155" i="3"/>
  <c r="AN155" i="3"/>
  <c r="AO155" i="3"/>
  <c r="AP155" i="3"/>
  <c r="AQ155" i="3" a="1"/>
  <c r="AR155" i="3" a="1"/>
  <c r="AS155" i="3"/>
  <c r="AT155" i="3" a="1"/>
  <c r="AU155" i="3"/>
  <c r="AV155" i="3" a="1"/>
  <c r="AW155" i="3"/>
  <c r="AX155" i="3"/>
  <c r="AY155" i="3"/>
  <c r="AZ155" i="3"/>
  <c r="BA155" i="3"/>
  <c r="BB155" i="3"/>
  <c r="BC155" i="3"/>
  <c r="BD155" i="3"/>
  <c r="BE155" i="3" a="1"/>
  <c r="BF155" i="3"/>
  <c r="BG155" i="3"/>
  <c r="BH155" i="3" a="1"/>
  <c r="BI155" i="3"/>
  <c r="BJ155" i="3" a="1"/>
  <c r="BK155" i="3" a="1"/>
  <c r="BL155" i="3"/>
  <c r="B156" i="3"/>
  <c r="C156" i="3"/>
  <c r="D156" i="3"/>
  <c r="E156" i="3"/>
  <c r="F156" i="3"/>
  <c r="G156" i="3"/>
  <c r="H156" i="3"/>
  <c r="I156" i="3"/>
  <c r="J156" i="3"/>
  <c r="K156" i="3"/>
  <c r="L156" i="3"/>
  <c r="M156" i="3" a="1"/>
  <c r="N156" i="3"/>
  <c r="O156" i="3"/>
  <c r="P156" i="3"/>
  <c r="Q156" i="3" a="1"/>
  <c r="R156" i="3"/>
  <c r="S156" i="3"/>
  <c r="T156" i="3"/>
  <c r="U156" i="3"/>
  <c r="V156" i="3" a="1"/>
  <c r="W156" i="3" a="1"/>
  <c r="X156" i="3"/>
  <c r="Y156" i="3"/>
  <c r="Z156" i="3"/>
  <c r="AA156" i="3"/>
  <c r="AB156" i="3" a="1"/>
  <c r="AC156" i="3"/>
  <c r="AD156" i="3" a="1"/>
  <c r="AE156" i="3"/>
  <c r="AG156" i="3"/>
  <c r="AH156" i="3"/>
  <c r="AI156" i="3"/>
  <c r="AJ156" i="3"/>
  <c r="AK156" i="3"/>
  <c r="AL156" i="3"/>
  <c r="AM156" i="3"/>
  <c r="AN156" i="3"/>
  <c r="AO156" i="3"/>
  <c r="AP156" i="3"/>
  <c r="AQ156" i="3" a="1"/>
  <c r="AR156" i="3" a="1"/>
  <c r="AS156" i="3"/>
  <c r="AT156" i="3" a="1"/>
  <c r="AU156" i="3"/>
  <c r="AV156" i="3" a="1"/>
  <c r="AW156" i="3"/>
  <c r="AX156" i="3"/>
  <c r="AY156" i="3"/>
  <c r="AZ156" i="3"/>
  <c r="BA156" i="3"/>
  <c r="BB156" i="3"/>
  <c r="BC156" i="3"/>
  <c r="BD156" i="3"/>
  <c r="BE156" i="3" a="1"/>
  <c r="BF156" i="3"/>
  <c r="BG156" i="3"/>
  <c r="BH156" i="3" a="1"/>
  <c r="BI156" i="3"/>
  <c r="BJ156" i="3" a="1"/>
  <c r="BK156" i="3" a="1"/>
  <c r="BL156" i="3"/>
  <c r="B157" i="3"/>
  <c r="C157" i="3"/>
  <c r="D157" i="3"/>
  <c r="E157" i="3"/>
  <c r="F157" i="3"/>
  <c r="G157" i="3"/>
  <c r="H157" i="3"/>
  <c r="I157" i="3"/>
  <c r="J157" i="3"/>
  <c r="K157" i="3"/>
  <c r="L157" i="3"/>
  <c r="M157" i="3" a="1"/>
  <c r="N157" i="3"/>
  <c r="O157" i="3"/>
  <c r="P157" i="3"/>
  <c r="Q157" i="3" a="1"/>
  <c r="R157" i="3"/>
  <c r="S157" i="3"/>
  <c r="T157" i="3"/>
  <c r="U157" i="3"/>
  <c r="V157" i="3" a="1"/>
  <c r="W157" i="3" a="1"/>
  <c r="X157" i="3"/>
  <c r="Y157" i="3"/>
  <c r="Z157" i="3"/>
  <c r="AA157" i="3"/>
  <c r="AB157" i="3" a="1"/>
  <c r="AC157" i="3"/>
  <c r="AD157" i="3" a="1"/>
  <c r="AE157" i="3"/>
  <c r="AG157" i="3"/>
  <c r="AH157" i="3"/>
  <c r="AI157" i="3"/>
  <c r="AJ157" i="3"/>
  <c r="AK157" i="3"/>
  <c r="AL157" i="3"/>
  <c r="AM157" i="3"/>
  <c r="AN157" i="3"/>
  <c r="AO157" i="3"/>
  <c r="AP157" i="3"/>
  <c r="AQ157" i="3" a="1"/>
  <c r="AR157" i="3" a="1"/>
  <c r="AS157" i="3"/>
  <c r="AT157" i="3" a="1"/>
  <c r="AU157" i="3"/>
  <c r="AV157" i="3" a="1"/>
  <c r="AW157" i="3"/>
  <c r="AX157" i="3"/>
  <c r="AY157" i="3"/>
  <c r="AZ157" i="3"/>
  <c r="BA157" i="3"/>
  <c r="BB157" i="3"/>
  <c r="BC157" i="3"/>
  <c r="BD157" i="3"/>
  <c r="BE157" i="3" a="1"/>
  <c r="BF157" i="3"/>
  <c r="BG157" i="3"/>
  <c r="BH157" i="3" a="1"/>
  <c r="BI157" i="3"/>
  <c r="BJ157" i="3" a="1"/>
  <c r="BK157" i="3" a="1"/>
  <c r="BL157" i="3"/>
  <c r="B158" i="3"/>
  <c r="C158" i="3"/>
  <c r="D158" i="3"/>
  <c r="E158" i="3"/>
  <c r="F158" i="3"/>
  <c r="G158" i="3"/>
  <c r="H158" i="3"/>
  <c r="I158" i="3"/>
  <c r="J158" i="3"/>
  <c r="K158" i="3"/>
  <c r="L158" i="3"/>
  <c r="M158" i="3" a="1"/>
  <c r="N158" i="3"/>
  <c r="O158" i="3"/>
  <c r="P158" i="3"/>
  <c r="Q158" i="3" a="1"/>
  <c r="R158" i="3"/>
  <c r="S158" i="3"/>
  <c r="T158" i="3"/>
  <c r="U158" i="3"/>
  <c r="V158" i="3" a="1"/>
  <c r="W158" i="3" a="1"/>
  <c r="X158" i="3"/>
  <c r="Y158" i="3"/>
  <c r="Z158" i="3"/>
  <c r="AA158" i="3"/>
  <c r="AB158" i="3" a="1"/>
  <c r="AC158" i="3"/>
  <c r="AD158" i="3" a="1"/>
  <c r="AE158" i="3"/>
  <c r="AG158" i="3"/>
  <c r="AH158" i="3"/>
  <c r="AI158" i="3"/>
  <c r="AJ158" i="3"/>
  <c r="AK158" i="3"/>
  <c r="AL158" i="3"/>
  <c r="AM158" i="3"/>
  <c r="AN158" i="3"/>
  <c r="AO158" i="3"/>
  <c r="AP158" i="3"/>
  <c r="AQ158" i="3" a="1"/>
  <c r="AR158" i="3" a="1"/>
  <c r="AS158" i="3"/>
  <c r="AT158" i="3" a="1"/>
  <c r="AU158" i="3"/>
  <c r="AV158" i="3" a="1"/>
  <c r="AW158" i="3"/>
  <c r="AX158" i="3"/>
  <c r="AY158" i="3"/>
  <c r="AZ158" i="3"/>
  <c r="BA158" i="3"/>
  <c r="BB158" i="3"/>
  <c r="BC158" i="3"/>
  <c r="BD158" i="3"/>
  <c r="BE158" i="3" a="1"/>
  <c r="BF158" i="3"/>
  <c r="BG158" i="3"/>
  <c r="BH158" i="3" a="1"/>
  <c r="BI158" i="3"/>
  <c r="BJ158" i="3" a="1"/>
  <c r="BK158" i="3" a="1"/>
  <c r="BL158" i="3"/>
  <c r="B159" i="3"/>
  <c r="C159" i="3"/>
  <c r="D159" i="3"/>
  <c r="E159" i="3"/>
  <c r="F159" i="3"/>
  <c r="G159" i="3"/>
  <c r="H159" i="3"/>
  <c r="I159" i="3"/>
  <c r="J159" i="3"/>
  <c r="K159" i="3"/>
  <c r="L159" i="3"/>
  <c r="M159" i="3" a="1"/>
  <c r="N159" i="3"/>
  <c r="O159" i="3"/>
  <c r="P159" i="3"/>
  <c r="Q159" i="3" a="1"/>
  <c r="R159" i="3"/>
  <c r="S159" i="3"/>
  <c r="T159" i="3"/>
  <c r="U159" i="3"/>
  <c r="V159" i="3" a="1"/>
  <c r="W159" i="3" a="1"/>
  <c r="X159" i="3"/>
  <c r="Y159" i="3"/>
  <c r="Z159" i="3"/>
  <c r="AA159" i="3"/>
  <c r="AB159" i="3" a="1"/>
  <c r="AC159" i="3"/>
  <c r="AD159" i="3" a="1"/>
  <c r="AE159" i="3"/>
  <c r="AG159" i="3"/>
  <c r="AH159" i="3"/>
  <c r="AI159" i="3"/>
  <c r="AJ159" i="3"/>
  <c r="AK159" i="3"/>
  <c r="AL159" i="3"/>
  <c r="AM159" i="3"/>
  <c r="AN159" i="3"/>
  <c r="AO159" i="3"/>
  <c r="AP159" i="3"/>
  <c r="AQ159" i="3" a="1"/>
  <c r="AR159" i="3" a="1"/>
  <c r="AS159" i="3"/>
  <c r="AT159" i="3" a="1"/>
  <c r="AU159" i="3"/>
  <c r="AV159" i="3" a="1"/>
  <c r="AW159" i="3"/>
  <c r="AX159" i="3"/>
  <c r="AY159" i="3"/>
  <c r="AZ159" i="3"/>
  <c r="BA159" i="3"/>
  <c r="BB159" i="3"/>
  <c r="BC159" i="3"/>
  <c r="BD159" i="3"/>
  <c r="BE159" i="3" a="1"/>
  <c r="BF159" i="3"/>
  <c r="BG159" i="3"/>
  <c r="BH159" i="3" a="1"/>
  <c r="BI159" i="3"/>
  <c r="BJ159" i="3" a="1"/>
  <c r="BK159" i="3" a="1"/>
  <c r="BL159" i="3"/>
  <c r="B160" i="3"/>
  <c r="C160" i="3"/>
  <c r="D160" i="3"/>
  <c r="E160" i="3"/>
  <c r="F160" i="3"/>
  <c r="G160" i="3"/>
  <c r="H160" i="3"/>
  <c r="I160" i="3"/>
  <c r="J160" i="3"/>
  <c r="K160" i="3"/>
  <c r="L160" i="3"/>
  <c r="M160" i="3" a="1"/>
  <c r="N160" i="3"/>
  <c r="O160" i="3"/>
  <c r="P160" i="3"/>
  <c r="Q160" i="3" a="1"/>
  <c r="R160" i="3"/>
  <c r="S160" i="3"/>
  <c r="T160" i="3"/>
  <c r="U160" i="3"/>
  <c r="V160" i="3" a="1"/>
  <c r="W160" i="3" a="1"/>
  <c r="X160" i="3"/>
  <c r="Y160" i="3"/>
  <c r="Z160" i="3"/>
  <c r="AA160" i="3"/>
  <c r="AB160" i="3" a="1"/>
  <c r="AC160" i="3"/>
  <c r="AD160" i="3" a="1"/>
  <c r="AE160" i="3"/>
  <c r="AG160" i="3"/>
  <c r="AH160" i="3"/>
  <c r="AI160" i="3"/>
  <c r="AJ160" i="3"/>
  <c r="AK160" i="3"/>
  <c r="AL160" i="3"/>
  <c r="AM160" i="3"/>
  <c r="AN160" i="3"/>
  <c r="AO160" i="3"/>
  <c r="AP160" i="3"/>
  <c r="AQ160" i="3" a="1"/>
  <c r="AR160" i="3" a="1"/>
  <c r="AS160" i="3"/>
  <c r="AT160" i="3" a="1"/>
  <c r="AU160" i="3"/>
  <c r="AV160" i="3" a="1"/>
  <c r="AW160" i="3"/>
  <c r="AX160" i="3"/>
  <c r="AY160" i="3"/>
  <c r="AZ160" i="3"/>
  <c r="BA160" i="3"/>
  <c r="BB160" i="3"/>
  <c r="BC160" i="3"/>
  <c r="BD160" i="3"/>
  <c r="BE160" i="3" a="1"/>
  <c r="BF160" i="3"/>
  <c r="BG160" i="3"/>
  <c r="BH160" i="3" a="1"/>
  <c r="BI160" i="3"/>
  <c r="BJ160" i="3" a="1"/>
  <c r="BK160" i="3" a="1"/>
  <c r="BL160" i="3"/>
  <c r="B161" i="3"/>
  <c r="C161" i="3"/>
  <c r="D161" i="3"/>
  <c r="E161" i="3"/>
  <c r="F161" i="3"/>
  <c r="G161" i="3"/>
  <c r="H161" i="3"/>
  <c r="I161" i="3"/>
  <c r="J161" i="3"/>
  <c r="K161" i="3"/>
  <c r="L161" i="3"/>
  <c r="M161" i="3" a="1"/>
  <c r="N161" i="3"/>
  <c r="O161" i="3"/>
  <c r="P161" i="3"/>
  <c r="Q161" i="3" a="1"/>
  <c r="R161" i="3"/>
  <c r="S161" i="3"/>
  <c r="T161" i="3"/>
  <c r="U161" i="3"/>
  <c r="V161" i="3" a="1"/>
  <c r="W161" i="3" a="1"/>
  <c r="X161" i="3"/>
  <c r="Y161" i="3"/>
  <c r="Z161" i="3"/>
  <c r="AA161" i="3"/>
  <c r="AB161" i="3" a="1"/>
  <c r="AC161" i="3"/>
  <c r="AD161" i="3" a="1"/>
  <c r="AE161" i="3"/>
  <c r="AG161" i="3"/>
  <c r="AH161" i="3"/>
  <c r="AI161" i="3"/>
  <c r="AJ161" i="3"/>
  <c r="AK161" i="3"/>
  <c r="AL161" i="3"/>
  <c r="AM161" i="3"/>
  <c r="AN161" i="3"/>
  <c r="AO161" i="3"/>
  <c r="AP161" i="3"/>
  <c r="AQ161" i="3" a="1"/>
  <c r="AR161" i="3" a="1"/>
  <c r="AS161" i="3"/>
  <c r="AT161" i="3" a="1"/>
  <c r="AU161" i="3"/>
  <c r="AV161" i="3" a="1"/>
  <c r="AW161" i="3"/>
  <c r="AX161" i="3"/>
  <c r="AY161" i="3"/>
  <c r="AZ161" i="3"/>
  <c r="BA161" i="3"/>
  <c r="BB161" i="3"/>
  <c r="BC161" i="3"/>
  <c r="BD161" i="3"/>
  <c r="BE161" i="3" a="1"/>
  <c r="BF161" i="3"/>
  <c r="BG161" i="3"/>
  <c r="BH161" i="3" a="1"/>
  <c r="BI161" i="3"/>
  <c r="BJ161" i="3" a="1"/>
  <c r="BK161" i="3" a="1"/>
  <c r="BL161" i="3"/>
  <c r="BM161" i="3"/>
  <c r="B162" i="3"/>
  <c r="C162" i="3"/>
  <c r="D162" i="3"/>
  <c r="E162" i="3"/>
  <c r="F162" i="3"/>
  <c r="G162" i="3"/>
  <c r="H162" i="3"/>
  <c r="I162" i="3"/>
  <c r="J162" i="3"/>
  <c r="K162" i="3"/>
  <c r="L162" i="3"/>
  <c r="M162" i="3" a="1"/>
  <c r="N162" i="3"/>
  <c r="O162" i="3"/>
  <c r="P162" i="3"/>
  <c r="Q162" i="3" a="1"/>
  <c r="R162" i="3"/>
  <c r="S162" i="3"/>
  <c r="T162" i="3"/>
  <c r="U162" i="3"/>
  <c r="V162" i="3" a="1"/>
  <c r="W162" i="3" a="1"/>
  <c r="X162" i="3"/>
  <c r="Y162" i="3"/>
  <c r="Z162" i="3"/>
  <c r="AA162" i="3"/>
  <c r="AB162" i="3" a="1"/>
  <c r="AC162" i="3"/>
  <c r="AD162" i="3" a="1"/>
  <c r="AE162" i="3"/>
  <c r="AG162" i="3"/>
  <c r="AH162" i="3"/>
  <c r="AI162" i="3"/>
  <c r="AJ162" i="3"/>
  <c r="AK162" i="3"/>
  <c r="AL162" i="3"/>
  <c r="AM162" i="3"/>
  <c r="AN162" i="3"/>
  <c r="AO162" i="3"/>
  <c r="AP162" i="3"/>
  <c r="AQ162" i="3" a="1"/>
  <c r="AR162" i="3" a="1"/>
  <c r="AS162" i="3"/>
  <c r="AT162" i="3" a="1"/>
  <c r="AU162" i="3"/>
  <c r="AV162" i="3" a="1"/>
  <c r="AW162" i="3"/>
  <c r="AX162" i="3"/>
  <c r="AY162" i="3"/>
  <c r="AZ162" i="3"/>
  <c r="BA162" i="3"/>
  <c r="BB162" i="3"/>
  <c r="BC162" i="3"/>
  <c r="BD162" i="3"/>
  <c r="BE162" i="3" a="1"/>
  <c r="BF162" i="3"/>
  <c r="BG162" i="3"/>
  <c r="BH162" i="3" a="1"/>
  <c r="BI162" i="3"/>
  <c r="BJ162" i="3" a="1"/>
  <c r="BK162" i="3" a="1"/>
  <c r="BL162" i="3"/>
  <c r="BM162" i="3"/>
  <c r="B163" i="3"/>
  <c r="C163" i="3"/>
  <c r="D163" i="3"/>
  <c r="E163" i="3"/>
  <c r="F163" i="3"/>
  <c r="G163" i="3"/>
  <c r="H163" i="3"/>
  <c r="I163" i="3"/>
  <c r="J163" i="3"/>
  <c r="K163" i="3"/>
  <c r="L163" i="3"/>
  <c r="M163" i="3" a="1"/>
  <c r="N163" i="3"/>
  <c r="O163" i="3"/>
  <c r="P163" i="3"/>
  <c r="Q163" i="3" a="1"/>
  <c r="R163" i="3"/>
  <c r="S163" i="3"/>
  <c r="T163" i="3"/>
  <c r="U163" i="3"/>
  <c r="V163" i="3" a="1"/>
  <c r="W163" i="3" a="1"/>
  <c r="X163" i="3"/>
  <c r="Y163" i="3"/>
  <c r="Z163" i="3"/>
  <c r="AA163" i="3"/>
  <c r="AB163" i="3" a="1"/>
  <c r="AC163" i="3"/>
  <c r="AD163" i="3" a="1"/>
  <c r="AE163" i="3"/>
  <c r="AG163" i="3"/>
  <c r="AH163" i="3"/>
  <c r="AI163" i="3"/>
  <c r="AJ163" i="3"/>
  <c r="AK163" i="3"/>
  <c r="AL163" i="3"/>
  <c r="AM163" i="3"/>
  <c r="AN163" i="3"/>
  <c r="AO163" i="3"/>
  <c r="AP163" i="3"/>
  <c r="AQ163" i="3" a="1"/>
  <c r="AR163" i="3" a="1"/>
  <c r="AS163" i="3"/>
  <c r="AT163" i="3" a="1"/>
  <c r="AU163" i="3"/>
  <c r="AV163" i="3" a="1"/>
  <c r="AW163" i="3"/>
  <c r="AX163" i="3"/>
  <c r="AY163" i="3"/>
  <c r="AZ163" i="3"/>
  <c r="BA163" i="3"/>
  <c r="BB163" i="3"/>
  <c r="BC163" i="3"/>
  <c r="BD163" i="3"/>
  <c r="BE163" i="3" a="1"/>
  <c r="BF163" i="3"/>
  <c r="BG163" i="3"/>
  <c r="BH163" i="3" a="1"/>
  <c r="BI163" i="3"/>
  <c r="BJ163" i="3" a="1"/>
  <c r="BK163" i="3" a="1"/>
  <c r="BL163" i="3"/>
  <c r="BM163" i="3"/>
  <c r="B164" i="3"/>
  <c r="C164" i="3"/>
  <c r="D164" i="3"/>
  <c r="E164" i="3"/>
  <c r="F164" i="3"/>
  <c r="G164" i="3"/>
  <c r="H164" i="3"/>
  <c r="I164" i="3"/>
  <c r="J164" i="3"/>
  <c r="K164" i="3"/>
  <c r="L164" i="3"/>
  <c r="M164" i="3" a="1"/>
  <c r="N164" i="3"/>
  <c r="O164" i="3"/>
  <c r="P164" i="3"/>
  <c r="Q164" i="3" a="1"/>
  <c r="R164" i="3"/>
  <c r="S164" i="3"/>
  <c r="T164" i="3"/>
  <c r="U164" i="3"/>
  <c r="V164" i="3" a="1"/>
  <c r="W164" i="3" a="1"/>
  <c r="X164" i="3"/>
  <c r="Y164" i="3"/>
  <c r="Z164" i="3"/>
  <c r="AA164" i="3"/>
  <c r="AB164" i="3" a="1"/>
  <c r="AC164" i="3"/>
  <c r="AD164" i="3" a="1"/>
  <c r="AE164" i="3"/>
  <c r="AG164" i="3"/>
  <c r="AH164" i="3"/>
  <c r="AI164" i="3"/>
  <c r="AJ164" i="3"/>
  <c r="AK164" i="3"/>
  <c r="AL164" i="3"/>
  <c r="AM164" i="3"/>
  <c r="AN164" i="3"/>
  <c r="AO164" i="3"/>
  <c r="AP164" i="3"/>
  <c r="AQ164" i="3" a="1"/>
  <c r="AR164" i="3" a="1"/>
  <c r="AS164" i="3"/>
  <c r="AT164" i="3" a="1"/>
  <c r="AU164" i="3"/>
  <c r="AV164" i="3" a="1"/>
  <c r="AW164" i="3"/>
  <c r="AX164" i="3"/>
  <c r="AY164" i="3"/>
  <c r="AZ164" i="3"/>
  <c r="BA164" i="3"/>
  <c r="BB164" i="3"/>
  <c r="BC164" i="3"/>
  <c r="BD164" i="3"/>
  <c r="BE164" i="3" a="1"/>
  <c r="BF164" i="3"/>
  <c r="BG164" i="3"/>
  <c r="BH164" i="3" a="1"/>
  <c r="BI164" i="3"/>
  <c r="BJ164" i="3" a="1"/>
  <c r="BK164" i="3" a="1"/>
  <c r="BL164" i="3"/>
  <c r="BM164" i="3"/>
  <c r="B165" i="3"/>
  <c r="C165" i="3"/>
  <c r="D165" i="3"/>
  <c r="E165" i="3"/>
  <c r="F165" i="3"/>
  <c r="G165" i="3"/>
  <c r="H165" i="3"/>
  <c r="I165" i="3"/>
  <c r="J165" i="3"/>
  <c r="K165" i="3"/>
  <c r="L165" i="3"/>
  <c r="M165" i="3" a="1"/>
  <c r="N165" i="3"/>
  <c r="O165" i="3"/>
  <c r="P165" i="3"/>
  <c r="Q165" i="3" a="1"/>
  <c r="R165" i="3"/>
  <c r="S165" i="3"/>
  <c r="T165" i="3"/>
  <c r="U165" i="3"/>
  <c r="V165" i="3" a="1"/>
  <c r="W165" i="3" a="1"/>
  <c r="X165" i="3"/>
  <c r="Y165" i="3"/>
  <c r="Z165" i="3"/>
  <c r="AA165" i="3"/>
  <c r="AB165" i="3" a="1"/>
  <c r="AC165" i="3"/>
  <c r="AD165" i="3" a="1"/>
  <c r="AE165" i="3"/>
  <c r="AG165" i="3"/>
  <c r="AH165" i="3"/>
  <c r="AI165" i="3"/>
  <c r="AJ165" i="3"/>
  <c r="AK165" i="3"/>
  <c r="AL165" i="3"/>
  <c r="AM165" i="3"/>
  <c r="AN165" i="3"/>
  <c r="AO165" i="3"/>
  <c r="AP165" i="3"/>
  <c r="AQ165" i="3" a="1"/>
  <c r="AR165" i="3" a="1"/>
  <c r="AS165" i="3"/>
  <c r="AT165" i="3" a="1"/>
  <c r="AU165" i="3"/>
  <c r="AV165" i="3" a="1"/>
  <c r="AW165" i="3"/>
  <c r="AX165" i="3"/>
  <c r="AY165" i="3"/>
  <c r="AZ165" i="3"/>
  <c r="BA165" i="3"/>
  <c r="BB165" i="3"/>
  <c r="BC165" i="3"/>
  <c r="BD165" i="3"/>
  <c r="BE165" i="3" a="1"/>
  <c r="BF165" i="3"/>
  <c r="BG165" i="3"/>
  <c r="BH165" i="3" a="1"/>
  <c r="BI165" i="3"/>
  <c r="BJ165" i="3" a="1"/>
  <c r="BK165" i="3" a="1"/>
  <c r="BL165" i="3"/>
  <c r="BM165" i="3"/>
  <c r="B166" i="3"/>
  <c r="C166" i="3"/>
  <c r="D166" i="3"/>
  <c r="E166" i="3"/>
  <c r="F166" i="3"/>
  <c r="G166" i="3"/>
  <c r="H166" i="3"/>
  <c r="I166" i="3"/>
  <c r="J166" i="3"/>
  <c r="K166" i="3"/>
  <c r="L166" i="3"/>
  <c r="M166" i="3" a="1"/>
  <c r="N166" i="3"/>
  <c r="O166" i="3"/>
  <c r="P166" i="3"/>
  <c r="Q166" i="3" a="1"/>
  <c r="R166" i="3"/>
  <c r="S166" i="3"/>
  <c r="T166" i="3"/>
  <c r="U166" i="3"/>
  <c r="V166" i="3" a="1"/>
  <c r="W166" i="3" a="1"/>
  <c r="X166" i="3"/>
  <c r="Y166" i="3"/>
  <c r="Z166" i="3"/>
  <c r="AA166" i="3"/>
  <c r="AB166" i="3" a="1"/>
  <c r="AC166" i="3"/>
  <c r="AD166" i="3" a="1"/>
  <c r="AE166" i="3"/>
  <c r="AG166" i="3"/>
  <c r="AH166" i="3"/>
  <c r="AI166" i="3"/>
  <c r="AJ166" i="3"/>
  <c r="AK166" i="3"/>
  <c r="AL166" i="3"/>
  <c r="AM166" i="3"/>
  <c r="AN166" i="3"/>
  <c r="AO166" i="3"/>
  <c r="AP166" i="3"/>
  <c r="AQ166" i="3" a="1"/>
  <c r="AR166" i="3" a="1"/>
  <c r="AS166" i="3"/>
  <c r="AT166" i="3" a="1"/>
  <c r="AU166" i="3"/>
  <c r="AV166" i="3" a="1"/>
  <c r="AW166" i="3"/>
  <c r="AX166" i="3"/>
  <c r="AY166" i="3"/>
  <c r="AZ166" i="3"/>
  <c r="BA166" i="3"/>
  <c r="BB166" i="3"/>
  <c r="BC166" i="3"/>
  <c r="BD166" i="3"/>
  <c r="BE166" i="3" a="1"/>
  <c r="BF166" i="3"/>
  <c r="BG166" i="3"/>
  <c r="BH166" i="3" a="1"/>
  <c r="BI166" i="3"/>
  <c r="BJ166" i="3" a="1"/>
  <c r="BK166" i="3" a="1"/>
  <c r="BL166" i="3"/>
  <c r="BM166" i="3"/>
  <c r="B167" i="3"/>
  <c r="C167" i="3"/>
  <c r="D167" i="3"/>
  <c r="E167" i="3"/>
  <c r="F167" i="3"/>
  <c r="G167" i="3"/>
  <c r="H167" i="3"/>
  <c r="I167" i="3"/>
  <c r="J167" i="3"/>
  <c r="K167" i="3"/>
  <c r="L167" i="3"/>
  <c r="M167" i="3" a="1"/>
  <c r="N167" i="3"/>
  <c r="O167" i="3"/>
  <c r="P167" i="3"/>
  <c r="Q167" i="3" a="1"/>
  <c r="R167" i="3"/>
  <c r="S167" i="3"/>
  <c r="T167" i="3"/>
  <c r="U167" i="3"/>
  <c r="V167" i="3" a="1"/>
  <c r="W167" i="3" a="1"/>
  <c r="X167" i="3"/>
  <c r="Y167" i="3"/>
  <c r="Z167" i="3"/>
  <c r="AA167" i="3"/>
  <c r="AB167" i="3" a="1"/>
  <c r="AC167" i="3"/>
  <c r="AD167" i="3" a="1"/>
  <c r="AE167" i="3"/>
  <c r="AG167" i="3"/>
  <c r="AH167" i="3"/>
  <c r="AI167" i="3"/>
  <c r="AJ167" i="3"/>
  <c r="AK167" i="3"/>
  <c r="AL167" i="3"/>
  <c r="AM167" i="3"/>
  <c r="AN167" i="3"/>
  <c r="AO167" i="3"/>
  <c r="AP167" i="3"/>
  <c r="AQ167" i="3" a="1"/>
  <c r="AR167" i="3" a="1"/>
  <c r="AS167" i="3"/>
  <c r="AT167" i="3" a="1"/>
  <c r="AU167" i="3"/>
  <c r="AV167" i="3" a="1"/>
  <c r="AW167" i="3"/>
  <c r="AX167" i="3"/>
  <c r="AY167" i="3"/>
  <c r="AZ167" i="3"/>
  <c r="BA167" i="3"/>
  <c r="BB167" i="3"/>
  <c r="BC167" i="3"/>
  <c r="BD167" i="3"/>
  <c r="BE167" i="3" a="1"/>
  <c r="BF167" i="3"/>
  <c r="BG167" i="3"/>
  <c r="BH167" i="3" a="1"/>
  <c r="BI167" i="3"/>
  <c r="BJ167" i="3" a="1"/>
  <c r="BK167" i="3" a="1"/>
  <c r="BL167" i="3"/>
  <c r="BM167" i="3"/>
  <c r="B168" i="3"/>
  <c r="C168" i="3"/>
  <c r="D168" i="3"/>
  <c r="E168" i="3"/>
  <c r="F168" i="3"/>
  <c r="G168" i="3"/>
  <c r="H168" i="3"/>
  <c r="I168" i="3"/>
  <c r="J168" i="3"/>
  <c r="K168" i="3"/>
  <c r="L168" i="3"/>
  <c r="M168" i="3" a="1"/>
  <c r="N168" i="3"/>
  <c r="O168" i="3"/>
  <c r="P168" i="3"/>
  <c r="Q168" i="3" a="1"/>
  <c r="R168" i="3"/>
  <c r="S168" i="3"/>
  <c r="T168" i="3"/>
  <c r="U168" i="3"/>
  <c r="V168" i="3" a="1"/>
  <c r="W168" i="3" a="1"/>
  <c r="X168" i="3"/>
  <c r="Y168" i="3"/>
  <c r="Z168" i="3"/>
  <c r="AA168" i="3"/>
  <c r="AB168" i="3" a="1"/>
  <c r="AC168" i="3"/>
  <c r="AD168" i="3" a="1"/>
  <c r="AE168" i="3"/>
  <c r="AG168" i="3"/>
  <c r="AH168" i="3"/>
  <c r="AI168" i="3"/>
  <c r="AJ168" i="3"/>
  <c r="AK168" i="3"/>
  <c r="AL168" i="3"/>
  <c r="AM168" i="3"/>
  <c r="AN168" i="3"/>
  <c r="AO168" i="3"/>
  <c r="AP168" i="3"/>
  <c r="AQ168" i="3" a="1"/>
  <c r="AR168" i="3" a="1"/>
  <c r="AS168" i="3"/>
  <c r="AT168" i="3" a="1"/>
  <c r="AU168" i="3"/>
  <c r="AV168" i="3" a="1"/>
  <c r="AW168" i="3"/>
  <c r="AX168" i="3"/>
  <c r="AY168" i="3"/>
  <c r="AZ168" i="3"/>
  <c r="BA168" i="3"/>
  <c r="BB168" i="3"/>
  <c r="BC168" i="3"/>
  <c r="BD168" i="3"/>
  <c r="BE168" i="3" a="1"/>
  <c r="BF168" i="3"/>
  <c r="BG168" i="3"/>
  <c r="BH168" i="3" a="1"/>
  <c r="BI168" i="3"/>
  <c r="BJ168" i="3" a="1"/>
  <c r="BK168" i="3" a="1"/>
  <c r="BL168" i="3"/>
  <c r="BM168" i="3"/>
  <c r="B169" i="3"/>
  <c r="C169" i="3"/>
  <c r="D169" i="3"/>
  <c r="E169" i="3"/>
  <c r="F169" i="3"/>
  <c r="G169" i="3"/>
  <c r="H169" i="3"/>
  <c r="I169" i="3"/>
  <c r="J169" i="3"/>
  <c r="K169" i="3"/>
  <c r="L169" i="3"/>
  <c r="M169" i="3" a="1"/>
  <c r="N169" i="3"/>
  <c r="O169" i="3"/>
  <c r="P169" i="3"/>
  <c r="Q169" i="3" a="1"/>
  <c r="R169" i="3"/>
  <c r="S169" i="3"/>
  <c r="T169" i="3"/>
  <c r="U169" i="3"/>
  <c r="V169" i="3" a="1"/>
  <c r="W169" i="3" a="1"/>
  <c r="X169" i="3"/>
  <c r="Y169" i="3"/>
  <c r="Z169" i="3"/>
  <c r="AA169" i="3"/>
  <c r="AB169" i="3" a="1"/>
  <c r="AC169" i="3"/>
  <c r="AD169" i="3" a="1"/>
  <c r="AE169" i="3"/>
  <c r="AG169" i="3"/>
  <c r="AH169" i="3"/>
  <c r="AI169" i="3"/>
  <c r="AJ169" i="3"/>
  <c r="AK169" i="3"/>
  <c r="AL169" i="3"/>
  <c r="AM169" i="3"/>
  <c r="AN169" i="3"/>
  <c r="AO169" i="3"/>
  <c r="AP169" i="3"/>
  <c r="AQ169" i="3" a="1"/>
  <c r="AR169" i="3" a="1"/>
  <c r="AS169" i="3"/>
  <c r="AT169" i="3" a="1"/>
  <c r="AU169" i="3"/>
  <c r="AV169" i="3" a="1"/>
  <c r="AW169" i="3"/>
  <c r="AX169" i="3"/>
  <c r="AY169" i="3"/>
  <c r="AZ169" i="3"/>
  <c r="BA169" i="3"/>
  <c r="BB169" i="3"/>
  <c r="BC169" i="3"/>
  <c r="BD169" i="3"/>
  <c r="BE169" i="3" a="1"/>
  <c r="BF169" i="3"/>
  <c r="BG169" i="3"/>
  <c r="BH169" i="3" a="1"/>
  <c r="BI169" i="3"/>
  <c r="BJ169" i="3" a="1"/>
  <c r="BK169" i="3" a="1"/>
  <c r="BL169" i="3"/>
  <c r="BM169" i="3"/>
  <c r="B170" i="3"/>
  <c r="C170" i="3"/>
  <c r="D170" i="3"/>
  <c r="E170" i="3"/>
  <c r="F170" i="3"/>
  <c r="G170" i="3"/>
  <c r="H170" i="3"/>
  <c r="I170" i="3"/>
  <c r="J170" i="3"/>
  <c r="K170" i="3"/>
  <c r="L170" i="3"/>
  <c r="M170" i="3" a="1"/>
  <c r="N170" i="3"/>
  <c r="O170" i="3"/>
  <c r="P170" i="3"/>
  <c r="Q170" i="3" a="1"/>
  <c r="R170" i="3"/>
  <c r="S170" i="3"/>
  <c r="T170" i="3"/>
  <c r="U170" i="3"/>
  <c r="V170" i="3" a="1"/>
  <c r="W170" i="3" a="1"/>
  <c r="X170" i="3"/>
  <c r="Y170" i="3"/>
  <c r="Z170" i="3"/>
  <c r="AA170" i="3"/>
  <c r="AB170" i="3" a="1"/>
  <c r="AC170" i="3"/>
  <c r="AD170" i="3" a="1"/>
  <c r="AE170" i="3"/>
  <c r="AG170" i="3"/>
  <c r="AH170" i="3"/>
  <c r="AI170" i="3"/>
  <c r="AJ170" i="3"/>
  <c r="AK170" i="3"/>
  <c r="AL170" i="3"/>
  <c r="AM170" i="3"/>
  <c r="AN170" i="3"/>
  <c r="AO170" i="3"/>
  <c r="AP170" i="3"/>
  <c r="AQ170" i="3" a="1"/>
  <c r="AR170" i="3" a="1"/>
  <c r="AS170" i="3"/>
  <c r="AT170" i="3" a="1"/>
  <c r="AU170" i="3"/>
  <c r="AV170" i="3" a="1"/>
  <c r="AW170" i="3"/>
  <c r="AX170" i="3"/>
  <c r="AY170" i="3"/>
  <c r="AZ170" i="3"/>
  <c r="BA170" i="3"/>
  <c r="BB170" i="3"/>
  <c r="BC170" i="3"/>
  <c r="BD170" i="3"/>
  <c r="BE170" i="3" a="1"/>
  <c r="BF170" i="3"/>
  <c r="BG170" i="3"/>
  <c r="BH170" i="3" a="1"/>
  <c r="BI170" i="3"/>
  <c r="BJ170" i="3" a="1"/>
  <c r="BK170" i="3" a="1"/>
  <c r="BL170" i="3"/>
  <c r="BM170" i="3"/>
  <c r="B171" i="3"/>
  <c r="C171" i="3"/>
  <c r="D171" i="3"/>
  <c r="E171" i="3"/>
  <c r="F171" i="3"/>
  <c r="G171" i="3"/>
  <c r="H171" i="3"/>
  <c r="I171" i="3"/>
  <c r="J171" i="3"/>
  <c r="K171" i="3"/>
  <c r="L171" i="3"/>
  <c r="M171" i="3" a="1"/>
  <c r="N171" i="3"/>
  <c r="O171" i="3"/>
  <c r="P171" i="3"/>
  <c r="Q171" i="3" a="1"/>
  <c r="R171" i="3"/>
  <c r="S171" i="3"/>
  <c r="T171" i="3"/>
  <c r="U171" i="3"/>
  <c r="V171" i="3" a="1"/>
  <c r="W171" i="3" a="1"/>
  <c r="X171" i="3"/>
  <c r="Y171" i="3"/>
  <c r="Z171" i="3"/>
  <c r="AA171" i="3"/>
  <c r="AB171" i="3" a="1"/>
  <c r="AC171" i="3"/>
  <c r="AD171" i="3" a="1"/>
  <c r="AE171" i="3"/>
  <c r="AG171" i="3"/>
  <c r="AH171" i="3"/>
  <c r="AI171" i="3"/>
  <c r="AJ171" i="3"/>
  <c r="AK171" i="3"/>
  <c r="AL171" i="3"/>
  <c r="AM171" i="3"/>
  <c r="AN171" i="3"/>
  <c r="AO171" i="3"/>
  <c r="AP171" i="3"/>
  <c r="AQ171" i="3" a="1"/>
  <c r="AR171" i="3" a="1"/>
  <c r="AS171" i="3"/>
  <c r="AT171" i="3" a="1"/>
  <c r="AU171" i="3"/>
  <c r="AV171" i="3" a="1"/>
  <c r="AW171" i="3"/>
  <c r="AX171" i="3"/>
  <c r="AY171" i="3"/>
  <c r="AZ171" i="3"/>
  <c r="BA171" i="3"/>
  <c r="BB171" i="3"/>
  <c r="BC171" i="3"/>
  <c r="BD171" i="3"/>
  <c r="BE171" i="3" a="1"/>
  <c r="BF171" i="3"/>
  <c r="BG171" i="3"/>
  <c r="BH171" i="3" a="1"/>
  <c r="BI171" i="3"/>
  <c r="BJ171" i="3" a="1"/>
  <c r="BK171" i="3" a="1"/>
  <c r="BL171" i="3"/>
  <c r="B172" i="3"/>
  <c r="C172" i="3"/>
  <c r="D172" i="3"/>
  <c r="E172" i="3"/>
  <c r="F172" i="3"/>
  <c r="G172" i="3"/>
  <c r="H172" i="3"/>
  <c r="I172" i="3"/>
  <c r="J172" i="3"/>
  <c r="K172" i="3"/>
  <c r="L172" i="3"/>
  <c r="M172" i="3" a="1"/>
  <c r="N172" i="3"/>
  <c r="O172" i="3"/>
  <c r="P172" i="3"/>
  <c r="Q172" i="3" a="1"/>
  <c r="R172" i="3"/>
  <c r="S172" i="3"/>
  <c r="T172" i="3"/>
  <c r="U172" i="3"/>
  <c r="V172" i="3" a="1"/>
  <c r="W172" i="3" a="1"/>
  <c r="X172" i="3"/>
  <c r="Y172" i="3"/>
  <c r="Z172" i="3"/>
  <c r="AA172" i="3"/>
  <c r="AB172" i="3" a="1"/>
  <c r="AC172" i="3"/>
  <c r="AD172" i="3" a="1"/>
  <c r="AE172" i="3"/>
  <c r="AG172" i="3"/>
  <c r="AH172" i="3"/>
  <c r="AI172" i="3"/>
  <c r="AJ172" i="3"/>
  <c r="AK172" i="3"/>
  <c r="AL172" i="3"/>
  <c r="AM172" i="3"/>
  <c r="AN172" i="3"/>
  <c r="AO172" i="3"/>
  <c r="AP172" i="3"/>
  <c r="AQ172" i="3" a="1"/>
  <c r="AR172" i="3" a="1"/>
  <c r="AS172" i="3"/>
  <c r="AT172" i="3" a="1"/>
  <c r="AU172" i="3"/>
  <c r="AV172" i="3" a="1"/>
  <c r="AW172" i="3"/>
  <c r="AX172" i="3"/>
  <c r="AY172" i="3"/>
  <c r="AZ172" i="3"/>
  <c r="BA172" i="3"/>
  <c r="BB172" i="3"/>
  <c r="BC172" i="3"/>
  <c r="BD172" i="3"/>
  <c r="BE172" i="3" a="1"/>
  <c r="BF172" i="3"/>
  <c r="BG172" i="3"/>
  <c r="BH172" i="3" a="1"/>
  <c r="BI172" i="3"/>
  <c r="BJ172" i="3" a="1"/>
  <c r="BK172" i="3" a="1"/>
  <c r="BL172" i="3"/>
  <c r="BM172" i="3"/>
  <c r="B173" i="3"/>
  <c r="C173" i="3"/>
  <c r="D173" i="3"/>
  <c r="E173" i="3"/>
  <c r="F173" i="3"/>
  <c r="G173" i="3"/>
  <c r="H173" i="3"/>
  <c r="I173" i="3"/>
  <c r="J173" i="3"/>
  <c r="K173" i="3"/>
  <c r="L173" i="3"/>
  <c r="M173" i="3" a="1"/>
  <c r="N173" i="3"/>
  <c r="O173" i="3"/>
  <c r="P173" i="3"/>
  <c r="Q173" i="3" a="1"/>
  <c r="R173" i="3"/>
  <c r="S173" i="3"/>
  <c r="T173" i="3"/>
  <c r="U173" i="3"/>
  <c r="V173" i="3" a="1"/>
  <c r="W173" i="3" a="1"/>
  <c r="X173" i="3"/>
  <c r="Y173" i="3"/>
  <c r="Z173" i="3"/>
  <c r="AA173" i="3"/>
  <c r="AB173" i="3" a="1"/>
  <c r="AC173" i="3"/>
  <c r="AD173" i="3" a="1"/>
  <c r="AE173" i="3"/>
  <c r="AG173" i="3"/>
  <c r="AH173" i="3"/>
  <c r="AI173" i="3"/>
  <c r="AJ173" i="3"/>
  <c r="AK173" i="3"/>
  <c r="AL173" i="3"/>
  <c r="AM173" i="3"/>
  <c r="AN173" i="3"/>
  <c r="AO173" i="3"/>
  <c r="AP173" i="3"/>
  <c r="AQ173" i="3" a="1"/>
  <c r="AR173" i="3" a="1"/>
  <c r="AS173" i="3"/>
  <c r="AT173" i="3" a="1"/>
  <c r="AU173" i="3"/>
  <c r="AV173" i="3" a="1"/>
  <c r="AW173" i="3"/>
  <c r="AX173" i="3"/>
  <c r="AY173" i="3"/>
  <c r="AZ173" i="3"/>
  <c r="BA173" i="3"/>
  <c r="BB173" i="3"/>
  <c r="BC173" i="3"/>
  <c r="BD173" i="3"/>
  <c r="BE173" i="3" a="1"/>
  <c r="BF173" i="3"/>
  <c r="BG173" i="3"/>
  <c r="BH173" i="3" a="1"/>
  <c r="BI173" i="3"/>
  <c r="BJ173" i="3" a="1"/>
  <c r="BK173" i="3" a="1"/>
  <c r="BL173" i="3"/>
  <c r="BM173" i="3"/>
  <c r="B174" i="3"/>
  <c r="C174" i="3"/>
  <c r="D174" i="3"/>
  <c r="E174" i="3"/>
  <c r="F174" i="3"/>
  <c r="G174" i="3"/>
  <c r="H174" i="3"/>
  <c r="I174" i="3"/>
  <c r="J174" i="3"/>
  <c r="K174" i="3"/>
  <c r="L174" i="3"/>
  <c r="M174" i="3" a="1"/>
  <c r="N174" i="3"/>
  <c r="O174" i="3"/>
  <c r="P174" i="3"/>
  <c r="Q174" i="3" a="1"/>
  <c r="R174" i="3"/>
  <c r="S174" i="3"/>
  <c r="T174" i="3"/>
  <c r="U174" i="3"/>
  <c r="V174" i="3" a="1"/>
  <c r="W174" i="3" a="1"/>
  <c r="X174" i="3"/>
  <c r="Y174" i="3"/>
  <c r="Z174" i="3"/>
  <c r="AA174" i="3"/>
  <c r="AB174" i="3" a="1"/>
  <c r="AC174" i="3"/>
  <c r="AD174" i="3" a="1"/>
  <c r="AE174" i="3"/>
  <c r="AG174" i="3"/>
  <c r="AH174" i="3"/>
  <c r="AI174" i="3"/>
  <c r="AJ174" i="3"/>
  <c r="AK174" i="3"/>
  <c r="AL174" i="3"/>
  <c r="AM174" i="3"/>
  <c r="AN174" i="3"/>
  <c r="AO174" i="3"/>
  <c r="AP174" i="3"/>
  <c r="AQ174" i="3" a="1"/>
  <c r="AR174" i="3" a="1"/>
  <c r="AS174" i="3"/>
  <c r="AT174" i="3" a="1"/>
  <c r="AU174" i="3"/>
  <c r="AV174" i="3" a="1"/>
  <c r="AW174" i="3"/>
  <c r="AX174" i="3"/>
  <c r="AY174" i="3"/>
  <c r="AZ174" i="3"/>
  <c r="BA174" i="3"/>
  <c r="BB174" i="3"/>
  <c r="BC174" i="3"/>
  <c r="BD174" i="3"/>
  <c r="BE174" i="3" a="1"/>
  <c r="BF174" i="3"/>
  <c r="BG174" i="3"/>
  <c r="BH174" i="3" a="1"/>
  <c r="BI174" i="3"/>
  <c r="BJ174" i="3" a="1"/>
  <c r="BK174" i="3" a="1"/>
  <c r="BL174" i="3"/>
  <c r="BM174" i="3"/>
  <c r="B175" i="3"/>
  <c r="C175" i="3"/>
  <c r="D175" i="3"/>
  <c r="E175" i="3"/>
  <c r="F175" i="3"/>
  <c r="G175" i="3"/>
  <c r="H175" i="3"/>
  <c r="I175" i="3"/>
  <c r="J175" i="3"/>
  <c r="K175" i="3"/>
  <c r="L175" i="3"/>
  <c r="M175" i="3" a="1"/>
  <c r="N175" i="3"/>
  <c r="O175" i="3"/>
  <c r="P175" i="3"/>
  <c r="Q175" i="3" a="1"/>
  <c r="R175" i="3"/>
  <c r="S175" i="3"/>
  <c r="T175" i="3"/>
  <c r="U175" i="3"/>
  <c r="V175" i="3" a="1"/>
  <c r="W175" i="3" a="1"/>
  <c r="X175" i="3"/>
  <c r="Y175" i="3"/>
  <c r="Z175" i="3"/>
  <c r="AA175" i="3"/>
  <c r="AB175" i="3" a="1"/>
  <c r="AC175" i="3"/>
  <c r="AD175" i="3" a="1"/>
  <c r="AE175" i="3"/>
  <c r="AG175" i="3"/>
  <c r="AH175" i="3"/>
  <c r="AI175" i="3"/>
  <c r="AJ175" i="3"/>
  <c r="AK175" i="3"/>
  <c r="AL175" i="3"/>
  <c r="AM175" i="3"/>
  <c r="AN175" i="3"/>
  <c r="AO175" i="3"/>
  <c r="AP175" i="3"/>
  <c r="AQ175" i="3" a="1"/>
  <c r="AR175" i="3" a="1"/>
  <c r="AS175" i="3"/>
  <c r="AT175" i="3" a="1"/>
  <c r="AU175" i="3"/>
  <c r="AV175" i="3" a="1"/>
  <c r="AW175" i="3"/>
  <c r="AX175" i="3"/>
  <c r="AY175" i="3"/>
  <c r="AZ175" i="3"/>
  <c r="BA175" i="3"/>
  <c r="BB175" i="3"/>
  <c r="BC175" i="3"/>
  <c r="BD175" i="3"/>
  <c r="BE175" i="3" a="1"/>
  <c r="BF175" i="3"/>
  <c r="BG175" i="3"/>
  <c r="BH175" i="3" a="1"/>
  <c r="BI175" i="3"/>
  <c r="BJ175" i="3" a="1"/>
  <c r="BK175" i="3" a="1"/>
  <c r="BL175" i="3"/>
  <c r="BM175" i="3"/>
  <c r="B176" i="3"/>
  <c r="C176" i="3"/>
  <c r="D176" i="3"/>
  <c r="E176" i="3"/>
  <c r="F176" i="3"/>
  <c r="G176" i="3"/>
  <c r="H176" i="3"/>
  <c r="I176" i="3"/>
  <c r="J176" i="3"/>
  <c r="K176" i="3"/>
  <c r="L176" i="3"/>
  <c r="M176" i="3" a="1"/>
  <c r="N176" i="3"/>
  <c r="O176" i="3"/>
  <c r="P176" i="3"/>
  <c r="Q176" i="3" a="1"/>
  <c r="R176" i="3"/>
  <c r="S176" i="3"/>
  <c r="T176" i="3"/>
  <c r="U176" i="3"/>
  <c r="V176" i="3" a="1"/>
  <c r="W176" i="3" a="1"/>
  <c r="X176" i="3"/>
  <c r="Y176" i="3"/>
  <c r="Z176" i="3"/>
  <c r="AA176" i="3"/>
  <c r="AB176" i="3" a="1"/>
  <c r="AC176" i="3"/>
  <c r="AD176" i="3" a="1"/>
  <c r="AE176" i="3"/>
  <c r="AG176" i="3"/>
  <c r="AH176" i="3"/>
  <c r="AI176" i="3"/>
  <c r="AJ176" i="3"/>
  <c r="AK176" i="3"/>
  <c r="AL176" i="3"/>
  <c r="AM176" i="3"/>
  <c r="AN176" i="3"/>
  <c r="AO176" i="3"/>
  <c r="AP176" i="3"/>
  <c r="AQ176" i="3" a="1"/>
  <c r="AR176" i="3" a="1"/>
  <c r="AS176" i="3"/>
  <c r="AT176" i="3" a="1"/>
  <c r="AU176" i="3"/>
  <c r="AV176" i="3" a="1"/>
  <c r="AW176" i="3"/>
  <c r="AX176" i="3"/>
  <c r="AY176" i="3"/>
  <c r="AZ176" i="3"/>
  <c r="BA176" i="3"/>
  <c r="BB176" i="3"/>
  <c r="BC176" i="3"/>
  <c r="BD176" i="3"/>
  <c r="BE176" i="3" a="1"/>
  <c r="BF176" i="3"/>
  <c r="BG176" i="3"/>
  <c r="BH176" i="3" a="1"/>
  <c r="BI176" i="3"/>
  <c r="BJ176" i="3" a="1"/>
  <c r="BK176" i="3" a="1"/>
  <c r="BL176" i="3"/>
  <c r="BM176" i="3"/>
  <c r="B177" i="3"/>
  <c r="C177" i="3"/>
  <c r="D177" i="3"/>
  <c r="E177" i="3"/>
  <c r="F177" i="3"/>
  <c r="G177" i="3"/>
  <c r="H177" i="3"/>
  <c r="I177" i="3"/>
  <c r="J177" i="3"/>
  <c r="K177" i="3"/>
  <c r="L177" i="3"/>
  <c r="M177" i="3" a="1"/>
  <c r="N177" i="3"/>
  <c r="O177" i="3"/>
  <c r="P177" i="3"/>
  <c r="Q177" i="3" a="1"/>
  <c r="R177" i="3"/>
  <c r="S177" i="3"/>
  <c r="T177" i="3"/>
  <c r="U177" i="3"/>
  <c r="V177" i="3" a="1"/>
  <c r="W177" i="3" a="1"/>
  <c r="X177" i="3"/>
  <c r="Y177" i="3"/>
  <c r="Z177" i="3"/>
  <c r="AA177" i="3"/>
  <c r="AB177" i="3" a="1"/>
  <c r="AC177" i="3"/>
  <c r="AD177" i="3" a="1"/>
  <c r="AE177" i="3"/>
  <c r="AG177" i="3"/>
  <c r="AH177" i="3"/>
  <c r="AI177" i="3"/>
  <c r="AJ177" i="3"/>
  <c r="AK177" i="3"/>
  <c r="AL177" i="3"/>
  <c r="AM177" i="3"/>
  <c r="AN177" i="3"/>
  <c r="AO177" i="3"/>
  <c r="AP177" i="3"/>
  <c r="AQ177" i="3" a="1"/>
  <c r="AR177" i="3" a="1"/>
  <c r="AS177" i="3"/>
  <c r="AT177" i="3" a="1"/>
  <c r="AU177" i="3"/>
  <c r="AV177" i="3" a="1"/>
  <c r="AW177" i="3"/>
  <c r="AX177" i="3"/>
  <c r="AY177" i="3"/>
  <c r="AZ177" i="3"/>
  <c r="BA177" i="3"/>
  <c r="BB177" i="3"/>
  <c r="BC177" i="3"/>
  <c r="BD177" i="3"/>
  <c r="BE177" i="3" a="1"/>
  <c r="BF177" i="3"/>
  <c r="BG177" i="3"/>
  <c r="BH177" i="3" a="1"/>
  <c r="BI177" i="3"/>
  <c r="BJ177" i="3" a="1"/>
  <c r="BK177" i="3" a="1"/>
  <c r="BL177" i="3"/>
  <c r="BM177" i="3"/>
  <c r="B178" i="3"/>
  <c r="C178" i="3"/>
  <c r="D178" i="3"/>
  <c r="E178" i="3"/>
  <c r="F178" i="3"/>
  <c r="G178" i="3"/>
  <c r="H178" i="3"/>
  <c r="I178" i="3"/>
  <c r="J178" i="3"/>
  <c r="K178" i="3"/>
  <c r="L178" i="3"/>
  <c r="M178" i="3" a="1"/>
  <c r="N178" i="3"/>
  <c r="O178" i="3"/>
  <c r="P178" i="3"/>
  <c r="Q178" i="3" a="1"/>
  <c r="R178" i="3"/>
  <c r="S178" i="3"/>
  <c r="T178" i="3"/>
  <c r="U178" i="3"/>
  <c r="V178" i="3" a="1"/>
  <c r="W178" i="3" a="1"/>
  <c r="X178" i="3"/>
  <c r="Y178" i="3"/>
  <c r="Z178" i="3"/>
  <c r="AA178" i="3"/>
  <c r="AB178" i="3" a="1"/>
  <c r="AC178" i="3"/>
  <c r="AD178" i="3" a="1"/>
  <c r="AE178" i="3"/>
  <c r="AG178" i="3"/>
  <c r="AH178" i="3"/>
  <c r="AI178" i="3"/>
  <c r="AJ178" i="3"/>
  <c r="AK178" i="3"/>
  <c r="AL178" i="3"/>
  <c r="AM178" i="3"/>
  <c r="AN178" i="3"/>
  <c r="AO178" i="3"/>
  <c r="AP178" i="3"/>
  <c r="AQ178" i="3" a="1"/>
  <c r="AR178" i="3" a="1"/>
  <c r="AS178" i="3"/>
  <c r="AT178" i="3" a="1"/>
  <c r="AU178" i="3"/>
  <c r="AV178" i="3" a="1"/>
  <c r="AW178" i="3"/>
  <c r="AX178" i="3"/>
  <c r="AY178" i="3"/>
  <c r="AZ178" i="3"/>
  <c r="BA178" i="3"/>
  <c r="BB178" i="3"/>
  <c r="BC178" i="3"/>
  <c r="BD178" i="3"/>
  <c r="BE178" i="3" a="1"/>
  <c r="BF178" i="3"/>
  <c r="BG178" i="3"/>
  <c r="BH178" i="3" a="1"/>
  <c r="BI178" i="3"/>
  <c r="BJ178" i="3" a="1"/>
  <c r="BK178" i="3" a="1"/>
  <c r="BL178" i="3"/>
  <c r="BM178" i="3"/>
  <c r="B179" i="3"/>
  <c r="C179" i="3"/>
  <c r="D179" i="3"/>
  <c r="E179" i="3"/>
  <c r="F179" i="3"/>
  <c r="G179" i="3"/>
  <c r="H179" i="3"/>
  <c r="I179" i="3"/>
  <c r="J179" i="3"/>
  <c r="K179" i="3"/>
  <c r="L179" i="3"/>
  <c r="M179" i="3" a="1"/>
  <c r="N179" i="3"/>
  <c r="O179" i="3"/>
  <c r="P179" i="3"/>
  <c r="Q179" i="3" a="1"/>
  <c r="R179" i="3"/>
  <c r="S179" i="3"/>
  <c r="T179" i="3"/>
  <c r="U179" i="3"/>
  <c r="V179" i="3" a="1"/>
  <c r="W179" i="3" a="1"/>
  <c r="X179" i="3"/>
  <c r="Y179" i="3"/>
  <c r="Z179" i="3"/>
  <c r="AA179" i="3"/>
  <c r="AB179" i="3" a="1"/>
  <c r="AC179" i="3"/>
  <c r="AD179" i="3" a="1"/>
  <c r="AE179" i="3"/>
  <c r="AG179" i="3"/>
  <c r="AH179" i="3"/>
  <c r="AI179" i="3"/>
  <c r="AJ179" i="3"/>
  <c r="AK179" i="3"/>
  <c r="AL179" i="3"/>
  <c r="AM179" i="3"/>
  <c r="AN179" i="3"/>
  <c r="AO179" i="3"/>
  <c r="AP179" i="3"/>
  <c r="AQ179" i="3" a="1"/>
  <c r="AR179" i="3" a="1"/>
  <c r="AS179" i="3"/>
  <c r="AT179" i="3" a="1"/>
  <c r="AU179" i="3"/>
  <c r="AV179" i="3" a="1"/>
  <c r="AW179" i="3"/>
  <c r="AX179" i="3"/>
  <c r="AY179" i="3"/>
  <c r="AZ179" i="3"/>
  <c r="BA179" i="3"/>
  <c r="BB179" i="3"/>
  <c r="BC179" i="3"/>
  <c r="BD179" i="3"/>
  <c r="BE179" i="3" a="1"/>
  <c r="BF179" i="3"/>
  <c r="BG179" i="3"/>
  <c r="BH179" i="3" a="1"/>
  <c r="BI179" i="3"/>
  <c r="BJ179" i="3" a="1"/>
  <c r="BK179" i="3" a="1"/>
  <c r="BL179" i="3"/>
  <c r="BM179" i="3"/>
  <c r="B180" i="3"/>
  <c r="C180" i="3"/>
  <c r="D180" i="3"/>
  <c r="E180" i="3"/>
  <c r="F180" i="3"/>
  <c r="G180" i="3"/>
  <c r="H180" i="3"/>
  <c r="I180" i="3"/>
  <c r="J180" i="3"/>
  <c r="K180" i="3"/>
  <c r="L180" i="3"/>
  <c r="M180" i="3" a="1"/>
  <c r="N180" i="3"/>
  <c r="O180" i="3"/>
  <c r="P180" i="3"/>
  <c r="Q180" i="3" a="1"/>
  <c r="R180" i="3"/>
  <c r="S180" i="3"/>
  <c r="T180" i="3"/>
  <c r="U180" i="3"/>
  <c r="V180" i="3" a="1"/>
  <c r="W180" i="3" a="1"/>
  <c r="X180" i="3"/>
  <c r="Y180" i="3"/>
  <c r="Z180" i="3"/>
  <c r="AA180" i="3"/>
  <c r="AB180" i="3" a="1"/>
  <c r="AC180" i="3"/>
  <c r="AD180" i="3" a="1"/>
  <c r="AE180" i="3"/>
  <c r="AG180" i="3"/>
  <c r="AH180" i="3"/>
  <c r="AI180" i="3"/>
  <c r="AJ180" i="3"/>
  <c r="AK180" i="3"/>
  <c r="AL180" i="3"/>
  <c r="AM180" i="3"/>
  <c r="AN180" i="3"/>
  <c r="AO180" i="3"/>
  <c r="AP180" i="3"/>
  <c r="AQ180" i="3" a="1"/>
  <c r="AR180" i="3" a="1"/>
  <c r="AS180" i="3"/>
  <c r="AT180" i="3" a="1"/>
  <c r="AU180" i="3"/>
  <c r="AV180" i="3" a="1"/>
  <c r="AW180" i="3"/>
  <c r="AX180" i="3"/>
  <c r="AY180" i="3"/>
  <c r="AZ180" i="3"/>
  <c r="BA180" i="3"/>
  <c r="BB180" i="3"/>
  <c r="BC180" i="3"/>
  <c r="BD180" i="3"/>
  <c r="BE180" i="3" a="1"/>
  <c r="BF180" i="3"/>
  <c r="BG180" i="3"/>
  <c r="BH180" i="3" a="1"/>
  <c r="BI180" i="3"/>
  <c r="BJ180" i="3" a="1"/>
  <c r="BK180" i="3" a="1"/>
  <c r="BL180" i="3"/>
  <c r="BM180" i="3"/>
  <c r="B181" i="3"/>
  <c r="C181" i="3"/>
  <c r="D181" i="3"/>
  <c r="E181" i="3"/>
  <c r="F181" i="3"/>
  <c r="G181" i="3"/>
  <c r="H181" i="3"/>
  <c r="I181" i="3"/>
  <c r="J181" i="3"/>
  <c r="K181" i="3"/>
  <c r="L181" i="3"/>
  <c r="M181" i="3" a="1"/>
  <c r="N181" i="3"/>
  <c r="O181" i="3"/>
  <c r="P181" i="3"/>
  <c r="Q181" i="3" a="1"/>
  <c r="R181" i="3"/>
  <c r="S181" i="3"/>
  <c r="T181" i="3"/>
  <c r="U181" i="3"/>
  <c r="V181" i="3" a="1"/>
  <c r="W181" i="3" a="1"/>
  <c r="X181" i="3"/>
  <c r="Y181" i="3"/>
  <c r="Z181" i="3"/>
  <c r="AA181" i="3"/>
  <c r="AB181" i="3" a="1"/>
  <c r="AC181" i="3"/>
  <c r="AD181" i="3" a="1"/>
  <c r="AE181" i="3"/>
  <c r="AG181" i="3"/>
  <c r="AH181" i="3"/>
  <c r="AI181" i="3"/>
  <c r="AJ181" i="3"/>
  <c r="AK181" i="3"/>
  <c r="AL181" i="3"/>
  <c r="AM181" i="3"/>
  <c r="AN181" i="3"/>
  <c r="AO181" i="3"/>
  <c r="AP181" i="3"/>
  <c r="AQ181" i="3" a="1"/>
  <c r="AR181" i="3" a="1"/>
  <c r="AS181" i="3"/>
  <c r="AT181" i="3" a="1"/>
  <c r="AU181" i="3"/>
  <c r="AV181" i="3" a="1"/>
  <c r="AW181" i="3"/>
  <c r="AX181" i="3"/>
  <c r="AY181" i="3"/>
  <c r="AZ181" i="3"/>
  <c r="BA181" i="3"/>
  <c r="BB181" i="3"/>
  <c r="BC181" i="3"/>
  <c r="BD181" i="3"/>
  <c r="BE181" i="3" a="1"/>
  <c r="BF181" i="3"/>
  <c r="BG181" i="3"/>
  <c r="BH181" i="3" a="1"/>
  <c r="BI181" i="3"/>
  <c r="BJ181" i="3" a="1"/>
  <c r="BK181" i="3" a="1"/>
  <c r="BL181" i="3"/>
  <c r="BM181" i="3"/>
  <c r="B182" i="3"/>
  <c r="C182" i="3"/>
  <c r="D182" i="3"/>
  <c r="E182" i="3"/>
  <c r="F182" i="3"/>
  <c r="G182" i="3"/>
  <c r="H182" i="3"/>
  <c r="I182" i="3"/>
  <c r="J182" i="3"/>
  <c r="K182" i="3"/>
  <c r="L182" i="3"/>
  <c r="M182" i="3" a="1"/>
  <c r="N182" i="3"/>
  <c r="O182" i="3"/>
  <c r="P182" i="3"/>
  <c r="Q182" i="3" a="1"/>
  <c r="R182" i="3"/>
  <c r="S182" i="3"/>
  <c r="T182" i="3"/>
  <c r="U182" i="3"/>
  <c r="V182" i="3" a="1"/>
  <c r="W182" i="3" a="1"/>
  <c r="X182" i="3"/>
  <c r="Y182" i="3"/>
  <c r="Z182" i="3"/>
  <c r="AA182" i="3"/>
  <c r="AB182" i="3" a="1"/>
  <c r="AC182" i="3"/>
  <c r="AD182" i="3" a="1"/>
  <c r="AE182" i="3"/>
  <c r="AG182" i="3"/>
  <c r="AH182" i="3"/>
  <c r="AI182" i="3"/>
  <c r="AJ182" i="3"/>
  <c r="AK182" i="3"/>
  <c r="AL182" i="3"/>
  <c r="AM182" i="3"/>
  <c r="AN182" i="3"/>
  <c r="AO182" i="3"/>
  <c r="AP182" i="3"/>
  <c r="AQ182" i="3" a="1"/>
  <c r="AR182" i="3" a="1"/>
  <c r="AS182" i="3"/>
  <c r="AT182" i="3" a="1"/>
  <c r="AU182" i="3"/>
  <c r="AV182" i="3" a="1"/>
  <c r="AW182" i="3"/>
  <c r="AX182" i="3"/>
  <c r="AY182" i="3"/>
  <c r="AZ182" i="3"/>
  <c r="BA182" i="3"/>
  <c r="BB182" i="3"/>
  <c r="BC182" i="3"/>
  <c r="BD182" i="3"/>
  <c r="BE182" i="3" a="1"/>
  <c r="BF182" i="3"/>
  <c r="BG182" i="3"/>
  <c r="BH182" i="3" a="1"/>
  <c r="BI182" i="3"/>
  <c r="BJ182" i="3" a="1"/>
  <c r="BK182" i="3" a="1"/>
  <c r="BL182" i="3"/>
  <c r="BM182" i="3"/>
  <c r="B183" i="3"/>
  <c r="C183" i="3"/>
  <c r="D183" i="3"/>
  <c r="E183" i="3"/>
  <c r="F183" i="3"/>
  <c r="G183" i="3"/>
  <c r="H183" i="3"/>
  <c r="I183" i="3"/>
  <c r="J183" i="3"/>
  <c r="K183" i="3"/>
  <c r="L183" i="3"/>
  <c r="M183" i="3" a="1"/>
  <c r="N183" i="3"/>
  <c r="O183" i="3"/>
  <c r="P183" i="3"/>
  <c r="Q183" i="3" a="1"/>
  <c r="R183" i="3"/>
  <c r="S183" i="3"/>
  <c r="T183" i="3"/>
  <c r="U183" i="3"/>
  <c r="V183" i="3" a="1"/>
  <c r="W183" i="3" a="1"/>
  <c r="X183" i="3"/>
  <c r="Y183" i="3"/>
  <c r="Z183" i="3"/>
  <c r="AA183" i="3"/>
  <c r="AB183" i="3" a="1"/>
  <c r="AC183" i="3"/>
  <c r="AD183" i="3" a="1"/>
  <c r="AE183" i="3"/>
  <c r="AG183" i="3"/>
  <c r="AH183" i="3"/>
  <c r="AI183" i="3"/>
  <c r="AJ183" i="3"/>
  <c r="AK183" i="3"/>
  <c r="AL183" i="3"/>
  <c r="AM183" i="3"/>
  <c r="AN183" i="3"/>
  <c r="AO183" i="3"/>
  <c r="AP183" i="3"/>
  <c r="AQ183" i="3" a="1"/>
  <c r="AR183" i="3" a="1"/>
  <c r="AS183" i="3"/>
  <c r="AT183" i="3" a="1"/>
  <c r="AU183" i="3"/>
  <c r="AV183" i="3" a="1"/>
  <c r="AW183" i="3"/>
  <c r="AX183" i="3"/>
  <c r="AY183" i="3"/>
  <c r="AZ183" i="3"/>
  <c r="BA183" i="3"/>
  <c r="BB183" i="3"/>
  <c r="BC183" i="3"/>
  <c r="BD183" i="3"/>
  <c r="BE183" i="3" a="1"/>
  <c r="BF183" i="3"/>
  <c r="BG183" i="3"/>
  <c r="BH183" i="3" a="1"/>
  <c r="BI183" i="3"/>
  <c r="BJ183" i="3" a="1"/>
  <c r="BK183" i="3" a="1"/>
  <c r="BL183" i="3"/>
  <c r="BM183" i="3"/>
  <c r="B184" i="3"/>
  <c r="C184" i="3"/>
  <c r="D184" i="3"/>
  <c r="E184" i="3"/>
  <c r="F184" i="3"/>
  <c r="G184" i="3"/>
  <c r="H184" i="3"/>
  <c r="I184" i="3"/>
  <c r="J184" i="3"/>
  <c r="K184" i="3"/>
  <c r="L184" i="3"/>
  <c r="M184" i="3" a="1"/>
  <c r="N184" i="3"/>
  <c r="O184" i="3"/>
  <c r="P184" i="3"/>
  <c r="Q184" i="3" a="1"/>
  <c r="R184" i="3"/>
  <c r="S184" i="3"/>
  <c r="T184" i="3"/>
  <c r="U184" i="3"/>
  <c r="V184" i="3" a="1"/>
  <c r="W184" i="3" a="1"/>
  <c r="X184" i="3"/>
  <c r="Y184" i="3"/>
  <c r="Z184" i="3"/>
  <c r="AA184" i="3"/>
  <c r="AB184" i="3" a="1"/>
  <c r="AC184" i="3"/>
  <c r="AD184" i="3" a="1"/>
  <c r="AE184" i="3"/>
  <c r="AG184" i="3"/>
  <c r="AH184" i="3"/>
  <c r="AI184" i="3"/>
  <c r="AJ184" i="3"/>
  <c r="AK184" i="3"/>
  <c r="AL184" i="3"/>
  <c r="AM184" i="3"/>
  <c r="AN184" i="3"/>
  <c r="AO184" i="3"/>
  <c r="AP184" i="3"/>
  <c r="AQ184" i="3" a="1"/>
  <c r="AR184" i="3" a="1"/>
  <c r="AS184" i="3"/>
  <c r="AT184" i="3" a="1"/>
  <c r="AU184" i="3"/>
  <c r="AV184" i="3" a="1"/>
  <c r="AW184" i="3"/>
  <c r="AX184" i="3"/>
  <c r="AY184" i="3"/>
  <c r="AZ184" i="3"/>
  <c r="BA184" i="3"/>
  <c r="BB184" i="3"/>
  <c r="BC184" i="3"/>
  <c r="BD184" i="3"/>
  <c r="BE184" i="3" a="1"/>
  <c r="BF184" i="3"/>
  <c r="BG184" i="3"/>
  <c r="BH184" i="3" a="1"/>
  <c r="BI184" i="3"/>
  <c r="BJ184" i="3" a="1"/>
  <c r="BK184" i="3" a="1"/>
  <c r="BL184" i="3"/>
  <c r="BM184" i="3"/>
  <c r="B185" i="3"/>
  <c r="C185" i="3"/>
  <c r="D185" i="3"/>
  <c r="E185" i="3"/>
  <c r="F185" i="3"/>
  <c r="G185" i="3"/>
  <c r="H185" i="3"/>
  <c r="I185" i="3"/>
  <c r="J185" i="3"/>
  <c r="K185" i="3"/>
  <c r="L185" i="3"/>
  <c r="M185" i="3" a="1"/>
  <c r="N185" i="3"/>
  <c r="O185" i="3"/>
  <c r="P185" i="3"/>
  <c r="Q185" i="3" a="1"/>
  <c r="R185" i="3"/>
  <c r="S185" i="3"/>
  <c r="T185" i="3"/>
  <c r="U185" i="3"/>
  <c r="V185" i="3" a="1"/>
  <c r="W185" i="3" a="1"/>
  <c r="X185" i="3"/>
  <c r="Y185" i="3"/>
  <c r="Z185" i="3"/>
  <c r="AA185" i="3"/>
  <c r="AB185" i="3" a="1"/>
  <c r="AC185" i="3"/>
  <c r="AD185" i="3" a="1"/>
  <c r="AE185" i="3"/>
  <c r="AG185" i="3"/>
  <c r="AH185" i="3"/>
  <c r="AI185" i="3"/>
  <c r="AJ185" i="3"/>
  <c r="AK185" i="3"/>
  <c r="AL185" i="3"/>
  <c r="AM185" i="3"/>
  <c r="AN185" i="3"/>
  <c r="AO185" i="3"/>
  <c r="AP185" i="3"/>
  <c r="AQ185" i="3" a="1"/>
  <c r="AR185" i="3" a="1"/>
  <c r="AS185" i="3"/>
  <c r="AT185" i="3" a="1"/>
  <c r="AU185" i="3"/>
  <c r="AV185" i="3" a="1"/>
  <c r="AW185" i="3"/>
  <c r="AX185" i="3"/>
  <c r="AY185" i="3"/>
  <c r="AZ185" i="3"/>
  <c r="BA185" i="3"/>
  <c r="BB185" i="3"/>
  <c r="BC185" i="3"/>
  <c r="BD185" i="3"/>
  <c r="BE185" i="3" a="1"/>
  <c r="BF185" i="3"/>
  <c r="BG185" i="3"/>
  <c r="BH185" i="3" a="1"/>
  <c r="BI185" i="3"/>
  <c r="BJ185" i="3" a="1"/>
  <c r="BK185" i="3" a="1"/>
  <c r="BL185" i="3"/>
  <c r="BM185" i="3"/>
  <c r="B186" i="3"/>
  <c r="C186" i="3"/>
  <c r="D186" i="3"/>
  <c r="E186" i="3"/>
  <c r="F186" i="3"/>
  <c r="G186" i="3"/>
  <c r="H186" i="3"/>
  <c r="I186" i="3"/>
  <c r="J186" i="3"/>
  <c r="K186" i="3"/>
  <c r="L186" i="3"/>
  <c r="M186" i="3" a="1"/>
  <c r="N186" i="3"/>
  <c r="O186" i="3"/>
  <c r="P186" i="3"/>
  <c r="Q186" i="3" a="1"/>
  <c r="R186" i="3"/>
  <c r="S186" i="3"/>
  <c r="T186" i="3"/>
  <c r="U186" i="3"/>
  <c r="V186" i="3" a="1"/>
  <c r="W186" i="3" a="1"/>
  <c r="X186" i="3"/>
  <c r="Y186" i="3"/>
  <c r="Z186" i="3"/>
  <c r="AA186" i="3"/>
  <c r="AB186" i="3" a="1"/>
  <c r="AC186" i="3"/>
  <c r="AD186" i="3" a="1"/>
  <c r="AE186" i="3"/>
  <c r="AG186" i="3"/>
  <c r="AH186" i="3"/>
  <c r="AI186" i="3"/>
  <c r="AJ186" i="3"/>
  <c r="AK186" i="3"/>
  <c r="AL186" i="3"/>
  <c r="AM186" i="3"/>
  <c r="AN186" i="3"/>
  <c r="AO186" i="3"/>
  <c r="AP186" i="3"/>
  <c r="AQ186" i="3" a="1"/>
  <c r="AR186" i="3" a="1"/>
  <c r="AS186" i="3"/>
  <c r="AT186" i="3" a="1"/>
  <c r="AU186" i="3"/>
  <c r="AV186" i="3" a="1"/>
  <c r="AW186" i="3"/>
  <c r="AX186" i="3"/>
  <c r="AY186" i="3"/>
  <c r="AZ186" i="3"/>
  <c r="BA186" i="3"/>
  <c r="BB186" i="3"/>
  <c r="BC186" i="3"/>
  <c r="BD186" i="3"/>
  <c r="BE186" i="3" a="1"/>
  <c r="BF186" i="3"/>
  <c r="BG186" i="3"/>
  <c r="BH186" i="3" a="1"/>
  <c r="BI186" i="3"/>
  <c r="BJ186" i="3" a="1"/>
  <c r="BK186" i="3" a="1"/>
  <c r="BL186" i="3"/>
  <c r="BM186" i="3"/>
  <c r="B187" i="3"/>
  <c r="C187" i="3"/>
  <c r="D187" i="3"/>
  <c r="E187" i="3"/>
  <c r="F187" i="3"/>
  <c r="G187" i="3"/>
  <c r="H187" i="3"/>
  <c r="I187" i="3"/>
  <c r="J187" i="3"/>
  <c r="K187" i="3"/>
  <c r="L187" i="3"/>
  <c r="M187" i="3" a="1"/>
  <c r="N187" i="3"/>
  <c r="O187" i="3"/>
  <c r="P187" i="3"/>
  <c r="Q187" i="3" a="1"/>
  <c r="R187" i="3"/>
  <c r="S187" i="3"/>
  <c r="T187" i="3"/>
  <c r="U187" i="3"/>
  <c r="V187" i="3" a="1"/>
  <c r="W187" i="3" a="1"/>
  <c r="X187" i="3"/>
  <c r="Y187" i="3"/>
  <c r="Z187" i="3"/>
  <c r="AA187" i="3"/>
  <c r="AB187" i="3" a="1"/>
  <c r="AC187" i="3"/>
  <c r="AD187" i="3" a="1"/>
  <c r="AE187" i="3"/>
  <c r="AG187" i="3"/>
  <c r="AH187" i="3"/>
  <c r="AI187" i="3"/>
  <c r="AJ187" i="3"/>
  <c r="AK187" i="3"/>
  <c r="AL187" i="3"/>
  <c r="AM187" i="3"/>
  <c r="AN187" i="3"/>
  <c r="AO187" i="3"/>
  <c r="AP187" i="3"/>
  <c r="AQ187" i="3" a="1"/>
  <c r="AR187" i="3" a="1"/>
  <c r="AS187" i="3"/>
  <c r="AT187" i="3" a="1"/>
  <c r="AU187" i="3"/>
  <c r="AV187" i="3" a="1"/>
  <c r="AW187" i="3"/>
  <c r="AX187" i="3"/>
  <c r="AY187" i="3"/>
  <c r="AZ187" i="3"/>
  <c r="BA187" i="3"/>
  <c r="BB187" i="3"/>
  <c r="BC187" i="3"/>
  <c r="BD187" i="3"/>
  <c r="BE187" i="3" a="1"/>
  <c r="BF187" i="3"/>
  <c r="BG187" i="3"/>
  <c r="BH187" i="3" a="1"/>
  <c r="BI187" i="3"/>
  <c r="BJ187" i="3" a="1"/>
  <c r="BK187" i="3" a="1"/>
  <c r="BL187" i="3"/>
  <c r="BM187" i="3"/>
  <c r="B188" i="3"/>
  <c r="C188" i="3"/>
  <c r="D188" i="3"/>
  <c r="E188" i="3"/>
  <c r="F188" i="3"/>
  <c r="G188" i="3"/>
  <c r="H188" i="3"/>
  <c r="I188" i="3"/>
  <c r="J188" i="3"/>
  <c r="K188" i="3"/>
  <c r="L188" i="3"/>
  <c r="M188" i="3" a="1"/>
  <c r="N188" i="3"/>
  <c r="O188" i="3"/>
  <c r="P188" i="3"/>
  <c r="Q188" i="3" a="1"/>
  <c r="R188" i="3"/>
  <c r="S188" i="3"/>
  <c r="T188" i="3"/>
  <c r="U188" i="3"/>
  <c r="V188" i="3" a="1"/>
  <c r="W188" i="3" a="1"/>
  <c r="X188" i="3"/>
  <c r="Y188" i="3"/>
  <c r="Z188" i="3"/>
  <c r="AA188" i="3"/>
  <c r="AB188" i="3" a="1"/>
  <c r="AC188" i="3"/>
  <c r="AD188" i="3" a="1"/>
  <c r="AE188" i="3"/>
  <c r="AG188" i="3"/>
  <c r="AH188" i="3"/>
  <c r="AI188" i="3"/>
  <c r="AJ188" i="3"/>
  <c r="AK188" i="3"/>
  <c r="AL188" i="3"/>
  <c r="AM188" i="3"/>
  <c r="AN188" i="3"/>
  <c r="AO188" i="3"/>
  <c r="AP188" i="3"/>
  <c r="AQ188" i="3" a="1"/>
  <c r="AR188" i="3" a="1"/>
  <c r="AS188" i="3"/>
  <c r="AT188" i="3" a="1"/>
  <c r="AU188" i="3"/>
  <c r="AV188" i="3" a="1"/>
  <c r="AW188" i="3"/>
  <c r="AX188" i="3"/>
  <c r="AY188" i="3"/>
  <c r="AZ188" i="3"/>
  <c r="BA188" i="3"/>
  <c r="BB188" i="3"/>
  <c r="BC188" i="3"/>
  <c r="BD188" i="3"/>
  <c r="BE188" i="3" a="1"/>
  <c r="BF188" i="3"/>
  <c r="BG188" i="3"/>
  <c r="BH188" i="3" a="1"/>
  <c r="BI188" i="3"/>
  <c r="BJ188" i="3" a="1"/>
  <c r="BK188" i="3" a="1"/>
  <c r="BL188" i="3"/>
  <c r="BM188" i="3"/>
  <c r="B189" i="3"/>
  <c r="C189" i="3"/>
  <c r="D189" i="3"/>
  <c r="E189" i="3"/>
  <c r="F189" i="3"/>
  <c r="G189" i="3"/>
  <c r="H189" i="3"/>
  <c r="I189" i="3"/>
  <c r="J189" i="3"/>
  <c r="K189" i="3"/>
  <c r="L189" i="3"/>
  <c r="M189" i="3" a="1"/>
  <c r="N189" i="3"/>
  <c r="O189" i="3"/>
  <c r="P189" i="3"/>
  <c r="Q189" i="3" a="1"/>
  <c r="R189" i="3"/>
  <c r="S189" i="3"/>
  <c r="T189" i="3"/>
  <c r="U189" i="3"/>
  <c r="V189" i="3" a="1"/>
  <c r="W189" i="3" a="1"/>
  <c r="X189" i="3"/>
  <c r="Y189" i="3"/>
  <c r="Z189" i="3"/>
  <c r="AA189" i="3"/>
  <c r="AB189" i="3" a="1"/>
  <c r="AC189" i="3"/>
  <c r="AD189" i="3" a="1"/>
  <c r="AE189" i="3"/>
  <c r="AG189" i="3"/>
  <c r="AH189" i="3"/>
  <c r="AI189" i="3"/>
  <c r="AJ189" i="3"/>
  <c r="AK189" i="3"/>
  <c r="AL189" i="3"/>
  <c r="AM189" i="3"/>
  <c r="AN189" i="3"/>
  <c r="AO189" i="3"/>
  <c r="AP189" i="3"/>
  <c r="AQ189" i="3" a="1"/>
  <c r="AR189" i="3" a="1"/>
  <c r="AS189" i="3"/>
  <c r="AT189" i="3" a="1"/>
  <c r="AU189" i="3"/>
  <c r="AV189" i="3" a="1"/>
  <c r="AW189" i="3"/>
  <c r="AX189" i="3"/>
  <c r="AY189" i="3"/>
  <c r="AZ189" i="3"/>
  <c r="BA189" i="3"/>
  <c r="BB189" i="3"/>
  <c r="BC189" i="3"/>
  <c r="BD189" i="3"/>
  <c r="BE189" i="3" a="1"/>
  <c r="BF189" i="3"/>
  <c r="BG189" i="3"/>
  <c r="BH189" i="3" a="1"/>
  <c r="BI189" i="3"/>
  <c r="BJ189" i="3" a="1"/>
  <c r="BK189" i="3" a="1"/>
  <c r="BL189" i="3"/>
  <c r="BM189" i="3"/>
  <c r="B190" i="3"/>
  <c r="C190" i="3"/>
  <c r="D190" i="3"/>
  <c r="E190" i="3"/>
  <c r="F190" i="3"/>
  <c r="G190" i="3"/>
  <c r="H190" i="3"/>
  <c r="I190" i="3"/>
  <c r="J190" i="3"/>
  <c r="K190" i="3"/>
  <c r="L190" i="3"/>
  <c r="M190" i="3" a="1"/>
  <c r="N190" i="3"/>
  <c r="O190" i="3"/>
  <c r="P190" i="3"/>
  <c r="Q190" i="3" a="1"/>
  <c r="R190" i="3"/>
  <c r="S190" i="3"/>
  <c r="T190" i="3"/>
  <c r="U190" i="3"/>
  <c r="V190" i="3" a="1"/>
  <c r="W190" i="3"/>
  <c r="W190" i="3" a="1"/>
  <c r="X190" i="3"/>
  <c r="Y190" i="3"/>
  <c r="Z190" i="3"/>
  <c r="AA190" i="3"/>
  <c r="AB190" i="3" a="1"/>
  <c r="AC190" i="3"/>
  <c r="AD190" i="3" a="1"/>
  <c r="AE190" i="3"/>
  <c r="AG190" i="3"/>
  <c r="AH190" i="3"/>
  <c r="AI190" i="3"/>
  <c r="AJ190" i="3"/>
  <c r="AK190" i="3"/>
  <c r="AL190" i="3"/>
  <c r="AM190" i="3"/>
  <c r="AN190" i="3"/>
  <c r="AO190" i="3"/>
  <c r="AP190" i="3"/>
  <c r="AQ190" i="3" a="1"/>
  <c r="AR190" i="3" a="1"/>
  <c r="AS190" i="3"/>
  <c r="AT190" i="3" a="1"/>
  <c r="AU190" i="3"/>
  <c r="AV190" i="3" a="1"/>
  <c r="AW190" i="3"/>
  <c r="AX190" i="3"/>
  <c r="AY190" i="3"/>
  <c r="AZ190" i="3"/>
  <c r="BA190" i="3"/>
  <c r="BB190" i="3"/>
  <c r="BC190" i="3"/>
  <c r="BD190" i="3"/>
  <c r="BE190" i="3" a="1"/>
  <c r="BF190" i="3"/>
  <c r="BG190" i="3"/>
  <c r="BH190" i="3" a="1"/>
  <c r="BI190" i="3"/>
  <c r="BJ190" i="3" a="1"/>
  <c r="BK190" i="3" a="1"/>
  <c r="BL190" i="3"/>
  <c r="BM190" i="3"/>
  <c r="B191" i="3"/>
  <c r="C191" i="3"/>
  <c r="D191" i="3"/>
  <c r="E191" i="3"/>
  <c r="F191" i="3"/>
  <c r="G191" i="3"/>
  <c r="H191" i="3"/>
  <c r="I191" i="3"/>
  <c r="J191" i="3"/>
  <c r="K191" i="3"/>
  <c r="L191" i="3"/>
  <c r="M191" i="3" a="1"/>
  <c r="N191" i="3"/>
  <c r="O191" i="3"/>
  <c r="P191" i="3"/>
  <c r="Q191" i="3" a="1"/>
  <c r="R191" i="3"/>
  <c r="S191" i="3"/>
  <c r="T191" i="3"/>
  <c r="U191" i="3"/>
  <c r="V191" i="3" a="1"/>
  <c r="W191" i="3" a="1"/>
  <c r="X191" i="3"/>
  <c r="Y191" i="3"/>
  <c r="Z191" i="3"/>
  <c r="AA191" i="3"/>
  <c r="AB191" i="3" a="1"/>
  <c r="AC191" i="3"/>
  <c r="AD191" i="3" a="1"/>
  <c r="AE191" i="3"/>
  <c r="AG191" i="3"/>
  <c r="AH191" i="3"/>
  <c r="AI191" i="3"/>
  <c r="AJ191" i="3"/>
  <c r="AK191" i="3"/>
  <c r="AL191" i="3"/>
  <c r="AM191" i="3"/>
  <c r="AN191" i="3"/>
  <c r="AO191" i="3"/>
  <c r="AP191" i="3"/>
  <c r="AQ191" i="3" a="1"/>
  <c r="AR191" i="3" a="1"/>
  <c r="AS191" i="3"/>
  <c r="AT191" i="3" a="1"/>
  <c r="AU191" i="3"/>
  <c r="AV191" i="3" a="1"/>
  <c r="AW191" i="3"/>
  <c r="AX191" i="3"/>
  <c r="AY191" i="3"/>
  <c r="AZ191" i="3"/>
  <c r="BA191" i="3"/>
  <c r="BB191" i="3"/>
  <c r="BC191" i="3"/>
  <c r="BD191" i="3"/>
  <c r="BE191" i="3" a="1"/>
  <c r="BF191" i="3"/>
  <c r="BG191" i="3"/>
  <c r="BH191" i="3" a="1"/>
  <c r="BI191" i="3"/>
  <c r="BJ191" i="3" a="1"/>
  <c r="BK191" i="3" a="1"/>
  <c r="BL191" i="3"/>
  <c r="BM191" i="3"/>
  <c r="B192" i="3"/>
  <c r="C192" i="3"/>
  <c r="D192" i="3"/>
  <c r="E192" i="3"/>
  <c r="F192" i="3"/>
  <c r="G192" i="3"/>
  <c r="H192" i="3"/>
  <c r="I192" i="3"/>
  <c r="J192" i="3"/>
  <c r="K192" i="3"/>
  <c r="L192" i="3"/>
  <c r="M192" i="3" a="1"/>
  <c r="N192" i="3"/>
  <c r="O192" i="3"/>
  <c r="P192" i="3"/>
  <c r="Q192" i="3" a="1"/>
  <c r="R192" i="3"/>
  <c r="S192" i="3"/>
  <c r="T192" i="3"/>
  <c r="U192" i="3"/>
  <c r="V192" i="3" a="1"/>
  <c r="W192" i="3" a="1"/>
  <c r="X192" i="3"/>
  <c r="Y192" i="3"/>
  <c r="Z192" i="3"/>
  <c r="AA192" i="3"/>
  <c r="AB192" i="3" a="1"/>
  <c r="AC192" i="3"/>
  <c r="AD192" i="3" a="1"/>
  <c r="AE192" i="3"/>
  <c r="AG192" i="3"/>
  <c r="AH192" i="3"/>
  <c r="AI192" i="3"/>
  <c r="AJ192" i="3"/>
  <c r="AK192" i="3"/>
  <c r="AL192" i="3"/>
  <c r="AM192" i="3"/>
  <c r="AN192" i="3"/>
  <c r="AO192" i="3"/>
  <c r="AP192" i="3"/>
  <c r="AQ192" i="3" a="1"/>
  <c r="AR192" i="3" a="1"/>
  <c r="AS192" i="3"/>
  <c r="AT192" i="3" a="1"/>
  <c r="AU192" i="3"/>
  <c r="AV192" i="3" a="1"/>
  <c r="AW192" i="3"/>
  <c r="AX192" i="3"/>
  <c r="AY192" i="3"/>
  <c r="AZ192" i="3"/>
  <c r="BA192" i="3"/>
  <c r="BB192" i="3"/>
  <c r="BC192" i="3"/>
  <c r="BD192" i="3"/>
  <c r="BE192" i="3" a="1"/>
  <c r="BF192" i="3"/>
  <c r="BG192" i="3"/>
  <c r="BH192" i="3" a="1"/>
  <c r="BI192" i="3"/>
  <c r="BJ192" i="3" a="1"/>
  <c r="BK192" i="3" a="1"/>
  <c r="BL192" i="3"/>
  <c r="BM192" i="3"/>
  <c r="B193" i="3"/>
  <c r="C193" i="3"/>
  <c r="D193" i="3"/>
  <c r="E193" i="3"/>
  <c r="F193" i="3"/>
  <c r="G193" i="3"/>
  <c r="H193" i="3"/>
  <c r="I193" i="3"/>
  <c r="J193" i="3"/>
  <c r="K193" i="3"/>
  <c r="L193" i="3"/>
  <c r="M193" i="3" a="1"/>
  <c r="N193" i="3"/>
  <c r="O193" i="3"/>
  <c r="P193" i="3"/>
  <c r="Q193" i="3" a="1"/>
  <c r="R193" i="3"/>
  <c r="S193" i="3"/>
  <c r="T193" i="3"/>
  <c r="U193" i="3"/>
  <c r="V193" i="3" a="1"/>
  <c r="W193" i="3" a="1"/>
  <c r="X193" i="3"/>
  <c r="Y193" i="3"/>
  <c r="Z193" i="3"/>
  <c r="AA193" i="3"/>
  <c r="AB193" i="3" a="1"/>
  <c r="AC193" i="3"/>
  <c r="AD193" i="3" a="1"/>
  <c r="AE193" i="3"/>
  <c r="AG193" i="3"/>
  <c r="AH193" i="3"/>
  <c r="AI193" i="3"/>
  <c r="AJ193" i="3"/>
  <c r="AK193" i="3"/>
  <c r="AL193" i="3"/>
  <c r="AM193" i="3"/>
  <c r="AN193" i="3"/>
  <c r="AO193" i="3"/>
  <c r="AP193" i="3"/>
  <c r="AQ193" i="3" a="1"/>
  <c r="AR193" i="3" a="1"/>
  <c r="AS193" i="3"/>
  <c r="AT193" i="3" a="1"/>
  <c r="AU193" i="3"/>
  <c r="AV193" i="3" a="1"/>
  <c r="AW193" i="3"/>
  <c r="AX193" i="3"/>
  <c r="AY193" i="3"/>
  <c r="AZ193" i="3"/>
  <c r="BA193" i="3"/>
  <c r="BB193" i="3"/>
  <c r="BC193" i="3"/>
  <c r="BD193" i="3"/>
  <c r="BE193" i="3" a="1"/>
  <c r="BF193" i="3"/>
  <c r="BG193" i="3"/>
  <c r="BH193" i="3" a="1"/>
  <c r="BI193" i="3"/>
  <c r="BJ193" i="3" a="1"/>
  <c r="BK193" i="3" a="1"/>
  <c r="BL193" i="3"/>
  <c r="BM193" i="3"/>
  <c r="B194" i="3"/>
  <c r="C194" i="3"/>
  <c r="D194" i="3"/>
  <c r="E194" i="3"/>
  <c r="F194" i="3"/>
  <c r="G194" i="3"/>
  <c r="H194" i="3"/>
  <c r="I194" i="3"/>
  <c r="J194" i="3"/>
  <c r="K194" i="3"/>
  <c r="L194" i="3"/>
  <c r="M194" i="3" a="1"/>
  <c r="N194" i="3"/>
  <c r="O194" i="3"/>
  <c r="P194" i="3"/>
  <c r="Q194" i="3" a="1"/>
  <c r="R194" i="3"/>
  <c r="S194" i="3"/>
  <c r="T194" i="3"/>
  <c r="U194" i="3"/>
  <c r="V194" i="3" a="1"/>
  <c r="W194" i="3" a="1"/>
  <c r="X194" i="3"/>
  <c r="Y194" i="3"/>
  <c r="Z194" i="3"/>
  <c r="AA194" i="3"/>
  <c r="AB194" i="3" a="1"/>
  <c r="AC194" i="3"/>
  <c r="AD194" i="3" a="1"/>
  <c r="AE194" i="3"/>
  <c r="AG194" i="3"/>
  <c r="AH194" i="3"/>
  <c r="AI194" i="3"/>
  <c r="AJ194" i="3"/>
  <c r="AK194" i="3"/>
  <c r="AL194" i="3"/>
  <c r="AM194" i="3"/>
  <c r="AN194" i="3"/>
  <c r="AO194" i="3"/>
  <c r="AP194" i="3"/>
  <c r="AQ194" i="3" a="1"/>
  <c r="AR194" i="3" a="1"/>
  <c r="AS194" i="3"/>
  <c r="AT194" i="3" a="1"/>
  <c r="AU194" i="3"/>
  <c r="AV194" i="3" a="1"/>
  <c r="AW194" i="3"/>
  <c r="AX194" i="3"/>
  <c r="AY194" i="3"/>
  <c r="AZ194" i="3"/>
  <c r="BA194" i="3"/>
  <c r="BB194" i="3"/>
  <c r="BC194" i="3"/>
  <c r="BD194" i="3"/>
  <c r="BE194" i="3" a="1"/>
  <c r="BF194" i="3"/>
  <c r="BG194" i="3"/>
  <c r="BH194" i="3" a="1"/>
  <c r="BI194" i="3"/>
  <c r="BJ194" i="3" a="1"/>
  <c r="BK194" i="3" a="1"/>
  <c r="BL194" i="3"/>
  <c r="BM194" i="3"/>
  <c r="B195" i="3"/>
  <c r="C195" i="3"/>
  <c r="D195" i="3"/>
  <c r="E195" i="3"/>
  <c r="F195" i="3"/>
  <c r="G195" i="3"/>
  <c r="H195" i="3"/>
  <c r="I195" i="3"/>
  <c r="J195" i="3"/>
  <c r="K195" i="3"/>
  <c r="L195" i="3"/>
  <c r="M195" i="3" a="1"/>
  <c r="N195" i="3"/>
  <c r="O195" i="3"/>
  <c r="P195" i="3"/>
  <c r="Q195" i="3" a="1"/>
  <c r="R195" i="3"/>
  <c r="S195" i="3"/>
  <c r="T195" i="3"/>
  <c r="U195" i="3"/>
  <c r="V195" i="3" a="1"/>
  <c r="W195" i="3" a="1"/>
  <c r="X195" i="3"/>
  <c r="Y195" i="3"/>
  <c r="Z195" i="3"/>
  <c r="AA195" i="3"/>
  <c r="AB195" i="3" a="1"/>
  <c r="AC195" i="3"/>
  <c r="AD195" i="3" a="1"/>
  <c r="AE195" i="3"/>
  <c r="AG195" i="3"/>
  <c r="AH195" i="3"/>
  <c r="AI195" i="3"/>
  <c r="AJ195" i="3"/>
  <c r="AK195" i="3"/>
  <c r="AL195" i="3"/>
  <c r="AM195" i="3"/>
  <c r="AN195" i="3"/>
  <c r="AO195" i="3"/>
  <c r="AP195" i="3"/>
  <c r="AQ195" i="3" a="1"/>
  <c r="AR195" i="3" a="1"/>
  <c r="AS195" i="3"/>
  <c r="AT195" i="3" a="1"/>
  <c r="AU195" i="3"/>
  <c r="AV195" i="3" a="1"/>
  <c r="AW195" i="3"/>
  <c r="AX195" i="3"/>
  <c r="AY195" i="3"/>
  <c r="AZ195" i="3"/>
  <c r="BA195" i="3"/>
  <c r="BB195" i="3"/>
  <c r="BC195" i="3"/>
  <c r="BD195" i="3"/>
  <c r="BE195" i="3" a="1"/>
  <c r="BF195" i="3"/>
  <c r="BG195" i="3"/>
  <c r="BH195" i="3" a="1"/>
  <c r="BI195" i="3"/>
  <c r="BJ195" i="3" a="1"/>
  <c r="BK195" i="3" a="1"/>
  <c r="BL195" i="3"/>
  <c r="BM195" i="3"/>
  <c r="B196" i="3"/>
  <c r="C196" i="3"/>
  <c r="D196" i="3"/>
  <c r="E196" i="3"/>
  <c r="F196" i="3"/>
  <c r="G196" i="3"/>
  <c r="H196" i="3"/>
  <c r="I196" i="3"/>
  <c r="J196" i="3"/>
  <c r="K196" i="3"/>
  <c r="L196" i="3"/>
  <c r="M196" i="3" a="1"/>
  <c r="N196" i="3"/>
  <c r="O196" i="3"/>
  <c r="P196" i="3"/>
  <c r="Q196" i="3" a="1"/>
  <c r="R196" i="3"/>
  <c r="S196" i="3"/>
  <c r="T196" i="3"/>
  <c r="U196" i="3"/>
  <c r="V196" i="3" a="1"/>
  <c r="W196" i="3" a="1"/>
  <c r="X196" i="3"/>
  <c r="Y196" i="3"/>
  <c r="Z196" i="3"/>
  <c r="AA196" i="3"/>
  <c r="AB196" i="3" a="1"/>
  <c r="AC196" i="3"/>
  <c r="AD196" i="3" a="1"/>
  <c r="AE196" i="3"/>
  <c r="AG196" i="3"/>
  <c r="AH196" i="3"/>
  <c r="AI196" i="3"/>
  <c r="AJ196" i="3"/>
  <c r="AK196" i="3"/>
  <c r="AL196" i="3"/>
  <c r="AM196" i="3"/>
  <c r="AN196" i="3"/>
  <c r="AO196" i="3"/>
  <c r="AP196" i="3"/>
  <c r="AQ196" i="3" a="1"/>
  <c r="AR196" i="3" a="1"/>
  <c r="AS196" i="3"/>
  <c r="AT196" i="3" a="1"/>
  <c r="AU196" i="3"/>
  <c r="AV196" i="3" a="1"/>
  <c r="AW196" i="3"/>
  <c r="AX196" i="3"/>
  <c r="AY196" i="3"/>
  <c r="AZ196" i="3"/>
  <c r="BA196" i="3"/>
  <c r="BB196" i="3"/>
  <c r="BC196" i="3"/>
  <c r="BD196" i="3"/>
  <c r="BE196" i="3" a="1"/>
  <c r="BF196" i="3"/>
  <c r="BG196" i="3"/>
  <c r="BH196" i="3" a="1"/>
  <c r="BI196" i="3"/>
  <c r="BJ196" i="3" a="1"/>
  <c r="BK196" i="3" a="1"/>
  <c r="BL196" i="3"/>
  <c r="BM196" i="3"/>
  <c r="B197" i="3"/>
  <c r="C197" i="3"/>
  <c r="D197" i="3"/>
  <c r="E197" i="3"/>
  <c r="F197" i="3"/>
  <c r="G197" i="3"/>
  <c r="H197" i="3"/>
  <c r="I197" i="3"/>
  <c r="J197" i="3"/>
  <c r="K197" i="3"/>
  <c r="L197" i="3"/>
  <c r="M197" i="3" a="1"/>
  <c r="N197" i="3"/>
  <c r="O197" i="3"/>
  <c r="P197" i="3"/>
  <c r="Q197" i="3" a="1"/>
  <c r="R197" i="3"/>
  <c r="S197" i="3"/>
  <c r="T197" i="3"/>
  <c r="U197" i="3"/>
  <c r="V197" i="3" a="1"/>
  <c r="W197" i="3" a="1"/>
  <c r="X197" i="3"/>
  <c r="Y197" i="3"/>
  <c r="Z197" i="3"/>
  <c r="AA197" i="3"/>
  <c r="AB197" i="3" a="1"/>
  <c r="AC197" i="3"/>
  <c r="AD197" i="3" a="1"/>
  <c r="AE197" i="3"/>
  <c r="AG197" i="3"/>
  <c r="AH197" i="3"/>
  <c r="AI197" i="3"/>
  <c r="AJ197" i="3"/>
  <c r="AK197" i="3"/>
  <c r="AL197" i="3"/>
  <c r="AM197" i="3"/>
  <c r="AN197" i="3"/>
  <c r="AO197" i="3"/>
  <c r="AP197" i="3"/>
  <c r="AQ197" i="3" a="1"/>
  <c r="AR197" i="3" a="1"/>
  <c r="AS197" i="3"/>
  <c r="AT197" i="3" a="1"/>
  <c r="AU197" i="3"/>
  <c r="AV197" i="3" a="1"/>
  <c r="AW197" i="3"/>
  <c r="AX197" i="3"/>
  <c r="AY197" i="3"/>
  <c r="AZ197" i="3"/>
  <c r="BA197" i="3"/>
  <c r="BB197" i="3"/>
  <c r="BC197" i="3"/>
  <c r="BD197" i="3"/>
  <c r="BE197" i="3" a="1"/>
  <c r="BF197" i="3"/>
  <c r="BG197" i="3"/>
  <c r="BH197" i="3" a="1"/>
  <c r="BI197" i="3"/>
  <c r="BJ197" i="3" a="1"/>
  <c r="BK197" i="3" a="1"/>
  <c r="BL197" i="3"/>
  <c r="BM197" i="3"/>
  <c r="B198" i="3"/>
  <c r="C198" i="3"/>
  <c r="D198" i="3"/>
  <c r="E198" i="3"/>
  <c r="F198" i="3"/>
  <c r="G198" i="3"/>
  <c r="H198" i="3"/>
  <c r="I198" i="3"/>
  <c r="J198" i="3"/>
  <c r="K198" i="3"/>
  <c r="L198" i="3"/>
  <c r="M198" i="3" a="1"/>
  <c r="N198" i="3"/>
  <c r="O198" i="3"/>
  <c r="P198" i="3"/>
  <c r="Q198" i="3" a="1"/>
  <c r="R198" i="3"/>
  <c r="S198" i="3"/>
  <c r="T198" i="3"/>
  <c r="U198" i="3"/>
  <c r="V198" i="3" a="1"/>
  <c r="W198" i="3" a="1"/>
  <c r="X198" i="3"/>
  <c r="Y198" i="3"/>
  <c r="Z198" i="3"/>
  <c r="AA198" i="3"/>
  <c r="AB198" i="3" a="1"/>
  <c r="AC198" i="3"/>
  <c r="AD198" i="3" a="1"/>
  <c r="AE198" i="3"/>
  <c r="AG198" i="3"/>
  <c r="AH198" i="3"/>
  <c r="AI198" i="3"/>
  <c r="AJ198" i="3"/>
  <c r="AK198" i="3"/>
  <c r="AL198" i="3"/>
  <c r="AM198" i="3"/>
  <c r="AN198" i="3"/>
  <c r="AO198" i="3"/>
  <c r="AP198" i="3"/>
  <c r="AQ198" i="3" a="1"/>
  <c r="AR198" i="3" a="1"/>
  <c r="AS198" i="3"/>
  <c r="AT198" i="3" a="1"/>
  <c r="AU198" i="3"/>
  <c r="AV198" i="3" a="1"/>
  <c r="AW198" i="3"/>
  <c r="AX198" i="3"/>
  <c r="AY198" i="3"/>
  <c r="AZ198" i="3"/>
  <c r="BA198" i="3"/>
  <c r="BB198" i="3"/>
  <c r="BC198" i="3"/>
  <c r="BD198" i="3"/>
  <c r="BE198" i="3" a="1"/>
  <c r="BF198" i="3"/>
  <c r="BG198" i="3"/>
  <c r="BH198" i="3" a="1"/>
  <c r="BI198" i="3"/>
  <c r="BJ198" i="3" a="1"/>
  <c r="BK198" i="3" a="1"/>
  <c r="BL198" i="3"/>
  <c r="BM198" i="3"/>
  <c r="B199" i="3"/>
  <c r="C199" i="3"/>
  <c r="D199" i="3"/>
  <c r="E199" i="3"/>
  <c r="F199" i="3"/>
  <c r="G199" i="3"/>
  <c r="H199" i="3"/>
  <c r="I199" i="3"/>
  <c r="J199" i="3"/>
  <c r="K199" i="3"/>
  <c r="L199" i="3"/>
  <c r="M199" i="3" a="1"/>
  <c r="N199" i="3"/>
  <c r="O199" i="3"/>
  <c r="P199" i="3"/>
  <c r="Q199" i="3" a="1"/>
  <c r="R199" i="3"/>
  <c r="S199" i="3"/>
  <c r="T199" i="3"/>
  <c r="U199" i="3"/>
  <c r="V199" i="3" a="1"/>
  <c r="W199" i="3" a="1"/>
  <c r="X199" i="3"/>
  <c r="Y199" i="3"/>
  <c r="Z199" i="3"/>
  <c r="AA199" i="3"/>
  <c r="AB199" i="3" a="1"/>
  <c r="AC199" i="3"/>
  <c r="AD199" i="3" a="1"/>
  <c r="AE199" i="3"/>
  <c r="AG199" i="3"/>
  <c r="AH199" i="3"/>
  <c r="AI199" i="3"/>
  <c r="AJ199" i="3"/>
  <c r="AK199" i="3"/>
  <c r="AL199" i="3"/>
  <c r="AM199" i="3"/>
  <c r="AN199" i="3"/>
  <c r="AO199" i="3"/>
  <c r="AP199" i="3"/>
  <c r="AQ199" i="3" a="1"/>
  <c r="AR199" i="3" a="1"/>
  <c r="AS199" i="3"/>
  <c r="AT199" i="3" a="1"/>
  <c r="AU199" i="3"/>
  <c r="AV199" i="3" a="1"/>
  <c r="AW199" i="3"/>
  <c r="AX199" i="3"/>
  <c r="AY199" i="3"/>
  <c r="AZ199" i="3"/>
  <c r="BA199" i="3"/>
  <c r="BB199" i="3"/>
  <c r="BC199" i="3"/>
  <c r="BD199" i="3"/>
  <c r="BE199" i="3" a="1"/>
  <c r="BF199" i="3"/>
  <c r="BG199" i="3"/>
  <c r="BH199" i="3" a="1"/>
  <c r="BI199" i="3"/>
  <c r="BJ199" i="3" a="1"/>
  <c r="BK199" i="3" a="1"/>
  <c r="BL199" i="3"/>
  <c r="BM199" i="3"/>
  <c r="B200" i="3"/>
  <c r="C200" i="3"/>
  <c r="D200" i="3"/>
  <c r="E200" i="3"/>
  <c r="F200" i="3"/>
  <c r="G200" i="3"/>
  <c r="H200" i="3"/>
  <c r="I200" i="3"/>
  <c r="J200" i="3"/>
  <c r="K200" i="3"/>
  <c r="L200" i="3"/>
  <c r="M200" i="3" a="1"/>
  <c r="N200" i="3"/>
  <c r="O200" i="3"/>
  <c r="P200" i="3"/>
  <c r="Q200" i="3" a="1"/>
  <c r="R200" i="3"/>
  <c r="S200" i="3"/>
  <c r="T200" i="3"/>
  <c r="U200" i="3"/>
  <c r="V200" i="3" a="1"/>
  <c r="W200" i="3" a="1"/>
  <c r="X200" i="3"/>
  <c r="Y200" i="3"/>
  <c r="Z200" i="3"/>
  <c r="AA200" i="3"/>
  <c r="AB200" i="3" a="1"/>
  <c r="AC200" i="3"/>
  <c r="AD200" i="3" a="1"/>
  <c r="AE200" i="3"/>
  <c r="AG200" i="3"/>
  <c r="AH200" i="3"/>
  <c r="AI200" i="3"/>
  <c r="AJ200" i="3"/>
  <c r="AK200" i="3"/>
  <c r="AL200" i="3"/>
  <c r="AM200" i="3"/>
  <c r="AN200" i="3"/>
  <c r="AO200" i="3"/>
  <c r="AP200" i="3"/>
  <c r="AQ200" i="3" a="1"/>
  <c r="AR200" i="3" a="1"/>
  <c r="AS200" i="3"/>
  <c r="AT200" i="3" a="1"/>
  <c r="AU200" i="3"/>
  <c r="AV200" i="3" a="1"/>
  <c r="AW200" i="3"/>
  <c r="AX200" i="3"/>
  <c r="AY200" i="3"/>
  <c r="AZ200" i="3"/>
  <c r="BA200" i="3"/>
  <c r="BB200" i="3"/>
  <c r="BC200" i="3"/>
  <c r="BD200" i="3"/>
  <c r="BE200" i="3" a="1"/>
  <c r="BF200" i="3"/>
  <c r="BG200" i="3"/>
  <c r="BH200" i="3" a="1"/>
  <c r="BI200" i="3"/>
  <c r="BJ200" i="3" a="1"/>
  <c r="BK200" i="3" a="1"/>
  <c r="BL200" i="3"/>
  <c r="BM200" i="3"/>
  <c r="B201" i="3"/>
  <c r="C201" i="3"/>
  <c r="D201" i="3"/>
  <c r="E201" i="3"/>
  <c r="F201" i="3"/>
  <c r="G201" i="3"/>
  <c r="H201" i="3"/>
  <c r="I201" i="3"/>
  <c r="J201" i="3"/>
  <c r="K201" i="3"/>
  <c r="L201" i="3"/>
  <c r="M201" i="3" a="1"/>
  <c r="N201" i="3"/>
  <c r="O201" i="3"/>
  <c r="P201" i="3"/>
  <c r="Q201" i="3" a="1"/>
  <c r="R201" i="3"/>
  <c r="S201" i="3"/>
  <c r="T201" i="3"/>
  <c r="U201" i="3"/>
  <c r="V201" i="3" a="1"/>
  <c r="W201" i="3" a="1"/>
  <c r="X201" i="3"/>
  <c r="Y201" i="3"/>
  <c r="Z201" i="3"/>
  <c r="AA201" i="3"/>
  <c r="AB201" i="3" a="1"/>
  <c r="AC201" i="3"/>
  <c r="AD201" i="3" a="1"/>
  <c r="AE201" i="3"/>
  <c r="AG201" i="3"/>
  <c r="AH201" i="3"/>
  <c r="AI201" i="3"/>
  <c r="AJ201" i="3"/>
  <c r="AK201" i="3"/>
  <c r="AL201" i="3"/>
  <c r="AM201" i="3"/>
  <c r="AN201" i="3"/>
  <c r="AO201" i="3"/>
  <c r="AP201" i="3"/>
  <c r="AQ201" i="3" a="1"/>
  <c r="AR201" i="3" a="1"/>
  <c r="AS201" i="3"/>
  <c r="AT201" i="3" a="1"/>
  <c r="AU201" i="3"/>
  <c r="AV201" i="3" a="1"/>
  <c r="AW201" i="3"/>
  <c r="AX201" i="3"/>
  <c r="AY201" i="3"/>
  <c r="AZ201" i="3"/>
  <c r="BA201" i="3"/>
  <c r="BB201" i="3"/>
  <c r="BC201" i="3"/>
  <c r="BD201" i="3"/>
  <c r="BE201" i="3" a="1"/>
  <c r="BF201" i="3"/>
  <c r="BG201" i="3"/>
  <c r="BH201" i="3" a="1"/>
  <c r="BI201" i="3"/>
  <c r="BJ201" i="3" a="1"/>
  <c r="BK201" i="3" a="1"/>
  <c r="BL201" i="3"/>
  <c r="BM201" i="3"/>
  <c r="B202" i="3"/>
  <c r="C202" i="3"/>
  <c r="D202" i="3"/>
  <c r="E202" i="3"/>
  <c r="F202" i="3"/>
  <c r="G202" i="3"/>
  <c r="H202" i="3"/>
  <c r="I202" i="3"/>
  <c r="J202" i="3"/>
  <c r="K202" i="3"/>
  <c r="L202" i="3"/>
  <c r="M202" i="3" a="1"/>
  <c r="N202" i="3"/>
  <c r="O202" i="3"/>
  <c r="P202" i="3"/>
  <c r="Q202" i="3" a="1"/>
  <c r="R202" i="3"/>
  <c r="S202" i="3"/>
  <c r="T202" i="3"/>
  <c r="U202" i="3"/>
  <c r="V202" i="3" a="1"/>
  <c r="W202" i="3" a="1"/>
  <c r="X202" i="3"/>
  <c r="Y202" i="3"/>
  <c r="Z202" i="3"/>
  <c r="AA202" i="3"/>
  <c r="AB202" i="3" a="1"/>
  <c r="AC202" i="3"/>
  <c r="AD202" i="3" a="1"/>
  <c r="AE202" i="3"/>
  <c r="AG202" i="3"/>
  <c r="AH202" i="3"/>
  <c r="AI202" i="3"/>
  <c r="AJ202" i="3"/>
  <c r="AK202" i="3"/>
  <c r="AL202" i="3"/>
  <c r="AM202" i="3"/>
  <c r="AN202" i="3"/>
  <c r="AO202" i="3"/>
  <c r="AP202" i="3"/>
  <c r="AQ202" i="3" a="1"/>
  <c r="AR202" i="3" a="1"/>
  <c r="AS202" i="3"/>
  <c r="AT202" i="3" a="1"/>
  <c r="AU202" i="3"/>
  <c r="AV202" i="3" a="1"/>
  <c r="AW202" i="3"/>
  <c r="AX202" i="3"/>
  <c r="AY202" i="3"/>
  <c r="AZ202" i="3"/>
  <c r="BA202" i="3"/>
  <c r="BB202" i="3"/>
  <c r="BC202" i="3"/>
  <c r="BD202" i="3"/>
  <c r="BE202" i="3" a="1"/>
  <c r="BF202" i="3"/>
  <c r="BG202" i="3"/>
  <c r="BH202" i="3" a="1"/>
  <c r="BI202" i="3"/>
  <c r="BJ202" i="3" a="1"/>
  <c r="BK202" i="3" a="1"/>
  <c r="BL202" i="3"/>
  <c r="BM202" i="3"/>
  <c r="B203" i="3"/>
  <c r="C203" i="3"/>
  <c r="D203" i="3"/>
  <c r="E203" i="3"/>
  <c r="F203" i="3"/>
  <c r="G203" i="3"/>
  <c r="H203" i="3"/>
  <c r="I203" i="3"/>
  <c r="J203" i="3"/>
  <c r="K203" i="3"/>
  <c r="L203" i="3"/>
  <c r="M203" i="3" a="1"/>
  <c r="N203" i="3"/>
  <c r="O203" i="3"/>
  <c r="P203" i="3"/>
  <c r="Q203" i="3" a="1"/>
  <c r="R203" i="3"/>
  <c r="S203" i="3"/>
  <c r="T203" i="3"/>
  <c r="U203" i="3"/>
  <c r="V203" i="3" a="1"/>
  <c r="W203" i="3" a="1"/>
  <c r="X203" i="3"/>
  <c r="Y203" i="3"/>
  <c r="Z203" i="3"/>
  <c r="AA203" i="3"/>
  <c r="AB203" i="3" a="1"/>
  <c r="AC203" i="3"/>
  <c r="AD203" i="3" a="1"/>
  <c r="AE203" i="3"/>
  <c r="AG203" i="3"/>
  <c r="AH203" i="3"/>
  <c r="AI203" i="3"/>
  <c r="AJ203" i="3"/>
  <c r="AK203" i="3"/>
  <c r="AL203" i="3"/>
  <c r="AM203" i="3"/>
  <c r="AN203" i="3"/>
  <c r="AO203" i="3"/>
  <c r="AP203" i="3"/>
  <c r="AQ203" i="3" a="1"/>
  <c r="AR203" i="3" a="1"/>
  <c r="AS203" i="3"/>
  <c r="AT203" i="3" a="1"/>
  <c r="AU203" i="3"/>
  <c r="AV203" i="3" a="1"/>
  <c r="AW203" i="3"/>
  <c r="AX203" i="3"/>
  <c r="AY203" i="3"/>
  <c r="AZ203" i="3"/>
  <c r="BA203" i="3"/>
  <c r="BB203" i="3"/>
  <c r="BC203" i="3"/>
  <c r="BD203" i="3"/>
  <c r="BE203" i="3" a="1"/>
  <c r="BF203" i="3"/>
  <c r="BG203" i="3"/>
  <c r="BH203" i="3" a="1"/>
  <c r="BI203" i="3"/>
  <c r="BJ203" i="3" a="1"/>
  <c r="BK203" i="3" a="1"/>
  <c r="BL203" i="3"/>
  <c r="BM203" i="3"/>
  <c r="B204" i="3"/>
  <c r="C204" i="3"/>
  <c r="D204" i="3"/>
  <c r="E204" i="3"/>
  <c r="F204" i="3"/>
  <c r="G204" i="3"/>
  <c r="H204" i="3"/>
  <c r="I204" i="3"/>
  <c r="J204" i="3"/>
  <c r="K204" i="3"/>
  <c r="L204" i="3"/>
  <c r="M204" i="3" a="1"/>
  <c r="N204" i="3"/>
  <c r="O204" i="3"/>
  <c r="P204" i="3"/>
  <c r="Q204" i="3" a="1"/>
  <c r="R204" i="3"/>
  <c r="S204" i="3"/>
  <c r="T204" i="3"/>
  <c r="U204" i="3"/>
  <c r="V204" i="3" a="1"/>
  <c r="W204" i="3" a="1"/>
  <c r="X204" i="3"/>
  <c r="Y204" i="3"/>
  <c r="Z204" i="3"/>
  <c r="AA204" i="3"/>
  <c r="AB204" i="3" a="1"/>
  <c r="AC204" i="3"/>
  <c r="AD204" i="3" a="1"/>
  <c r="AE204" i="3"/>
  <c r="AG204" i="3"/>
  <c r="AH204" i="3"/>
  <c r="AI204" i="3"/>
  <c r="AJ204" i="3"/>
  <c r="AK204" i="3"/>
  <c r="AL204" i="3"/>
  <c r="AM204" i="3"/>
  <c r="AN204" i="3"/>
  <c r="AO204" i="3"/>
  <c r="AP204" i="3"/>
  <c r="AQ204" i="3" a="1"/>
  <c r="AR204" i="3" a="1"/>
  <c r="AS204" i="3"/>
  <c r="AT204" i="3" a="1"/>
  <c r="AU204" i="3"/>
  <c r="AV204" i="3" a="1"/>
  <c r="AW204" i="3"/>
  <c r="AX204" i="3"/>
  <c r="AY204" i="3"/>
  <c r="AZ204" i="3"/>
  <c r="BA204" i="3"/>
  <c r="BB204" i="3"/>
  <c r="BC204" i="3"/>
  <c r="BD204" i="3"/>
  <c r="BE204" i="3" a="1"/>
  <c r="BF204" i="3"/>
  <c r="BG204" i="3"/>
  <c r="BH204" i="3" a="1"/>
  <c r="BI204" i="3"/>
  <c r="BJ204" i="3" a="1"/>
  <c r="BK204" i="3" a="1"/>
  <c r="BL204" i="3"/>
  <c r="BM204" i="3"/>
  <c r="B205" i="3"/>
  <c r="C205" i="3"/>
  <c r="D205" i="3"/>
  <c r="E205" i="3"/>
  <c r="F205" i="3"/>
  <c r="G205" i="3"/>
  <c r="H205" i="3"/>
  <c r="I205" i="3"/>
  <c r="J205" i="3"/>
  <c r="K205" i="3"/>
  <c r="L205" i="3"/>
  <c r="M205" i="3" a="1"/>
  <c r="N205" i="3"/>
  <c r="O205" i="3"/>
  <c r="P205" i="3"/>
  <c r="Q205" i="3" a="1"/>
  <c r="R205" i="3"/>
  <c r="S205" i="3"/>
  <c r="T205" i="3"/>
  <c r="U205" i="3"/>
  <c r="V205" i="3" a="1"/>
  <c r="W205" i="3" a="1"/>
  <c r="X205" i="3"/>
  <c r="Y205" i="3"/>
  <c r="Z205" i="3"/>
  <c r="AA205" i="3"/>
  <c r="AB205" i="3" a="1"/>
  <c r="AC205" i="3"/>
  <c r="AD205" i="3" a="1"/>
  <c r="AE205" i="3"/>
  <c r="AG205" i="3"/>
  <c r="AH205" i="3"/>
  <c r="AI205" i="3"/>
  <c r="AJ205" i="3"/>
  <c r="AK205" i="3"/>
  <c r="AL205" i="3"/>
  <c r="AM205" i="3"/>
  <c r="AN205" i="3"/>
  <c r="AO205" i="3"/>
  <c r="AP205" i="3"/>
  <c r="AQ205" i="3" a="1"/>
  <c r="AR205" i="3" a="1"/>
  <c r="AS205" i="3"/>
  <c r="AT205" i="3" a="1"/>
  <c r="AU205" i="3"/>
  <c r="AV205" i="3" a="1"/>
  <c r="AW205" i="3"/>
  <c r="AX205" i="3"/>
  <c r="AY205" i="3"/>
  <c r="AZ205" i="3"/>
  <c r="BA205" i="3"/>
  <c r="BB205" i="3"/>
  <c r="BC205" i="3"/>
  <c r="BD205" i="3"/>
  <c r="BE205" i="3" a="1"/>
  <c r="BF205" i="3"/>
  <c r="BG205" i="3"/>
  <c r="BH205" i="3" a="1"/>
  <c r="BI205" i="3"/>
  <c r="BJ205" i="3" a="1"/>
  <c r="BK205" i="3" a="1"/>
  <c r="BL205" i="3"/>
  <c r="B206" i="3"/>
  <c r="C206" i="3"/>
  <c r="D206" i="3"/>
  <c r="E206" i="3"/>
  <c r="F206" i="3"/>
  <c r="G206" i="3"/>
  <c r="H206" i="3"/>
  <c r="I206" i="3"/>
  <c r="J206" i="3"/>
  <c r="K206" i="3"/>
  <c r="L206" i="3"/>
  <c r="M206" i="3" a="1"/>
  <c r="N206" i="3"/>
  <c r="O206" i="3"/>
  <c r="P206" i="3"/>
  <c r="Q206" i="3" a="1"/>
  <c r="R206" i="3"/>
  <c r="S206" i="3"/>
  <c r="T206" i="3"/>
  <c r="U206" i="3"/>
  <c r="V206" i="3" a="1"/>
  <c r="W206" i="3" a="1"/>
  <c r="X206" i="3"/>
  <c r="Y206" i="3"/>
  <c r="Z206" i="3"/>
  <c r="AA206" i="3"/>
  <c r="AB206" i="3" a="1"/>
  <c r="AC206" i="3"/>
  <c r="AD206" i="3" a="1"/>
  <c r="AE206" i="3"/>
  <c r="AG206" i="3"/>
  <c r="AH206" i="3"/>
  <c r="AI206" i="3"/>
  <c r="AJ206" i="3"/>
  <c r="AK206" i="3"/>
  <c r="AL206" i="3"/>
  <c r="AM206" i="3"/>
  <c r="AN206" i="3"/>
  <c r="AO206" i="3"/>
  <c r="AP206" i="3"/>
  <c r="AQ206" i="3" a="1"/>
  <c r="AR206" i="3" a="1"/>
  <c r="AS206" i="3"/>
  <c r="AT206" i="3" a="1"/>
  <c r="AU206" i="3"/>
  <c r="AV206" i="3" a="1"/>
  <c r="AW206" i="3"/>
  <c r="AX206" i="3"/>
  <c r="AY206" i="3"/>
  <c r="AZ206" i="3"/>
  <c r="BA206" i="3"/>
  <c r="BB206" i="3"/>
  <c r="BC206" i="3"/>
  <c r="BD206" i="3"/>
  <c r="BE206" i="3" a="1"/>
  <c r="BF206" i="3"/>
  <c r="BG206" i="3"/>
  <c r="BH206" i="3" a="1"/>
  <c r="BI206" i="3"/>
  <c r="BJ206" i="3" a="1"/>
  <c r="BK206" i="3" a="1"/>
  <c r="BL206" i="3"/>
  <c r="B207" i="3"/>
  <c r="C207" i="3"/>
  <c r="D207" i="3"/>
  <c r="E207" i="3"/>
  <c r="F207" i="3"/>
  <c r="G207" i="3"/>
  <c r="H207" i="3"/>
  <c r="I207" i="3"/>
  <c r="J207" i="3"/>
  <c r="K207" i="3"/>
  <c r="L207" i="3"/>
  <c r="M207" i="3" a="1"/>
  <c r="N207" i="3"/>
  <c r="O207" i="3"/>
  <c r="P207" i="3"/>
  <c r="Q207" i="3" a="1"/>
  <c r="R207" i="3"/>
  <c r="S207" i="3"/>
  <c r="T207" i="3"/>
  <c r="U207" i="3"/>
  <c r="V207" i="3" a="1"/>
  <c r="W207" i="3" a="1"/>
  <c r="X207" i="3"/>
  <c r="Y207" i="3"/>
  <c r="Z207" i="3"/>
  <c r="AA207" i="3"/>
  <c r="AB207" i="3" a="1"/>
  <c r="AC207" i="3"/>
  <c r="AD207" i="3" a="1"/>
  <c r="AE207" i="3"/>
  <c r="AG207" i="3"/>
  <c r="AH207" i="3"/>
  <c r="AI207" i="3"/>
  <c r="AJ207" i="3"/>
  <c r="AK207" i="3"/>
  <c r="AL207" i="3"/>
  <c r="AM207" i="3"/>
  <c r="AN207" i="3"/>
  <c r="AO207" i="3"/>
  <c r="AP207" i="3"/>
  <c r="AQ207" i="3" a="1"/>
  <c r="AR207" i="3" a="1"/>
  <c r="AS207" i="3"/>
  <c r="AT207" i="3" a="1"/>
  <c r="AU207" i="3"/>
  <c r="AV207" i="3" a="1"/>
  <c r="AW207" i="3"/>
  <c r="AX207" i="3"/>
  <c r="AY207" i="3"/>
  <c r="AZ207" i="3"/>
  <c r="BA207" i="3"/>
  <c r="BB207" i="3"/>
  <c r="BC207" i="3"/>
  <c r="BD207" i="3"/>
  <c r="BE207" i="3" a="1"/>
  <c r="BF207" i="3"/>
  <c r="BG207" i="3"/>
  <c r="BH207" i="3" a="1"/>
  <c r="BI207" i="3"/>
  <c r="BJ207" i="3" a="1"/>
  <c r="BK207" i="3" a="1"/>
  <c r="BL207" i="3"/>
  <c r="B208" i="3"/>
  <c r="C208" i="3"/>
  <c r="D208" i="3"/>
  <c r="E208" i="3"/>
  <c r="F208" i="3"/>
  <c r="G208" i="3"/>
  <c r="H208" i="3"/>
  <c r="I208" i="3"/>
  <c r="J208" i="3"/>
  <c r="K208" i="3"/>
  <c r="L208" i="3"/>
  <c r="M208" i="3" a="1"/>
  <c r="N208" i="3"/>
  <c r="O208" i="3"/>
  <c r="P208" i="3"/>
  <c r="Q208" i="3" a="1"/>
  <c r="R208" i="3"/>
  <c r="S208" i="3"/>
  <c r="T208" i="3"/>
  <c r="U208" i="3"/>
  <c r="V208" i="3" a="1"/>
  <c r="W208" i="3" a="1"/>
  <c r="X208" i="3"/>
  <c r="Y208" i="3"/>
  <c r="Z208" i="3"/>
  <c r="AA208" i="3"/>
  <c r="AB208" i="3" a="1"/>
  <c r="AC208" i="3"/>
  <c r="AD208" i="3" a="1"/>
  <c r="AE208" i="3"/>
  <c r="AG208" i="3"/>
  <c r="AH208" i="3"/>
  <c r="AI208" i="3"/>
  <c r="AJ208" i="3"/>
  <c r="AK208" i="3"/>
  <c r="AL208" i="3"/>
  <c r="AM208" i="3"/>
  <c r="AN208" i="3"/>
  <c r="AO208" i="3"/>
  <c r="AP208" i="3"/>
  <c r="AQ208" i="3" a="1"/>
  <c r="AR208" i="3" a="1"/>
  <c r="AS208" i="3"/>
  <c r="AT208" i="3" a="1"/>
  <c r="AU208" i="3"/>
  <c r="AV208" i="3" a="1"/>
  <c r="AW208" i="3"/>
  <c r="AX208" i="3"/>
  <c r="AY208" i="3"/>
  <c r="AZ208" i="3"/>
  <c r="BA208" i="3"/>
  <c r="BB208" i="3"/>
  <c r="BC208" i="3"/>
  <c r="BD208" i="3"/>
  <c r="BE208" i="3" a="1"/>
  <c r="BF208" i="3"/>
  <c r="BG208" i="3"/>
  <c r="BH208" i="3" a="1"/>
  <c r="BI208" i="3"/>
  <c r="BJ208" i="3" a="1"/>
  <c r="BK208" i="3" a="1"/>
  <c r="BL208" i="3"/>
  <c r="B209" i="3"/>
  <c r="C209" i="3"/>
  <c r="D209" i="3"/>
  <c r="E209" i="3"/>
  <c r="F209" i="3"/>
  <c r="G209" i="3"/>
  <c r="H209" i="3"/>
  <c r="I209" i="3"/>
  <c r="J209" i="3"/>
  <c r="K209" i="3"/>
  <c r="L209" i="3"/>
  <c r="M209" i="3" a="1"/>
  <c r="N209" i="3"/>
  <c r="O209" i="3"/>
  <c r="P209" i="3"/>
  <c r="Q209" i="3" a="1"/>
  <c r="R209" i="3"/>
  <c r="S209" i="3"/>
  <c r="T209" i="3"/>
  <c r="U209" i="3"/>
  <c r="V209" i="3" a="1"/>
  <c r="W209" i="3" a="1"/>
  <c r="X209" i="3"/>
  <c r="Y209" i="3"/>
  <c r="Z209" i="3"/>
  <c r="AA209" i="3"/>
  <c r="AB209" i="3" a="1"/>
  <c r="AC209" i="3"/>
  <c r="AD209" i="3" a="1"/>
  <c r="AE209" i="3"/>
  <c r="AG209" i="3"/>
  <c r="AH209" i="3"/>
  <c r="AI209" i="3"/>
  <c r="AJ209" i="3"/>
  <c r="AK209" i="3"/>
  <c r="AL209" i="3"/>
  <c r="AM209" i="3"/>
  <c r="AN209" i="3"/>
  <c r="AO209" i="3"/>
  <c r="AP209" i="3"/>
  <c r="AQ209" i="3" a="1"/>
  <c r="AR209" i="3" a="1"/>
  <c r="AS209" i="3"/>
  <c r="AT209" i="3" a="1"/>
  <c r="AU209" i="3"/>
  <c r="AV209" i="3" a="1"/>
  <c r="AW209" i="3"/>
  <c r="AX209" i="3"/>
  <c r="AY209" i="3"/>
  <c r="AZ209" i="3"/>
  <c r="BA209" i="3"/>
  <c r="BB209" i="3"/>
  <c r="BC209" i="3"/>
  <c r="BD209" i="3"/>
  <c r="BE209" i="3" a="1"/>
  <c r="BF209" i="3"/>
  <c r="BG209" i="3"/>
  <c r="BH209" i="3" a="1"/>
  <c r="BI209" i="3"/>
  <c r="BJ209" i="3" a="1"/>
  <c r="BK209" i="3" a="1"/>
  <c r="BL209" i="3"/>
  <c r="B210" i="3"/>
  <c r="C210" i="3"/>
  <c r="D210" i="3"/>
  <c r="E210" i="3"/>
  <c r="F210" i="3"/>
  <c r="G210" i="3"/>
  <c r="H210" i="3"/>
  <c r="I210" i="3"/>
  <c r="J210" i="3"/>
  <c r="K210" i="3"/>
  <c r="L210" i="3"/>
  <c r="M210" i="3" a="1"/>
  <c r="N210" i="3"/>
  <c r="O210" i="3"/>
  <c r="P210" i="3"/>
  <c r="Q210" i="3" a="1"/>
  <c r="R210" i="3"/>
  <c r="S210" i="3"/>
  <c r="T210" i="3"/>
  <c r="U210" i="3"/>
  <c r="V210" i="3" a="1"/>
  <c r="W210" i="3" a="1"/>
  <c r="X210" i="3"/>
  <c r="Y210" i="3"/>
  <c r="Z210" i="3"/>
  <c r="AA210" i="3"/>
  <c r="AB210" i="3" a="1"/>
  <c r="AC210" i="3"/>
  <c r="AD210" i="3" a="1"/>
  <c r="AE210" i="3"/>
  <c r="AG210" i="3"/>
  <c r="AH210" i="3"/>
  <c r="AI210" i="3"/>
  <c r="AJ210" i="3"/>
  <c r="AK210" i="3"/>
  <c r="AL210" i="3"/>
  <c r="AM210" i="3"/>
  <c r="AN210" i="3"/>
  <c r="AO210" i="3"/>
  <c r="AP210" i="3"/>
  <c r="AQ210" i="3" a="1"/>
  <c r="AR210" i="3" a="1"/>
  <c r="AS210" i="3"/>
  <c r="AT210" i="3" a="1"/>
  <c r="AU210" i="3"/>
  <c r="AV210" i="3" a="1"/>
  <c r="AW210" i="3"/>
  <c r="AX210" i="3"/>
  <c r="AY210" i="3"/>
  <c r="AZ210" i="3"/>
  <c r="BA210" i="3"/>
  <c r="BB210" i="3"/>
  <c r="BC210" i="3"/>
  <c r="BD210" i="3"/>
  <c r="BE210" i="3" a="1"/>
  <c r="BF210" i="3"/>
  <c r="BG210" i="3"/>
  <c r="BH210" i="3" a="1"/>
  <c r="BI210" i="3"/>
  <c r="BJ210" i="3" a="1"/>
  <c r="BK210" i="3" a="1"/>
  <c r="BL210" i="3"/>
  <c r="B211" i="3"/>
  <c r="C211" i="3"/>
  <c r="D211" i="3"/>
  <c r="E211" i="3"/>
  <c r="F211" i="3"/>
  <c r="G211" i="3"/>
  <c r="H211" i="3"/>
  <c r="I211" i="3"/>
  <c r="J211" i="3"/>
  <c r="K211" i="3"/>
  <c r="L211" i="3"/>
  <c r="M211" i="3" a="1"/>
  <c r="N211" i="3"/>
  <c r="O211" i="3"/>
  <c r="P211" i="3"/>
  <c r="Q211" i="3" a="1"/>
  <c r="R211" i="3"/>
  <c r="S211" i="3"/>
  <c r="T211" i="3"/>
  <c r="U211" i="3"/>
  <c r="V211" i="3" a="1"/>
  <c r="W211" i="3" a="1"/>
  <c r="X211" i="3"/>
  <c r="Y211" i="3"/>
  <c r="Z211" i="3"/>
  <c r="AA211" i="3"/>
  <c r="AB211" i="3" a="1"/>
  <c r="AC211" i="3"/>
  <c r="AD211" i="3" a="1"/>
  <c r="AE211" i="3"/>
  <c r="AG211" i="3"/>
  <c r="AH211" i="3"/>
  <c r="AI211" i="3"/>
  <c r="AJ211" i="3"/>
  <c r="AK211" i="3"/>
  <c r="AL211" i="3"/>
  <c r="AM211" i="3"/>
  <c r="AN211" i="3"/>
  <c r="AO211" i="3"/>
  <c r="AP211" i="3"/>
  <c r="AQ211" i="3" a="1"/>
  <c r="AR211" i="3" a="1"/>
  <c r="AS211" i="3"/>
  <c r="AT211" i="3" a="1"/>
  <c r="AU211" i="3"/>
  <c r="AV211" i="3" a="1"/>
  <c r="AW211" i="3"/>
  <c r="AX211" i="3"/>
  <c r="AY211" i="3"/>
  <c r="AZ211" i="3"/>
  <c r="BA211" i="3"/>
  <c r="BB211" i="3"/>
  <c r="BC211" i="3"/>
  <c r="BD211" i="3"/>
  <c r="BE211" i="3" a="1"/>
  <c r="BF211" i="3"/>
  <c r="BG211" i="3"/>
  <c r="BH211" i="3" a="1"/>
  <c r="BI211" i="3"/>
  <c r="BJ211" i="3" a="1"/>
  <c r="BK211" i="3" a="1"/>
  <c r="BL211" i="3"/>
  <c r="B212" i="3"/>
  <c r="C212" i="3"/>
  <c r="D212" i="3"/>
  <c r="E212" i="3"/>
  <c r="F212" i="3"/>
  <c r="G212" i="3"/>
  <c r="H212" i="3"/>
  <c r="I212" i="3"/>
  <c r="J212" i="3"/>
  <c r="K212" i="3"/>
  <c r="L212" i="3"/>
  <c r="M212" i="3" a="1"/>
  <c r="N212" i="3"/>
  <c r="O212" i="3"/>
  <c r="P212" i="3"/>
  <c r="Q212" i="3" a="1"/>
  <c r="R212" i="3"/>
  <c r="S212" i="3"/>
  <c r="T212" i="3"/>
  <c r="U212" i="3"/>
  <c r="V212" i="3" a="1"/>
  <c r="W212" i="3" a="1"/>
  <c r="X212" i="3"/>
  <c r="Y212" i="3"/>
  <c r="Z212" i="3"/>
  <c r="AA212" i="3"/>
  <c r="AB212" i="3" a="1"/>
  <c r="AC212" i="3"/>
  <c r="AD212" i="3" a="1"/>
  <c r="AE212" i="3"/>
  <c r="AG212" i="3"/>
  <c r="AH212" i="3"/>
  <c r="AI212" i="3"/>
  <c r="AJ212" i="3"/>
  <c r="AK212" i="3"/>
  <c r="AL212" i="3"/>
  <c r="AM212" i="3"/>
  <c r="AN212" i="3"/>
  <c r="AO212" i="3"/>
  <c r="AP212" i="3"/>
  <c r="AQ212" i="3" a="1"/>
  <c r="AR212" i="3" a="1"/>
  <c r="AS212" i="3"/>
  <c r="AT212" i="3" a="1"/>
  <c r="AU212" i="3"/>
  <c r="AV212" i="3" a="1"/>
  <c r="AW212" i="3"/>
  <c r="AX212" i="3"/>
  <c r="AY212" i="3"/>
  <c r="AZ212" i="3"/>
  <c r="BA212" i="3"/>
  <c r="BB212" i="3"/>
  <c r="BC212" i="3"/>
  <c r="BD212" i="3"/>
  <c r="BE212" i="3" a="1"/>
  <c r="BF212" i="3"/>
  <c r="BG212" i="3"/>
  <c r="BH212" i="3" a="1"/>
  <c r="BI212" i="3"/>
  <c r="BJ212" i="3" a="1"/>
  <c r="BK212" i="3" a="1"/>
  <c r="BL212" i="3"/>
  <c r="B213" i="3"/>
  <c r="C213" i="3"/>
  <c r="D213" i="3"/>
  <c r="E213" i="3"/>
  <c r="F213" i="3"/>
  <c r="G213" i="3"/>
  <c r="H213" i="3"/>
  <c r="I213" i="3"/>
  <c r="J213" i="3"/>
  <c r="K213" i="3"/>
  <c r="L213" i="3"/>
  <c r="M213" i="3" a="1"/>
  <c r="N213" i="3"/>
  <c r="O213" i="3"/>
  <c r="P213" i="3"/>
  <c r="Q213" i="3" a="1"/>
  <c r="R213" i="3"/>
  <c r="S213" i="3"/>
  <c r="T213" i="3"/>
  <c r="U213" i="3"/>
  <c r="V213" i="3" a="1"/>
  <c r="W213" i="3" a="1"/>
  <c r="X213" i="3"/>
  <c r="Y213" i="3"/>
  <c r="Z213" i="3"/>
  <c r="AA213" i="3"/>
  <c r="AB213" i="3" a="1"/>
  <c r="AC213" i="3"/>
  <c r="AD213" i="3" a="1"/>
  <c r="AE213" i="3"/>
  <c r="AG213" i="3"/>
  <c r="AH213" i="3"/>
  <c r="AI213" i="3"/>
  <c r="AJ213" i="3"/>
  <c r="AK213" i="3"/>
  <c r="AL213" i="3"/>
  <c r="AM213" i="3"/>
  <c r="AN213" i="3"/>
  <c r="AO213" i="3"/>
  <c r="AP213" i="3"/>
  <c r="AQ213" i="3" a="1"/>
  <c r="AR213" i="3" a="1"/>
  <c r="AS213" i="3"/>
  <c r="AT213" i="3" a="1"/>
  <c r="AU213" i="3"/>
  <c r="AV213" i="3" a="1"/>
  <c r="AW213" i="3"/>
  <c r="AX213" i="3"/>
  <c r="AY213" i="3"/>
  <c r="AZ213" i="3"/>
  <c r="BA213" i="3"/>
  <c r="BB213" i="3"/>
  <c r="BC213" i="3"/>
  <c r="BD213" i="3"/>
  <c r="BE213" i="3" a="1"/>
  <c r="BF213" i="3"/>
  <c r="BG213" i="3"/>
  <c r="BH213" i="3" a="1"/>
  <c r="BI213" i="3"/>
  <c r="BJ213" i="3" a="1"/>
  <c r="BK213" i="3" a="1"/>
  <c r="BL213" i="3"/>
  <c r="B214" i="3"/>
  <c r="C214" i="3"/>
  <c r="D214" i="3"/>
  <c r="E214" i="3"/>
  <c r="F214" i="3"/>
  <c r="G214" i="3"/>
  <c r="H214" i="3"/>
  <c r="I214" i="3"/>
  <c r="J214" i="3"/>
  <c r="K214" i="3"/>
  <c r="L214" i="3"/>
  <c r="M214" i="3" a="1"/>
  <c r="N214" i="3"/>
  <c r="O214" i="3"/>
  <c r="P214" i="3"/>
  <c r="Q214" i="3" a="1"/>
  <c r="R214" i="3"/>
  <c r="S214" i="3"/>
  <c r="T214" i="3"/>
  <c r="U214" i="3"/>
  <c r="V214" i="3" a="1"/>
  <c r="W214" i="3" a="1"/>
  <c r="X214" i="3"/>
  <c r="Y214" i="3"/>
  <c r="Z214" i="3"/>
  <c r="AA214" i="3"/>
  <c r="AB214" i="3" a="1"/>
  <c r="AC214" i="3"/>
  <c r="AD214" i="3" a="1"/>
  <c r="AE214" i="3"/>
  <c r="AG214" i="3"/>
  <c r="AH214" i="3"/>
  <c r="AI214" i="3"/>
  <c r="AJ214" i="3"/>
  <c r="AK214" i="3"/>
  <c r="AL214" i="3"/>
  <c r="AM214" i="3"/>
  <c r="AN214" i="3"/>
  <c r="AO214" i="3"/>
  <c r="AP214" i="3"/>
  <c r="AQ214" i="3" a="1"/>
  <c r="AR214" i="3" a="1"/>
  <c r="AS214" i="3"/>
  <c r="AT214" i="3" a="1"/>
  <c r="AU214" i="3"/>
  <c r="AV214" i="3" a="1"/>
  <c r="AW214" i="3"/>
  <c r="AX214" i="3"/>
  <c r="AY214" i="3"/>
  <c r="AZ214" i="3"/>
  <c r="BA214" i="3"/>
  <c r="BB214" i="3"/>
  <c r="BC214" i="3"/>
  <c r="BD214" i="3"/>
  <c r="BE214" i="3" a="1"/>
  <c r="BF214" i="3"/>
  <c r="BG214" i="3"/>
  <c r="BH214" i="3" a="1"/>
  <c r="BI214" i="3"/>
  <c r="BJ214" i="3" a="1"/>
  <c r="BK214" i="3" a="1"/>
  <c r="BL214" i="3"/>
  <c r="B215" i="3"/>
  <c r="C215" i="3"/>
  <c r="D215" i="3"/>
  <c r="E215" i="3"/>
  <c r="F215" i="3"/>
  <c r="G215" i="3"/>
  <c r="H215" i="3"/>
  <c r="I215" i="3"/>
  <c r="J215" i="3"/>
  <c r="K215" i="3"/>
  <c r="L215" i="3"/>
  <c r="M215" i="3" a="1"/>
  <c r="N215" i="3"/>
  <c r="O215" i="3"/>
  <c r="P215" i="3"/>
  <c r="Q215" i="3" a="1"/>
  <c r="R215" i="3"/>
  <c r="S215" i="3"/>
  <c r="T215" i="3"/>
  <c r="U215" i="3"/>
  <c r="V215" i="3" a="1"/>
  <c r="W215" i="3" a="1"/>
  <c r="X215" i="3"/>
  <c r="Y215" i="3"/>
  <c r="Z215" i="3"/>
  <c r="AA215" i="3"/>
  <c r="AB215" i="3" a="1"/>
  <c r="AC215" i="3"/>
  <c r="AD215" i="3" a="1"/>
  <c r="AE215" i="3"/>
  <c r="AG215" i="3"/>
  <c r="AH215" i="3"/>
  <c r="AI215" i="3"/>
  <c r="AJ215" i="3"/>
  <c r="AK215" i="3"/>
  <c r="AL215" i="3"/>
  <c r="AM215" i="3"/>
  <c r="AN215" i="3"/>
  <c r="AO215" i="3"/>
  <c r="AP215" i="3"/>
  <c r="AQ215" i="3" a="1"/>
  <c r="AR215" i="3" a="1"/>
  <c r="AS215" i="3"/>
  <c r="AT215" i="3" a="1"/>
  <c r="AU215" i="3"/>
  <c r="AV215" i="3" a="1"/>
  <c r="AW215" i="3"/>
  <c r="AX215" i="3"/>
  <c r="AY215" i="3"/>
  <c r="AZ215" i="3"/>
  <c r="BA215" i="3"/>
  <c r="BB215" i="3"/>
  <c r="BC215" i="3"/>
  <c r="BD215" i="3"/>
  <c r="BE215" i="3" a="1"/>
  <c r="BF215" i="3"/>
  <c r="BG215" i="3"/>
  <c r="BH215" i="3" a="1"/>
  <c r="BI215" i="3"/>
  <c r="BJ215" i="3" a="1"/>
  <c r="BK215" i="3" a="1"/>
  <c r="BL215" i="3"/>
  <c r="B216" i="3"/>
  <c r="C216" i="3"/>
  <c r="D216" i="3"/>
  <c r="E216" i="3"/>
  <c r="F216" i="3"/>
  <c r="G216" i="3"/>
  <c r="H216" i="3"/>
  <c r="I216" i="3"/>
  <c r="J216" i="3"/>
  <c r="K216" i="3"/>
  <c r="L216" i="3"/>
  <c r="M216" i="3" a="1"/>
  <c r="N216" i="3"/>
  <c r="O216" i="3"/>
  <c r="P216" i="3"/>
  <c r="Q216" i="3" a="1"/>
  <c r="R216" i="3"/>
  <c r="S216" i="3"/>
  <c r="T216" i="3"/>
  <c r="U216" i="3"/>
  <c r="V216" i="3" a="1"/>
  <c r="W216" i="3" a="1"/>
  <c r="X216" i="3"/>
  <c r="Y216" i="3"/>
  <c r="Z216" i="3"/>
  <c r="AA216" i="3"/>
  <c r="AB216" i="3" a="1"/>
  <c r="AC216" i="3"/>
  <c r="AD216" i="3" a="1"/>
  <c r="AE216" i="3"/>
  <c r="AG216" i="3"/>
  <c r="AH216" i="3"/>
  <c r="AI216" i="3"/>
  <c r="AJ216" i="3"/>
  <c r="AK216" i="3"/>
  <c r="AL216" i="3"/>
  <c r="AM216" i="3"/>
  <c r="AN216" i="3"/>
  <c r="AO216" i="3"/>
  <c r="AP216" i="3"/>
  <c r="AQ216" i="3" a="1"/>
  <c r="AR216" i="3" a="1"/>
  <c r="AS216" i="3"/>
  <c r="AT216" i="3" a="1"/>
  <c r="AU216" i="3"/>
  <c r="AV216" i="3" a="1"/>
  <c r="AW216" i="3"/>
  <c r="AX216" i="3"/>
  <c r="AY216" i="3"/>
  <c r="AZ216" i="3"/>
  <c r="BA216" i="3"/>
  <c r="BB216" i="3"/>
  <c r="BC216" i="3"/>
  <c r="BD216" i="3"/>
  <c r="BE216" i="3" a="1"/>
  <c r="BF216" i="3"/>
  <c r="BG216" i="3"/>
  <c r="BH216" i="3" a="1"/>
  <c r="BI216" i="3"/>
  <c r="BJ216" i="3" a="1"/>
  <c r="BK216" i="3" a="1"/>
  <c r="BL216" i="3"/>
  <c r="B217" i="3"/>
  <c r="C217" i="3"/>
  <c r="D217" i="3"/>
  <c r="E217" i="3"/>
  <c r="F217" i="3"/>
  <c r="G217" i="3"/>
  <c r="H217" i="3"/>
  <c r="I217" i="3"/>
  <c r="J217" i="3"/>
  <c r="K217" i="3"/>
  <c r="L217" i="3"/>
  <c r="M217" i="3" a="1"/>
  <c r="N217" i="3"/>
  <c r="O217" i="3"/>
  <c r="P217" i="3"/>
  <c r="Q217" i="3" a="1"/>
  <c r="R217" i="3"/>
  <c r="S217" i="3"/>
  <c r="T217" i="3"/>
  <c r="U217" i="3"/>
  <c r="V217" i="3" a="1"/>
  <c r="W217" i="3" a="1"/>
  <c r="X217" i="3"/>
  <c r="Y217" i="3"/>
  <c r="Z217" i="3"/>
  <c r="AA217" i="3"/>
  <c r="AB217" i="3" a="1"/>
  <c r="AC217" i="3"/>
  <c r="AD217" i="3" a="1"/>
  <c r="AE217" i="3"/>
  <c r="AG217" i="3"/>
  <c r="AH217" i="3"/>
  <c r="AI217" i="3"/>
  <c r="AJ217" i="3"/>
  <c r="AK217" i="3"/>
  <c r="AL217" i="3"/>
  <c r="AM217" i="3"/>
  <c r="AN217" i="3"/>
  <c r="AO217" i="3"/>
  <c r="AP217" i="3"/>
  <c r="AQ217" i="3" a="1"/>
  <c r="AR217" i="3" a="1"/>
  <c r="AS217" i="3"/>
  <c r="AT217" i="3" a="1"/>
  <c r="AU217" i="3"/>
  <c r="AV217" i="3" a="1"/>
  <c r="AW217" i="3"/>
  <c r="AX217" i="3"/>
  <c r="AY217" i="3"/>
  <c r="AZ217" i="3"/>
  <c r="BA217" i="3"/>
  <c r="BB217" i="3"/>
  <c r="BC217" i="3"/>
  <c r="BD217" i="3"/>
  <c r="BE217" i="3" a="1"/>
  <c r="BF217" i="3"/>
  <c r="BG217" i="3"/>
  <c r="BH217" i="3" a="1"/>
  <c r="BI217" i="3"/>
  <c r="BJ217" i="3" a="1"/>
  <c r="BK217" i="3" a="1"/>
  <c r="BL217" i="3"/>
  <c r="B218" i="3"/>
  <c r="C218" i="3"/>
  <c r="D218" i="3"/>
  <c r="E218" i="3"/>
  <c r="F218" i="3"/>
  <c r="G218" i="3"/>
  <c r="H218" i="3"/>
  <c r="I218" i="3"/>
  <c r="J218" i="3"/>
  <c r="K218" i="3"/>
  <c r="L218" i="3"/>
  <c r="M218" i="3" a="1"/>
  <c r="N218" i="3"/>
  <c r="O218" i="3"/>
  <c r="P218" i="3"/>
  <c r="Q218" i="3" a="1"/>
  <c r="R218" i="3"/>
  <c r="S218" i="3"/>
  <c r="T218" i="3"/>
  <c r="U218" i="3"/>
  <c r="V218" i="3" a="1"/>
  <c r="W218" i="3" a="1"/>
  <c r="X218" i="3"/>
  <c r="Y218" i="3"/>
  <c r="Z218" i="3"/>
  <c r="AA218" i="3"/>
  <c r="AB218" i="3" a="1"/>
  <c r="AC218" i="3"/>
  <c r="AD218" i="3" a="1"/>
  <c r="AE218" i="3"/>
  <c r="AG218" i="3"/>
  <c r="AH218" i="3"/>
  <c r="AI218" i="3"/>
  <c r="AJ218" i="3"/>
  <c r="AK218" i="3"/>
  <c r="AL218" i="3"/>
  <c r="AM218" i="3"/>
  <c r="AN218" i="3"/>
  <c r="AO218" i="3"/>
  <c r="AP218" i="3"/>
  <c r="AQ218" i="3" a="1"/>
  <c r="AR218" i="3" a="1"/>
  <c r="AS218" i="3"/>
  <c r="AT218" i="3" a="1"/>
  <c r="AU218" i="3"/>
  <c r="AV218" i="3" a="1"/>
  <c r="AW218" i="3"/>
  <c r="AX218" i="3"/>
  <c r="AY218" i="3"/>
  <c r="AZ218" i="3"/>
  <c r="BA218" i="3"/>
  <c r="BB218" i="3"/>
  <c r="BC218" i="3"/>
  <c r="BD218" i="3"/>
  <c r="BE218" i="3" a="1"/>
  <c r="BF218" i="3"/>
  <c r="BG218" i="3"/>
  <c r="BH218" i="3" a="1"/>
  <c r="BI218" i="3"/>
  <c r="BJ218" i="3" a="1"/>
  <c r="BK218" i="3" a="1"/>
  <c r="BL218" i="3"/>
  <c r="B219" i="3"/>
  <c r="C219" i="3"/>
  <c r="D219" i="3"/>
  <c r="E219" i="3"/>
  <c r="F219" i="3"/>
  <c r="G219" i="3"/>
  <c r="H219" i="3"/>
  <c r="I219" i="3"/>
  <c r="J219" i="3"/>
  <c r="K219" i="3"/>
  <c r="L219" i="3"/>
  <c r="M219" i="3" a="1"/>
  <c r="N219" i="3"/>
  <c r="O219" i="3"/>
  <c r="P219" i="3"/>
  <c r="Q219" i="3" a="1"/>
  <c r="R219" i="3"/>
  <c r="S219" i="3"/>
  <c r="T219" i="3"/>
  <c r="U219" i="3"/>
  <c r="V219" i="3" a="1"/>
  <c r="W219" i="3" a="1"/>
  <c r="X219" i="3"/>
  <c r="Y219" i="3"/>
  <c r="Z219" i="3"/>
  <c r="AA219" i="3"/>
  <c r="AB219" i="3" a="1"/>
  <c r="AC219" i="3"/>
  <c r="AD219" i="3" a="1"/>
  <c r="AE219" i="3"/>
  <c r="AG219" i="3"/>
  <c r="AH219" i="3"/>
  <c r="AI219" i="3"/>
  <c r="AJ219" i="3"/>
  <c r="AK219" i="3"/>
  <c r="AL219" i="3"/>
  <c r="AM219" i="3"/>
  <c r="AN219" i="3"/>
  <c r="AO219" i="3"/>
  <c r="AP219" i="3"/>
  <c r="AQ219" i="3" a="1"/>
  <c r="AR219" i="3" a="1"/>
  <c r="AS219" i="3"/>
  <c r="AT219" i="3" a="1"/>
  <c r="AU219" i="3"/>
  <c r="AV219" i="3" a="1"/>
  <c r="AW219" i="3"/>
  <c r="AX219" i="3"/>
  <c r="AY219" i="3"/>
  <c r="AZ219" i="3"/>
  <c r="BA219" i="3"/>
  <c r="BB219" i="3"/>
  <c r="BC219" i="3"/>
  <c r="BD219" i="3"/>
  <c r="BE219" i="3" a="1"/>
  <c r="BF219" i="3"/>
  <c r="BG219" i="3"/>
  <c r="BH219" i="3" a="1"/>
  <c r="BI219" i="3"/>
  <c r="BJ219" i="3" a="1"/>
  <c r="BK219" i="3" a="1"/>
  <c r="BL219" i="3"/>
  <c r="B220" i="3"/>
  <c r="C220" i="3"/>
  <c r="D220" i="3"/>
  <c r="E220" i="3"/>
  <c r="F220" i="3"/>
  <c r="G220" i="3"/>
  <c r="H220" i="3"/>
  <c r="I220" i="3"/>
  <c r="J220" i="3"/>
  <c r="K220" i="3"/>
  <c r="L220" i="3"/>
  <c r="M220" i="3" a="1"/>
  <c r="N220" i="3"/>
  <c r="O220" i="3"/>
  <c r="P220" i="3"/>
  <c r="Q220" i="3" a="1"/>
  <c r="R220" i="3"/>
  <c r="S220" i="3"/>
  <c r="T220" i="3"/>
  <c r="U220" i="3"/>
  <c r="V220" i="3" a="1"/>
  <c r="W220" i="3" a="1"/>
  <c r="X220" i="3"/>
  <c r="Y220" i="3"/>
  <c r="Z220" i="3"/>
  <c r="AA220" i="3"/>
  <c r="AB220" i="3" a="1"/>
  <c r="AC220" i="3"/>
  <c r="AD220" i="3" a="1"/>
  <c r="AE220" i="3"/>
  <c r="AG220" i="3"/>
  <c r="AH220" i="3"/>
  <c r="AI220" i="3"/>
  <c r="AJ220" i="3"/>
  <c r="AK220" i="3"/>
  <c r="AL220" i="3"/>
  <c r="AM220" i="3"/>
  <c r="AN220" i="3"/>
  <c r="AO220" i="3"/>
  <c r="AP220" i="3"/>
  <c r="AQ220" i="3" a="1"/>
  <c r="AR220" i="3" a="1"/>
  <c r="AS220" i="3"/>
  <c r="AT220" i="3" a="1"/>
  <c r="AU220" i="3"/>
  <c r="AV220" i="3" a="1"/>
  <c r="AW220" i="3"/>
  <c r="AX220" i="3"/>
  <c r="AY220" i="3"/>
  <c r="AZ220" i="3"/>
  <c r="BA220" i="3"/>
  <c r="BB220" i="3"/>
  <c r="BC220" i="3"/>
  <c r="BD220" i="3"/>
  <c r="BE220" i="3" a="1"/>
  <c r="BF220" i="3"/>
  <c r="BG220" i="3"/>
  <c r="BH220" i="3" a="1"/>
  <c r="BI220" i="3"/>
  <c r="BJ220" i="3" a="1"/>
  <c r="BK220" i="3" a="1"/>
  <c r="BL220" i="3"/>
  <c r="B221" i="3"/>
  <c r="C221" i="3"/>
  <c r="D221" i="3"/>
  <c r="E221" i="3"/>
  <c r="F221" i="3"/>
  <c r="G221" i="3"/>
  <c r="H221" i="3"/>
  <c r="I221" i="3"/>
  <c r="J221" i="3"/>
  <c r="K221" i="3"/>
  <c r="L221" i="3"/>
  <c r="M221" i="3" a="1"/>
  <c r="N221" i="3"/>
  <c r="O221" i="3"/>
  <c r="P221" i="3"/>
  <c r="Q221" i="3" a="1"/>
  <c r="R221" i="3"/>
  <c r="S221" i="3"/>
  <c r="T221" i="3"/>
  <c r="U221" i="3"/>
  <c r="V221" i="3" a="1"/>
  <c r="W221" i="3" a="1"/>
  <c r="X221" i="3"/>
  <c r="Y221" i="3"/>
  <c r="Z221" i="3"/>
  <c r="AA221" i="3"/>
  <c r="AB221" i="3" a="1"/>
  <c r="AC221" i="3"/>
  <c r="AD221" i="3" a="1"/>
  <c r="AE221" i="3"/>
  <c r="AG221" i="3"/>
  <c r="AH221" i="3"/>
  <c r="AI221" i="3"/>
  <c r="AJ221" i="3"/>
  <c r="AK221" i="3"/>
  <c r="AL221" i="3"/>
  <c r="AM221" i="3"/>
  <c r="AN221" i="3"/>
  <c r="AO221" i="3"/>
  <c r="AP221" i="3"/>
  <c r="AQ221" i="3" a="1"/>
  <c r="AR221" i="3" a="1"/>
  <c r="AS221" i="3"/>
  <c r="AT221" i="3" a="1"/>
  <c r="AU221" i="3"/>
  <c r="AV221" i="3" a="1"/>
  <c r="AW221" i="3"/>
  <c r="AX221" i="3"/>
  <c r="AY221" i="3"/>
  <c r="AZ221" i="3"/>
  <c r="BA221" i="3"/>
  <c r="BB221" i="3"/>
  <c r="BC221" i="3"/>
  <c r="BD221" i="3"/>
  <c r="BE221" i="3" a="1"/>
  <c r="BF221" i="3"/>
  <c r="BG221" i="3"/>
  <c r="BH221" i="3" a="1"/>
  <c r="BI221" i="3"/>
  <c r="BJ221" i="3" a="1"/>
  <c r="BK221" i="3" a="1"/>
  <c r="BL221" i="3"/>
  <c r="B222" i="3"/>
  <c r="C222" i="3"/>
  <c r="D222" i="3"/>
  <c r="E222" i="3"/>
  <c r="F222" i="3"/>
  <c r="G222" i="3"/>
  <c r="H222" i="3"/>
  <c r="I222" i="3"/>
  <c r="J222" i="3"/>
  <c r="K222" i="3"/>
  <c r="L222" i="3"/>
  <c r="M222" i="3" a="1"/>
  <c r="N222" i="3"/>
  <c r="O222" i="3"/>
  <c r="P222" i="3"/>
  <c r="Q222" i="3" a="1"/>
  <c r="R222" i="3"/>
  <c r="S222" i="3"/>
  <c r="T222" i="3"/>
  <c r="U222" i="3"/>
  <c r="V222" i="3" a="1"/>
  <c r="W222" i="3" a="1"/>
  <c r="X222" i="3"/>
  <c r="Y222" i="3"/>
  <c r="Z222" i="3"/>
  <c r="AA222" i="3"/>
  <c r="AB222" i="3" a="1"/>
  <c r="AC222" i="3"/>
  <c r="AD222" i="3" a="1"/>
  <c r="AE222" i="3"/>
  <c r="AG222" i="3"/>
  <c r="AH222" i="3"/>
  <c r="AI222" i="3"/>
  <c r="AJ222" i="3"/>
  <c r="AK222" i="3"/>
  <c r="AL222" i="3"/>
  <c r="AM222" i="3"/>
  <c r="AN222" i="3"/>
  <c r="AO222" i="3"/>
  <c r="AP222" i="3"/>
  <c r="AQ222" i="3" a="1"/>
  <c r="AR222" i="3" a="1"/>
  <c r="AS222" i="3"/>
  <c r="AT222" i="3" a="1"/>
  <c r="AU222" i="3"/>
  <c r="AV222" i="3" a="1"/>
  <c r="AW222" i="3"/>
  <c r="AX222" i="3"/>
  <c r="AY222" i="3"/>
  <c r="AZ222" i="3"/>
  <c r="BA222" i="3"/>
  <c r="BB222" i="3"/>
  <c r="BC222" i="3"/>
  <c r="BD222" i="3"/>
  <c r="BE222" i="3" a="1"/>
  <c r="BF222" i="3"/>
  <c r="BG222" i="3"/>
  <c r="BH222" i="3" a="1"/>
  <c r="BI222" i="3"/>
  <c r="BJ222" i="3" a="1"/>
  <c r="BK222" i="3" a="1"/>
  <c r="BL222" i="3"/>
  <c r="B223" i="3"/>
  <c r="C223" i="3"/>
  <c r="D223" i="3"/>
  <c r="E223" i="3"/>
  <c r="F223" i="3"/>
  <c r="G223" i="3"/>
  <c r="H223" i="3"/>
  <c r="I223" i="3"/>
  <c r="J223" i="3"/>
  <c r="K223" i="3"/>
  <c r="L223" i="3"/>
  <c r="M223" i="3" a="1"/>
  <c r="N223" i="3"/>
  <c r="O223" i="3"/>
  <c r="P223" i="3"/>
  <c r="Q223" i="3" a="1"/>
  <c r="R223" i="3"/>
  <c r="S223" i="3"/>
  <c r="T223" i="3"/>
  <c r="U223" i="3"/>
  <c r="V223" i="3" a="1"/>
  <c r="W223" i="3" a="1"/>
  <c r="X223" i="3"/>
  <c r="Y223" i="3"/>
  <c r="Z223" i="3"/>
  <c r="AA223" i="3"/>
  <c r="AB223" i="3" a="1"/>
  <c r="AC223" i="3"/>
  <c r="AD223" i="3" a="1"/>
  <c r="AE223" i="3"/>
  <c r="AG223" i="3"/>
  <c r="AH223" i="3"/>
  <c r="AI223" i="3"/>
  <c r="AJ223" i="3"/>
  <c r="AK223" i="3"/>
  <c r="AL223" i="3"/>
  <c r="AM223" i="3"/>
  <c r="AN223" i="3"/>
  <c r="AO223" i="3"/>
  <c r="AP223" i="3"/>
  <c r="AQ223" i="3" a="1"/>
  <c r="AR223" i="3" a="1"/>
  <c r="AS223" i="3"/>
  <c r="AT223" i="3" a="1"/>
  <c r="AU223" i="3"/>
  <c r="AV223" i="3" a="1"/>
  <c r="AW223" i="3"/>
  <c r="AX223" i="3"/>
  <c r="AY223" i="3"/>
  <c r="AZ223" i="3"/>
  <c r="BA223" i="3"/>
  <c r="BB223" i="3"/>
  <c r="BC223" i="3"/>
  <c r="BD223" i="3"/>
  <c r="BE223" i="3" a="1"/>
  <c r="BF223" i="3"/>
  <c r="BG223" i="3"/>
  <c r="BH223" i="3" a="1"/>
  <c r="BI223" i="3"/>
  <c r="BJ223" i="3" a="1"/>
  <c r="BK223" i="3" a="1"/>
  <c r="BL223" i="3"/>
  <c r="B224" i="3"/>
  <c r="C224" i="3"/>
  <c r="D224" i="3"/>
  <c r="E224" i="3"/>
  <c r="F224" i="3"/>
  <c r="G224" i="3"/>
  <c r="H224" i="3"/>
  <c r="I224" i="3"/>
  <c r="J224" i="3"/>
  <c r="K224" i="3"/>
  <c r="L224" i="3"/>
  <c r="M224" i="3" a="1"/>
  <c r="N224" i="3"/>
  <c r="O224" i="3"/>
  <c r="P224" i="3"/>
  <c r="Q224" i="3" a="1"/>
  <c r="R224" i="3"/>
  <c r="S224" i="3"/>
  <c r="T224" i="3"/>
  <c r="U224" i="3"/>
  <c r="V224" i="3" a="1"/>
  <c r="W224" i="3" a="1"/>
  <c r="X224" i="3"/>
  <c r="Y224" i="3"/>
  <c r="Z224" i="3"/>
  <c r="AA224" i="3"/>
  <c r="AB224" i="3" a="1"/>
  <c r="AC224" i="3"/>
  <c r="AD224" i="3" a="1"/>
  <c r="AE224" i="3"/>
  <c r="AG224" i="3"/>
  <c r="AH224" i="3"/>
  <c r="AI224" i="3"/>
  <c r="AJ224" i="3"/>
  <c r="AK224" i="3"/>
  <c r="AL224" i="3"/>
  <c r="AM224" i="3"/>
  <c r="AN224" i="3"/>
  <c r="AO224" i="3"/>
  <c r="AP224" i="3"/>
  <c r="AQ224" i="3" a="1"/>
  <c r="AR224" i="3" a="1"/>
  <c r="AS224" i="3"/>
  <c r="AT224" i="3" a="1"/>
  <c r="AU224" i="3"/>
  <c r="AV224" i="3" a="1"/>
  <c r="AW224" i="3"/>
  <c r="AX224" i="3"/>
  <c r="AY224" i="3"/>
  <c r="AZ224" i="3"/>
  <c r="BA224" i="3"/>
  <c r="BB224" i="3"/>
  <c r="BC224" i="3"/>
  <c r="BD224" i="3"/>
  <c r="BE224" i="3" a="1"/>
  <c r="BF224" i="3"/>
  <c r="BG224" i="3"/>
  <c r="BH224" i="3" a="1"/>
  <c r="BI224" i="3"/>
  <c r="BJ224" i="3" a="1"/>
  <c r="BK224" i="3" a="1"/>
  <c r="BL224" i="3"/>
  <c r="BM224" i="3"/>
  <c r="B225" i="3"/>
  <c r="C225" i="3"/>
  <c r="D225" i="3"/>
  <c r="E225" i="3"/>
  <c r="F225" i="3"/>
  <c r="G225" i="3"/>
  <c r="H225" i="3"/>
  <c r="I225" i="3"/>
  <c r="J225" i="3"/>
  <c r="K225" i="3"/>
  <c r="L225" i="3"/>
  <c r="M225" i="3" a="1"/>
  <c r="N225" i="3"/>
  <c r="O225" i="3"/>
  <c r="P225" i="3"/>
  <c r="Q225" i="3" a="1"/>
  <c r="R225" i="3"/>
  <c r="S225" i="3"/>
  <c r="T225" i="3"/>
  <c r="U225" i="3"/>
  <c r="V225" i="3" a="1"/>
  <c r="W225" i="3" a="1"/>
  <c r="X225" i="3"/>
  <c r="Y225" i="3"/>
  <c r="Z225" i="3"/>
  <c r="AA225" i="3"/>
  <c r="AB225" i="3" a="1"/>
  <c r="AC225" i="3"/>
  <c r="AD225" i="3" a="1"/>
  <c r="AE225" i="3"/>
  <c r="AG225" i="3"/>
  <c r="AH225" i="3"/>
  <c r="AI225" i="3"/>
  <c r="AJ225" i="3"/>
  <c r="AK225" i="3"/>
  <c r="AL225" i="3"/>
  <c r="AM225" i="3"/>
  <c r="AN225" i="3"/>
  <c r="AO225" i="3"/>
  <c r="AP225" i="3"/>
  <c r="AQ225" i="3" a="1"/>
  <c r="AR225" i="3" a="1"/>
  <c r="AS225" i="3"/>
  <c r="AT225" i="3" a="1"/>
  <c r="AU225" i="3"/>
  <c r="AV225" i="3" a="1"/>
  <c r="AW225" i="3"/>
  <c r="AX225" i="3"/>
  <c r="AY225" i="3"/>
  <c r="AZ225" i="3"/>
  <c r="BA225" i="3"/>
  <c r="BB225" i="3"/>
  <c r="BC225" i="3"/>
  <c r="BD225" i="3"/>
  <c r="BE225" i="3" a="1"/>
  <c r="BF225" i="3"/>
  <c r="BG225" i="3"/>
  <c r="BH225" i="3" a="1"/>
  <c r="BI225" i="3"/>
  <c r="BJ225" i="3" a="1"/>
  <c r="BK225" i="3" a="1"/>
  <c r="BL225" i="3"/>
  <c r="BM225" i="3"/>
  <c r="B226" i="3"/>
  <c r="C226" i="3"/>
  <c r="D226" i="3"/>
  <c r="E226" i="3"/>
  <c r="F226" i="3"/>
  <c r="G226" i="3"/>
  <c r="H226" i="3"/>
  <c r="I226" i="3"/>
  <c r="J226" i="3"/>
  <c r="K226" i="3"/>
  <c r="L226" i="3"/>
  <c r="M226" i="3" a="1"/>
  <c r="N226" i="3"/>
  <c r="O226" i="3"/>
  <c r="P226" i="3"/>
  <c r="Q226" i="3" a="1"/>
  <c r="R226" i="3"/>
  <c r="S226" i="3"/>
  <c r="T226" i="3"/>
  <c r="U226" i="3"/>
  <c r="V226" i="3" a="1"/>
  <c r="W226" i="3" a="1"/>
  <c r="X226" i="3"/>
  <c r="Y226" i="3"/>
  <c r="Z226" i="3"/>
  <c r="AA226" i="3"/>
  <c r="AB226" i="3" a="1"/>
  <c r="AC226" i="3"/>
  <c r="AD226" i="3" a="1"/>
  <c r="AE226" i="3"/>
  <c r="AG226" i="3"/>
  <c r="AH226" i="3"/>
  <c r="AI226" i="3"/>
  <c r="AJ226" i="3"/>
  <c r="AK226" i="3"/>
  <c r="AL226" i="3"/>
  <c r="AM226" i="3"/>
  <c r="AN226" i="3"/>
  <c r="AO226" i="3"/>
  <c r="AP226" i="3"/>
  <c r="AQ226" i="3" a="1"/>
  <c r="AR226" i="3" a="1"/>
  <c r="AS226" i="3"/>
  <c r="AT226" i="3" a="1"/>
  <c r="AU226" i="3"/>
  <c r="AV226" i="3" a="1"/>
  <c r="AW226" i="3"/>
  <c r="AX226" i="3"/>
  <c r="AY226" i="3"/>
  <c r="AZ226" i="3"/>
  <c r="BA226" i="3"/>
  <c r="BB226" i="3"/>
  <c r="BC226" i="3"/>
  <c r="BD226" i="3"/>
  <c r="BE226" i="3" a="1"/>
  <c r="BF226" i="3"/>
  <c r="BG226" i="3"/>
  <c r="BH226" i="3" a="1"/>
  <c r="BI226" i="3"/>
  <c r="BJ226" i="3" a="1"/>
  <c r="BK226" i="3" a="1"/>
  <c r="BL226" i="3"/>
  <c r="BM226" i="3"/>
  <c r="B227" i="3"/>
  <c r="C227" i="3"/>
  <c r="D227" i="3"/>
  <c r="E227" i="3"/>
  <c r="F227" i="3"/>
  <c r="G227" i="3"/>
  <c r="H227" i="3"/>
  <c r="I227" i="3"/>
  <c r="J227" i="3"/>
  <c r="K227" i="3"/>
  <c r="L227" i="3"/>
  <c r="M227" i="3" a="1"/>
  <c r="N227" i="3"/>
  <c r="O227" i="3"/>
  <c r="P227" i="3"/>
  <c r="Q227" i="3" a="1"/>
  <c r="R227" i="3"/>
  <c r="S227" i="3"/>
  <c r="T227" i="3"/>
  <c r="U227" i="3"/>
  <c r="V227" i="3" a="1"/>
  <c r="W227" i="3" a="1"/>
  <c r="X227" i="3"/>
  <c r="Y227" i="3"/>
  <c r="Z227" i="3"/>
  <c r="AA227" i="3"/>
  <c r="AB227" i="3" a="1"/>
  <c r="AC227" i="3"/>
  <c r="AD227" i="3" a="1"/>
  <c r="AE227" i="3"/>
  <c r="AG227" i="3"/>
  <c r="AH227" i="3"/>
  <c r="AI227" i="3"/>
  <c r="AJ227" i="3"/>
  <c r="AK227" i="3"/>
  <c r="AL227" i="3"/>
  <c r="AM227" i="3"/>
  <c r="AN227" i="3"/>
  <c r="AO227" i="3"/>
  <c r="AP227" i="3"/>
  <c r="AQ227" i="3" a="1"/>
  <c r="AR227" i="3" a="1"/>
  <c r="AS227" i="3"/>
  <c r="AT227" i="3" a="1"/>
  <c r="AU227" i="3"/>
  <c r="AV227" i="3" a="1"/>
  <c r="AW227" i="3"/>
  <c r="AX227" i="3"/>
  <c r="AY227" i="3"/>
  <c r="AZ227" i="3"/>
  <c r="BA227" i="3"/>
  <c r="BB227" i="3"/>
  <c r="BC227" i="3"/>
  <c r="BD227" i="3"/>
  <c r="BE227" i="3" a="1"/>
  <c r="BF227" i="3"/>
  <c r="BG227" i="3"/>
  <c r="BH227" i="3" a="1"/>
  <c r="BI227" i="3"/>
  <c r="BJ227" i="3" a="1"/>
  <c r="BK227" i="3" a="1"/>
  <c r="BL227" i="3"/>
  <c r="BM227" i="3"/>
  <c r="B228" i="3"/>
  <c r="C228" i="3"/>
  <c r="D228" i="3"/>
  <c r="E228" i="3"/>
  <c r="F228" i="3"/>
  <c r="G228" i="3"/>
  <c r="H228" i="3"/>
  <c r="I228" i="3"/>
  <c r="J228" i="3"/>
  <c r="K228" i="3"/>
  <c r="L228" i="3"/>
  <c r="M228" i="3" a="1"/>
  <c r="N228" i="3"/>
  <c r="O228" i="3"/>
  <c r="P228" i="3"/>
  <c r="Q228" i="3" a="1"/>
  <c r="R228" i="3"/>
  <c r="S228" i="3"/>
  <c r="T228" i="3"/>
  <c r="U228" i="3"/>
  <c r="V228" i="3" a="1"/>
  <c r="W228" i="3" a="1"/>
  <c r="X228" i="3"/>
  <c r="Y228" i="3"/>
  <c r="Z228" i="3"/>
  <c r="AA228" i="3"/>
  <c r="AB228" i="3" a="1"/>
  <c r="AC228" i="3"/>
  <c r="AD228" i="3" a="1"/>
  <c r="AE228" i="3"/>
  <c r="AG228" i="3"/>
  <c r="AH228" i="3"/>
  <c r="AI228" i="3"/>
  <c r="AJ228" i="3"/>
  <c r="AK228" i="3"/>
  <c r="AL228" i="3"/>
  <c r="AM228" i="3"/>
  <c r="AN228" i="3"/>
  <c r="AO228" i="3"/>
  <c r="AP228" i="3"/>
  <c r="AQ228" i="3" a="1"/>
  <c r="AR228" i="3" a="1"/>
  <c r="AS228" i="3"/>
  <c r="AT228" i="3" a="1"/>
  <c r="AU228" i="3"/>
  <c r="AV228" i="3" a="1"/>
  <c r="AW228" i="3"/>
  <c r="AX228" i="3"/>
  <c r="AY228" i="3"/>
  <c r="AZ228" i="3"/>
  <c r="BA228" i="3"/>
  <c r="BB228" i="3"/>
  <c r="BC228" i="3"/>
  <c r="BD228" i="3"/>
  <c r="BE228" i="3" a="1"/>
  <c r="BF228" i="3"/>
  <c r="BG228" i="3"/>
  <c r="BH228" i="3" a="1"/>
  <c r="BI228" i="3"/>
  <c r="BJ228" i="3" a="1"/>
  <c r="BK228" i="3" a="1"/>
  <c r="BL228" i="3"/>
  <c r="B229" i="3"/>
  <c r="C229" i="3"/>
  <c r="D229" i="3"/>
  <c r="E229" i="3"/>
  <c r="F229" i="3"/>
  <c r="G229" i="3"/>
  <c r="H229" i="3"/>
  <c r="I229" i="3"/>
  <c r="J229" i="3"/>
  <c r="K229" i="3"/>
  <c r="L229" i="3"/>
  <c r="M229" i="3" a="1"/>
  <c r="N229" i="3"/>
  <c r="O229" i="3"/>
  <c r="P229" i="3"/>
  <c r="Q229" i="3" a="1"/>
  <c r="R229" i="3"/>
  <c r="S229" i="3"/>
  <c r="T229" i="3"/>
  <c r="U229" i="3"/>
  <c r="V229" i="3" a="1"/>
  <c r="W229" i="3" a="1"/>
  <c r="X229" i="3"/>
  <c r="Y229" i="3"/>
  <c r="Z229" i="3"/>
  <c r="AA229" i="3"/>
  <c r="AB229" i="3" a="1"/>
  <c r="AC229" i="3"/>
  <c r="AD229" i="3" a="1"/>
  <c r="AE229" i="3"/>
  <c r="AG229" i="3"/>
  <c r="AH229" i="3"/>
  <c r="AI229" i="3"/>
  <c r="AJ229" i="3"/>
  <c r="AK229" i="3"/>
  <c r="AL229" i="3"/>
  <c r="AM229" i="3"/>
  <c r="AN229" i="3"/>
  <c r="AO229" i="3"/>
  <c r="AP229" i="3"/>
  <c r="AQ229" i="3" a="1"/>
  <c r="AR229" i="3" a="1"/>
  <c r="AS229" i="3"/>
  <c r="AT229" i="3" a="1"/>
  <c r="AU229" i="3"/>
  <c r="AV229" i="3" a="1"/>
  <c r="AW229" i="3"/>
  <c r="AX229" i="3"/>
  <c r="AY229" i="3"/>
  <c r="AZ229" i="3"/>
  <c r="BA229" i="3"/>
  <c r="BB229" i="3"/>
  <c r="BC229" i="3"/>
  <c r="BD229" i="3"/>
  <c r="BE229" i="3" a="1"/>
  <c r="BF229" i="3"/>
  <c r="BG229" i="3"/>
  <c r="BH229" i="3" a="1"/>
  <c r="BI229" i="3"/>
  <c r="BJ229" i="3" a="1"/>
  <c r="BK229" i="3" a="1"/>
  <c r="BL229" i="3"/>
  <c r="B230" i="3"/>
  <c r="C230" i="3"/>
  <c r="D230" i="3"/>
  <c r="E230" i="3"/>
  <c r="F230" i="3"/>
  <c r="G230" i="3"/>
  <c r="H230" i="3"/>
  <c r="I230" i="3"/>
  <c r="J230" i="3"/>
  <c r="K230" i="3"/>
  <c r="L230" i="3"/>
  <c r="M230" i="3" a="1"/>
  <c r="N230" i="3"/>
  <c r="O230" i="3"/>
  <c r="P230" i="3"/>
  <c r="Q230" i="3" a="1"/>
  <c r="R230" i="3"/>
  <c r="S230" i="3"/>
  <c r="T230" i="3"/>
  <c r="U230" i="3"/>
  <c r="V230" i="3" a="1"/>
  <c r="W230" i="3" a="1"/>
  <c r="X230" i="3"/>
  <c r="Y230" i="3"/>
  <c r="Z230" i="3"/>
  <c r="AA230" i="3"/>
  <c r="AB230" i="3" a="1"/>
  <c r="AC230" i="3"/>
  <c r="AD230" i="3" a="1"/>
  <c r="AE230" i="3"/>
  <c r="AG230" i="3"/>
  <c r="AH230" i="3"/>
  <c r="AI230" i="3"/>
  <c r="AJ230" i="3"/>
  <c r="AK230" i="3"/>
  <c r="AL230" i="3"/>
  <c r="AM230" i="3"/>
  <c r="AN230" i="3"/>
  <c r="AO230" i="3"/>
  <c r="AP230" i="3"/>
  <c r="AQ230" i="3" a="1"/>
  <c r="AR230" i="3" a="1"/>
  <c r="AS230" i="3"/>
  <c r="AT230" i="3" a="1"/>
  <c r="AU230" i="3"/>
  <c r="AV230" i="3" a="1"/>
  <c r="AW230" i="3"/>
  <c r="AX230" i="3"/>
  <c r="AY230" i="3"/>
  <c r="AZ230" i="3"/>
  <c r="BA230" i="3"/>
  <c r="BB230" i="3"/>
  <c r="BC230" i="3"/>
  <c r="BD230" i="3"/>
  <c r="BE230" i="3" a="1"/>
  <c r="BF230" i="3"/>
  <c r="BG230" i="3"/>
  <c r="BH230" i="3" a="1"/>
  <c r="BI230" i="3"/>
  <c r="BJ230" i="3" a="1"/>
  <c r="BK230" i="3" a="1"/>
  <c r="BL230" i="3"/>
  <c r="B231" i="3"/>
  <c r="C231" i="3"/>
  <c r="D231" i="3"/>
  <c r="E231" i="3"/>
  <c r="F231" i="3"/>
  <c r="G231" i="3"/>
  <c r="H231" i="3"/>
  <c r="I231" i="3"/>
  <c r="J231" i="3"/>
  <c r="K231" i="3"/>
  <c r="L231" i="3"/>
  <c r="M231" i="3" a="1"/>
  <c r="N231" i="3"/>
  <c r="O231" i="3"/>
  <c r="P231" i="3"/>
  <c r="Q231" i="3" a="1"/>
  <c r="R231" i="3"/>
  <c r="S231" i="3"/>
  <c r="T231" i="3"/>
  <c r="U231" i="3"/>
  <c r="V231" i="3" a="1"/>
  <c r="W231" i="3" a="1"/>
  <c r="X231" i="3"/>
  <c r="Y231" i="3"/>
  <c r="Z231" i="3"/>
  <c r="AA231" i="3"/>
  <c r="AB231" i="3" a="1"/>
  <c r="AC231" i="3"/>
  <c r="AD231" i="3" a="1"/>
  <c r="AE231" i="3"/>
  <c r="AG231" i="3"/>
  <c r="AH231" i="3"/>
  <c r="AI231" i="3"/>
  <c r="AJ231" i="3"/>
  <c r="AK231" i="3"/>
  <c r="AL231" i="3"/>
  <c r="AM231" i="3"/>
  <c r="AN231" i="3"/>
  <c r="AO231" i="3"/>
  <c r="AP231" i="3"/>
  <c r="AQ231" i="3" a="1"/>
  <c r="AR231" i="3" a="1"/>
  <c r="AS231" i="3"/>
  <c r="AT231" i="3" a="1"/>
  <c r="AU231" i="3"/>
  <c r="AV231" i="3" a="1"/>
  <c r="AW231" i="3"/>
  <c r="AX231" i="3"/>
  <c r="AY231" i="3"/>
  <c r="AZ231" i="3"/>
  <c r="BA231" i="3"/>
  <c r="BB231" i="3"/>
  <c r="BC231" i="3"/>
  <c r="BD231" i="3"/>
  <c r="BE231" i="3" a="1"/>
  <c r="BF231" i="3"/>
  <c r="BG231" i="3"/>
  <c r="BH231" i="3" a="1"/>
  <c r="BI231" i="3"/>
  <c r="BJ231" i="3" a="1"/>
  <c r="BK231" i="3" a="1"/>
  <c r="BL231" i="3"/>
  <c r="BM231" i="3"/>
  <c r="B232" i="3"/>
  <c r="C232" i="3"/>
  <c r="D232" i="3"/>
  <c r="E232" i="3"/>
  <c r="F232" i="3"/>
  <c r="G232" i="3"/>
  <c r="H232" i="3"/>
  <c r="I232" i="3"/>
  <c r="J232" i="3"/>
  <c r="K232" i="3"/>
  <c r="L232" i="3"/>
  <c r="M232" i="3" a="1"/>
  <c r="N232" i="3"/>
  <c r="O232" i="3"/>
  <c r="P232" i="3"/>
  <c r="Q232" i="3" a="1"/>
  <c r="R232" i="3"/>
  <c r="S232" i="3"/>
  <c r="T232" i="3"/>
  <c r="U232" i="3"/>
  <c r="V232" i="3" a="1"/>
  <c r="W232" i="3" a="1"/>
  <c r="X232" i="3"/>
  <c r="Y232" i="3"/>
  <c r="Z232" i="3"/>
  <c r="AA232" i="3"/>
  <c r="AB232" i="3" a="1"/>
  <c r="AC232" i="3"/>
  <c r="AD232" i="3" a="1"/>
  <c r="AE232" i="3"/>
  <c r="AG232" i="3"/>
  <c r="AH232" i="3"/>
  <c r="AI232" i="3"/>
  <c r="AJ232" i="3"/>
  <c r="AK232" i="3"/>
  <c r="AL232" i="3"/>
  <c r="AM232" i="3"/>
  <c r="AN232" i="3"/>
  <c r="AO232" i="3"/>
  <c r="AP232" i="3"/>
  <c r="AQ232" i="3" a="1"/>
  <c r="AR232" i="3" a="1"/>
  <c r="AS232" i="3"/>
  <c r="AT232" i="3" a="1"/>
  <c r="AU232" i="3"/>
  <c r="AV232" i="3" a="1"/>
  <c r="AW232" i="3"/>
  <c r="AX232" i="3"/>
  <c r="AY232" i="3"/>
  <c r="AZ232" i="3"/>
  <c r="BA232" i="3"/>
  <c r="BB232" i="3"/>
  <c r="BC232" i="3"/>
  <c r="BD232" i="3"/>
  <c r="BE232" i="3" a="1"/>
  <c r="BF232" i="3"/>
  <c r="BG232" i="3"/>
  <c r="BH232" i="3" a="1"/>
  <c r="BI232" i="3"/>
  <c r="BJ232" i="3" a="1"/>
  <c r="BK232" i="3" a="1"/>
  <c r="BL232" i="3"/>
  <c r="BM232" i="3"/>
  <c r="B233" i="3"/>
  <c r="C233" i="3"/>
  <c r="D233" i="3"/>
  <c r="E233" i="3"/>
  <c r="F233" i="3"/>
  <c r="G233" i="3"/>
  <c r="H233" i="3"/>
  <c r="I233" i="3"/>
  <c r="J233" i="3"/>
  <c r="K233" i="3"/>
  <c r="L233" i="3"/>
  <c r="M233" i="3" a="1"/>
  <c r="N233" i="3"/>
  <c r="O233" i="3"/>
  <c r="P233" i="3"/>
  <c r="Q233" i="3" a="1"/>
  <c r="R233" i="3"/>
  <c r="S233" i="3"/>
  <c r="T233" i="3"/>
  <c r="U233" i="3"/>
  <c r="V233" i="3" a="1"/>
  <c r="W233" i="3" a="1"/>
  <c r="X233" i="3"/>
  <c r="Y233" i="3"/>
  <c r="Z233" i="3"/>
  <c r="AA233" i="3"/>
  <c r="AB233" i="3" a="1"/>
  <c r="AC233" i="3"/>
  <c r="AD233" i="3" a="1"/>
  <c r="AE233" i="3"/>
  <c r="AG233" i="3"/>
  <c r="AH233" i="3"/>
  <c r="AI233" i="3"/>
  <c r="AJ233" i="3"/>
  <c r="AK233" i="3"/>
  <c r="AL233" i="3"/>
  <c r="AM233" i="3"/>
  <c r="AN233" i="3"/>
  <c r="AO233" i="3"/>
  <c r="AP233" i="3"/>
  <c r="AQ233" i="3" a="1"/>
  <c r="AR233" i="3" a="1"/>
  <c r="AS233" i="3"/>
  <c r="AT233" i="3" a="1"/>
  <c r="AU233" i="3"/>
  <c r="AV233" i="3" a="1"/>
  <c r="AW233" i="3"/>
  <c r="AX233" i="3"/>
  <c r="AY233" i="3"/>
  <c r="AZ233" i="3"/>
  <c r="BA233" i="3"/>
  <c r="BB233" i="3"/>
  <c r="BC233" i="3"/>
  <c r="BD233" i="3"/>
  <c r="BE233" i="3" a="1"/>
  <c r="BF233" i="3"/>
  <c r="BG233" i="3"/>
  <c r="BH233" i="3" a="1"/>
  <c r="BI233" i="3"/>
  <c r="BJ233" i="3" a="1"/>
  <c r="BK233" i="3" a="1"/>
  <c r="BL233" i="3"/>
  <c r="BM233" i="3"/>
  <c r="B234" i="3"/>
  <c r="C234" i="3"/>
  <c r="D234" i="3"/>
  <c r="E234" i="3"/>
  <c r="F234" i="3"/>
  <c r="G234" i="3"/>
  <c r="H234" i="3"/>
  <c r="I234" i="3"/>
  <c r="J234" i="3"/>
  <c r="K234" i="3"/>
  <c r="L234" i="3"/>
  <c r="M234" i="3" a="1"/>
  <c r="N234" i="3"/>
  <c r="O234" i="3"/>
  <c r="P234" i="3"/>
  <c r="Q234" i="3" a="1"/>
  <c r="R234" i="3"/>
  <c r="S234" i="3"/>
  <c r="T234" i="3"/>
  <c r="U234" i="3"/>
  <c r="V234" i="3" a="1"/>
  <c r="W234" i="3" a="1"/>
  <c r="X234" i="3"/>
  <c r="Y234" i="3"/>
  <c r="Z234" i="3"/>
  <c r="AA234" i="3"/>
  <c r="AB234" i="3" a="1"/>
  <c r="AC234" i="3"/>
  <c r="AD234" i="3" a="1"/>
  <c r="AE234" i="3"/>
  <c r="AG234" i="3"/>
  <c r="AH234" i="3"/>
  <c r="AI234" i="3"/>
  <c r="AJ234" i="3"/>
  <c r="AK234" i="3"/>
  <c r="AL234" i="3"/>
  <c r="AM234" i="3"/>
  <c r="AN234" i="3"/>
  <c r="AO234" i="3"/>
  <c r="AP234" i="3"/>
  <c r="AQ234" i="3" a="1"/>
  <c r="AR234" i="3" a="1"/>
  <c r="AS234" i="3"/>
  <c r="AT234" i="3" a="1"/>
  <c r="AU234" i="3"/>
  <c r="AV234" i="3" a="1"/>
  <c r="AW234" i="3"/>
  <c r="AX234" i="3"/>
  <c r="AY234" i="3"/>
  <c r="AZ234" i="3"/>
  <c r="BA234" i="3"/>
  <c r="BB234" i="3"/>
  <c r="BC234" i="3"/>
  <c r="BD234" i="3"/>
  <c r="BE234" i="3" a="1"/>
  <c r="BF234" i="3"/>
  <c r="BG234" i="3"/>
  <c r="BH234" i="3" a="1"/>
  <c r="BI234" i="3"/>
  <c r="BJ234" i="3" a="1"/>
  <c r="BK234" i="3" a="1"/>
  <c r="BL234" i="3"/>
  <c r="BM234" i="3"/>
  <c r="B235" i="3"/>
  <c r="C235" i="3"/>
  <c r="D235" i="3"/>
  <c r="E235" i="3"/>
  <c r="F235" i="3"/>
  <c r="G235" i="3"/>
  <c r="H235" i="3"/>
  <c r="I235" i="3"/>
  <c r="J235" i="3"/>
  <c r="K235" i="3"/>
  <c r="L235" i="3"/>
  <c r="M235" i="3" a="1"/>
  <c r="N235" i="3"/>
  <c r="O235" i="3"/>
  <c r="P235" i="3"/>
  <c r="Q235" i="3" a="1"/>
  <c r="R235" i="3"/>
  <c r="S235" i="3"/>
  <c r="T235" i="3"/>
  <c r="U235" i="3"/>
  <c r="V235" i="3" a="1"/>
  <c r="W235" i="3" a="1"/>
  <c r="X235" i="3"/>
  <c r="Y235" i="3"/>
  <c r="Z235" i="3"/>
  <c r="AA235" i="3"/>
  <c r="AB235" i="3" a="1"/>
  <c r="AC235" i="3"/>
  <c r="AD235" i="3" a="1"/>
  <c r="AE235" i="3"/>
  <c r="AG235" i="3"/>
  <c r="AH235" i="3"/>
  <c r="AI235" i="3"/>
  <c r="AJ235" i="3"/>
  <c r="AK235" i="3"/>
  <c r="AL235" i="3"/>
  <c r="AM235" i="3"/>
  <c r="AN235" i="3"/>
  <c r="AO235" i="3"/>
  <c r="AP235" i="3"/>
  <c r="AQ235" i="3" a="1"/>
  <c r="AR235" i="3" a="1"/>
  <c r="AS235" i="3"/>
  <c r="AT235" i="3" a="1"/>
  <c r="AU235" i="3"/>
  <c r="AV235" i="3" a="1"/>
  <c r="AW235" i="3"/>
  <c r="AX235" i="3"/>
  <c r="AY235" i="3"/>
  <c r="AZ235" i="3"/>
  <c r="BA235" i="3"/>
  <c r="BB235" i="3"/>
  <c r="BC235" i="3"/>
  <c r="BD235" i="3"/>
  <c r="BE235" i="3" a="1"/>
  <c r="BF235" i="3"/>
  <c r="BG235" i="3"/>
  <c r="BH235" i="3" a="1"/>
  <c r="BI235" i="3"/>
  <c r="BJ235" i="3" a="1"/>
  <c r="BK235" i="3" a="1"/>
  <c r="BL235" i="3"/>
  <c r="BM235" i="3"/>
  <c r="B236" i="3"/>
  <c r="C236" i="3"/>
  <c r="D236" i="3"/>
  <c r="E236" i="3"/>
  <c r="F236" i="3"/>
  <c r="G236" i="3"/>
  <c r="H236" i="3"/>
  <c r="I236" i="3"/>
  <c r="J236" i="3"/>
  <c r="K236" i="3"/>
  <c r="L236" i="3"/>
  <c r="M236" i="3" a="1"/>
  <c r="N236" i="3"/>
  <c r="O236" i="3"/>
  <c r="P236" i="3"/>
  <c r="Q236" i="3" a="1"/>
  <c r="R236" i="3"/>
  <c r="S236" i="3"/>
  <c r="T236" i="3"/>
  <c r="U236" i="3"/>
  <c r="V236" i="3" a="1"/>
  <c r="W236" i="3" a="1"/>
  <c r="X236" i="3"/>
  <c r="Y236" i="3"/>
  <c r="Z236" i="3"/>
  <c r="AA236" i="3"/>
  <c r="AB236" i="3" a="1"/>
  <c r="AC236" i="3"/>
  <c r="AD236" i="3" a="1"/>
  <c r="AE236" i="3"/>
  <c r="AG236" i="3"/>
  <c r="AH236" i="3"/>
  <c r="AI236" i="3"/>
  <c r="AJ236" i="3"/>
  <c r="AK236" i="3"/>
  <c r="AL236" i="3"/>
  <c r="AM236" i="3"/>
  <c r="AN236" i="3"/>
  <c r="AO236" i="3"/>
  <c r="AP236" i="3"/>
  <c r="AQ236" i="3" a="1"/>
  <c r="AR236" i="3" a="1"/>
  <c r="AS236" i="3"/>
  <c r="AT236" i="3" a="1"/>
  <c r="AU236" i="3"/>
  <c r="AV236" i="3" a="1"/>
  <c r="AW236" i="3"/>
  <c r="AX236" i="3"/>
  <c r="AY236" i="3"/>
  <c r="AZ236" i="3"/>
  <c r="BA236" i="3"/>
  <c r="BB236" i="3"/>
  <c r="BC236" i="3"/>
  <c r="BD236" i="3"/>
  <c r="BE236" i="3" a="1"/>
  <c r="BF236" i="3"/>
  <c r="BG236" i="3"/>
  <c r="BH236" i="3" a="1"/>
  <c r="BI236" i="3"/>
  <c r="BJ236" i="3" a="1"/>
  <c r="BK236" i="3" a="1"/>
  <c r="BL236" i="3"/>
  <c r="BM236" i="3"/>
  <c r="B237" i="3"/>
  <c r="C237" i="3"/>
  <c r="D237" i="3"/>
  <c r="E237" i="3"/>
  <c r="F237" i="3"/>
  <c r="G237" i="3"/>
  <c r="H237" i="3"/>
  <c r="I237" i="3"/>
  <c r="J237" i="3"/>
  <c r="K237" i="3"/>
  <c r="L237" i="3"/>
  <c r="M237" i="3" a="1"/>
  <c r="N237" i="3"/>
  <c r="O237" i="3"/>
  <c r="P237" i="3"/>
  <c r="Q237" i="3" a="1"/>
  <c r="R237" i="3"/>
  <c r="S237" i="3"/>
  <c r="T237" i="3"/>
  <c r="U237" i="3"/>
  <c r="V237" i="3" a="1"/>
  <c r="W237" i="3" a="1"/>
  <c r="X237" i="3"/>
  <c r="Y237" i="3"/>
  <c r="Z237" i="3"/>
  <c r="AA237" i="3"/>
  <c r="AB237" i="3" a="1"/>
  <c r="AC237" i="3"/>
  <c r="AD237" i="3" a="1"/>
  <c r="AE237" i="3"/>
  <c r="AG237" i="3"/>
  <c r="AH237" i="3"/>
  <c r="AI237" i="3"/>
  <c r="AJ237" i="3"/>
  <c r="AK237" i="3"/>
  <c r="AL237" i="3"/>
  <c r="AM237" i="3"/>
  <c r="AN237" i="3"/>
  <c r="AO237" i="3"/>
  <c r="AP237" i="3"/>
  <c r="AQ237" i="3" a="1"/>
  <c r="AR237" i="3" a="1"/>
  <c r="AS237" i="3"/>
  <c r="AT237" i="3" a="1"/>
  <c r="AU237" i="3"/>
  <c r="AV237" i="3" a="1"/>
  <c r="AW237" i="3"/>
  <c r="AX237" i="3"/>
  <c r="AY237" i="3"/>
  <c r="AZ237" i="3"/>
  <c r="BA237" i="3"/>
  <c r="BB237" i="3"/>
  <c r="BC237" i="3"/>
  <c r="BD237" i="3"/>
  <c r="BE237" i="3" a="1"/>
  <c r="BF237" i="3"/>
  <c r="BG237" i="3"/>
  <c r="BH237" i="3" a="1"/>
  <c r="BI237" i="3"/>
  <c r="BJ237" i="3" a="1"/>
  <c r="BK237" i="3" a="1"/>
  <c r="BL237" i="3"/>
  <c r="BM237" i="3"/>
  <c r="B238" i="3"/>
  <c r="C238" i="3"/>
  <c r="D238" i="3"/>
  <c r="E238" i="3"/>
  <c r="F238" i="3"/>
  <c r="G238" i="3"/>
  <c r="H238" i="3"/>
  <c r="I238" i="3"/>
  <c r="J238" i="3"/>
  <c r="K238" i="3"/>
  <c r="L238" i="3"/>
  <c r="M238" i="3" a="1"/>
  <c r="N238" i="3"/>
  <c r="O238" i="3"/>
  <c r="P238" i="3"/>
  <c r="Q238" i="3" a="1"/>
  <c r="R238" i="3"/>
  <c r="S238" i="3"/>
  <c r="T238" i="3"/>
  <c r="U238" i="3"/>
  <c r="V238" i="3" a="1"/>
  <c r="W238" i="3" a="1"/>
  <c r="X238" i="3"/>
  <c r="Y238" i="3"/>
  <c r="Z238" i="3"/>
  <c r="AA238" i="3"/>
  <c r="AB238" i="3" a="1"/>
  <c r="AC238" i="3"/>
  <c r="AD238" i="3" a="1"/>
  <c r="AE238" i="3"/>
  <c r="AG238" i="3"/>
  <c r="AH238" i="3"/>
  <c r="AI238" i="3"/>
  <c r="AJ238" i="3"/>
  <c r="AK238" i="3"/>
  <c r="AL238" i="3"/>
  <c r="AM238" i="3"/>
  <c r="AN238" i="3"/>
  <c r="AO238" i="3"/>
  <c r="AP238" i="3"/>
  <c r="AQ238" i="3" a="1"/>
  <c r="AR238" i="3" a="1"/>
  <c r="AS238" i="3"/>
  <c r="AT238" i="3" a="1"/>
  <c r="AU238" i="3"/>
  <c r="AV238" i="3" a="1"/>
  <c r="AW238" i="3"/>
  <c r="AX238" i="3"/>
  <c r="AY238" i="3"/>
  <c r="AZ238" i="3"/>
  <c r="BA238" i="3"/>
  <c r="BB238" i="3"/>
  <c r="BC238" i="3"/>
  <c r="BD238" i="3"/>
  <c r="BE238" i="3" a="1"/>
  <c r="BF238" i="3"/>
  <c r="BG238" i="3"/>
  <c r="BH238" i="3" a="1"/>
  <c r="BI238" i="3"/>
  <c r="BJ238" i="3" a="1"/>
  <c r="BK238" i="3" a="1"/>
  <c r="BL238" i="3"/>
  <c r="BM238" i="3"/>
  <c r="B239" i="3"/>
  <c r="C239" i="3"/>
  <c r="D239" i="3"/>
  <c r="E239" i="3"/>
  <c r="F239" i="3"/>
  <c r="G239" i="3"/>
  <c r="H239" i="3"/>
  <c r="I239" i="3"/>
  <c r="J239" i="3"/>
  <c r="K239" i="3"/>
  <c r="L239" i="3"/>
  <c r="M239" i="3" a="1"/>
  <c r="N239" i="3"/>
  <c r="O239" i="3"/>
  <c r="P239" i="3"/>
  <c r="Q239" i="3" a="1"/>
  <c r="R239" i="3"/>
  <c r="S239" i="3"/>
  <c r="T239" i="3"/>
  <c r="U239" i="3"/>
  <c r="V239" i="3" a="1"/>
  <c r="W239" i="3" a="1"/>
  <c r="X239" i="3"/>
  <c r="Y239" i="3"/>
  <c r="Z239" i="3"/>
  <c r="AA239" i="3"/>
  <c r="AB239" i="3" a="1"/>
  <c r="AC239" i="3"/>
  <c r="AD239" i="3" a="1"/>
  <c r="AE239" i="3"/>
  <c r="AG239" i="3"/>
  <c r="AH239" i="3"/>
  <c r="AI239" i="3"/>
  <c r="AJ239" i="3"/>
  <c r="AK239" i="3"/>
  <c r="AL239" i="3"/>
  <c r="AM239" i="3"/>
  <c r="AN239" i="3"/>
  <c r="AO239" i="3"/>
  <c r="AP239" i="3"/>
  <c r="AQ239" i="3" a="1"/>
  <c r="AR239" i="3" a="1"/>
  <c r="AS239" i="3"/>
  <c r="AT239" i="3" a="1"/>
  <c r="AU239" i="3"/>
  <c r="AV239" i="3" a="1"/>
  <c r="AW239" i="3"/>
  <c r="AX239" i="3"/>
  <c r="AY239" i="3"/>
  <c r="AZ239" i="3"/>
  <c r="BA239" i="3"/>
  <c r="BB239" i="3"/>
  <c r="BC239" i="3"/>
  <c r="BD239" i="3"/>
  <c r="BE239" i="3" a="1"/>
  <c r="BF239" i="3"/>
  <c r="BG239" i="3"/>
  <c r="BH239" i="3" a="1"/>
  <c r="BI239" i="3"/>
  <c r="BJ239" i="3" a="1"/>
  <c r="BK239" i="3" a="1"/>
  <c r="BL239" i="3"/>
  <c r="BM239" i="3"/>
  <c r="B240" i="3"/>
  <c r="C240" i="3"/>
  <c r="D240" i="3"/>
  <c r="E240" i="3"/>
  <c r="F240" i="3"/>
  <c r="G240" i="3"/>
  <c r="H240" i="3"/>
  <c r="I240" i="3"/>
  <c r="J240" i="3"/>
  <c r="K240" i="3"/>
  <c r="L240" i="3"/>
  <c r="M240" i="3" a="1"/>
  <c r="N240" i="3"/>
  <c r="O240" i="3"/>
  <c r="P240" i="3"/>
  <c r="Q240" i="3" a="1"/>
  <c r="R240" i="3"/>
  <c r="S240" i="3"/>
  <c r="T240" i="3"/>
  <c r="U240" i="3"/>
  <c r="V240" i="3" a="1"/>
  <c r="W240" i="3" a="1"/>
  <c r="X240" i="3"/>
  <c r="Y240" i="3"/>
  <c r="Z240" i="3"/>
  <c r="AA240" i="3"/>
  <c r="AB240" i="3" a="1"/>
  <c r="AC240" i="3"/>
  <c r="AD240" i="3" a="1"/>
  <c r="AE240" i="3"/>
  <c r="AG240" i="3"/>
  <c r="AH240" i="3"/>
  <c r="AI240" i="3"/>
  <c r="AJ240" i="3"/>
  <c r="AK240" i="3"/>
  <c r="AL240" i="3"/>
  <c r="AM240" i="3"/>
  <c r="AN240" i="3"/>
  <c r="AO240" i="3"/>
  <c r="AP240" i="3"/>
  <c r="AQ240" i="3" a="1"/>
  <c r="AR240" i="3" a="1"/>
  <c r="AS240" i="3"/>
  <c r="AT240" i="3" a="1"/>
  <c r="AU240" i="3"/>
  <c r="AV240" i="3" a="1"/>
  <c r="AW240" i="3"/>
  <c r="AX240" i="3"/>
  <c r="AY240" i="3"/>
  <c r="AZ240" i="3"/>
  <c r="BA240" i="3"/>
  <c r="BB240" i="3"/>
  <c r="BC240" i="3"/>
  <c r="BD240" i="3"/>
  <c r="BE240" i="3" a="1"/>
  <c r="BF240" i="3"/>
  <c r="BG240" i="3"/>
  <c r="BH240" i="3" a="1"/>
  <c r="BI240" i="3"/>
  <c r="BJ240" i="3" a="1"/>
  <c r="BK240" i="3" a="1"/>
  <c r="BL240" i="3"/>
  <c r="BM240" i="3"/>
  <c r="B241" i="3"/>
  <c r="C241" i="3"/>
  <c r="D241" i="3"/>
  <c r="E241" i="3"/>
  <c r="F241" i="3"/>
  <c r="G241" i="3"/>
  <c r="H241" i="3"/>
  <c r="I241" i="3"/>
  <c r="J241" i="3"/>
  <c r="K241" i="3"/>
  <c r="L241" i="3"/>
  <c r="M241" i="3" a="1"/>
  <c r="N241" i="3"/>
  <c r="O241" i="3"/>
  <c r="P241" i="3"/>
  <c r="Q241" i="3" a="1"/>
  <c r="R241" i="3"/>
  <c r="S241" i="3"/>
  <c r="T241" i="3"/>
  <c r="U241" i="3"/>
  <c r="V241" i="3" a="1"/>
  <c r="W241" i="3" a="1"/>
  <c r="X241" i="3"/>
  <c r="Y241" i="3"/>
  <c r="Z241" i="3"/>
  <c r="AA241" i="3"/>
  <c r="AB241" i="3" a="1"/>
  <c r="AC241" i="3"/>
  <c r="AD241" i="3" a="1"/>
  <c r="AE241" i="3"/>
  <c r="AG241" i="3"/>
  <c r="AH241" i="3"/>
  <c r="AI241" i="3"/>
  <c r="AJ241" i="3"/>
  <c r="AK241" i="3"/>
  <c r="AL241" i="3"/>
  <c r="AM241" i="3"/>
  <c r="AN241" i="3"/>
  <c r="AO241" i="3"/>
  <c r="AP241" i="3"/>
  <c r="AQ241" i="3" a="1"/>
  <c r="AR241" i="3" a="1"/>
  <c r="AS241" i="3"/>
  <c r="AT241" i="3" a="1"/>
  <c r="AU241" i="3"/>
  <c r="AV241" i="3" a="1"/>
  <c r="AW241" i="3"/>
  <c r="AX241" i="3"/>
  <c r="AY241" i="3"/>
  <c r="AZ241" i="3"/>
  <c r="BA241" i="3"/>
  <c r="BB241" i="3"/>
  <c r="BC241" i="3"/>
  <c r="BD241" i="3"/>
  <c r="BE241" i="3" a="1"/>
  <c r="BF241" i="3"/>
  <c r="BG241" i="3"/>
  <c r="BH241" i="3" a="1"/>
  <c r="BI241" i="3"/>
  <c r="BJ241" i="3" a="1"/>
  <c r="BK241" i="3" a="1"/>
  <c r="BL241" i="3"/>
  <c r="BM241" i="3"/>
  <c r="B242" i="3"/>
  <c r="C242" i="3"/>
  <c r="D242" i="3"/>
  <c r="E242" i="3"/>
  <c r="F242" i="3"/>
  <c r="G242" i="3"/>
  <c r="H242" i="3"/>
  <c r="I242" i="3"/>
  <c r="J242" i="3"/>
  <c r="K242" i="3"/>
  <c r="L242" i="3"/>
  <c r="M242" i="3" a="1"/>
  <c r="N242" i="3"/>
  <c r="O242" i="3"/>
  <c r="P242" i="3"/>
  <c r="Q242" i="3" a="1"/>
  <c r="R242" i="3"/>
  <c r="S242" i="3"/>
  <c r="T242" i="3"/>
  <c r="U242" i="3"/>
  <c r="V242" i="3" a="1"/>
  <c r="W242" i="3" a="1"/>
  <c r="X242" i="3"/>
  <c r="Y242" i="3"/>
  <c r="Z242" i="3"/>
  <c r="AA242" i="3"/>
  <c r="AB242" i="3" a="1"/>
  <c r="AC242" i="3"/>
  <c r="AD242" i="3" a="1"/>
  <c r="AE242" i="3"/>
  <c r="AG242" i="3"/>
  <c r="AH242" i="3"/>
  <c r="AI242" i="3"/>
  <c r="AJ242" i="3"/>
  <c r="AK242" i="3"/>
  <c r="AL242" i="3"/>
  <c r="AM242" i="3"/>
  <c r="AN242" i="3"/>
  <c r="AO242" i="3"/>
  <c r="AP242" i="3"/>
  <c r="AQ242" i="3" a="1"/>
  <c r="AR242" i="3" a="1"/>
  <c r="AS242" i="3"/>
  <c r="AT242" i="3" a="1"/>
  <c r="AU242" i="3"/>
  <c r="AV242" i="3" a="1"/>
  <c r="AW242" i="3"/>
  <c r="AX242" i="3"/>
  <c r="AY242" i="3"/>
  <c r="AZ242" i="3"/>
  <c r="BA242" i="3"/>
  <c r="BB242" i="3"/>
  <c r="BC242" i="3"/>
  <c r="BD242" i="3"/>
  <c r="BE242" i="3" a="1"/>
  <c r="BF242" i="3"/>
  <c r="BG242" i="3"/>
  <c r="BH242" i="3" a="1"/>
  <c r="BI242" i="3"/>
  <c r="BJ242" i="3" a="1"/>
  <c r="BK242" i="3" a="1"/>
  <c r="BL242" i="3"/>
  <c r="BM242" i="3"/>
  <c r="B243" i="3"/>
  <c r="C243" i="3"/>
  <c r="D243" i="3"/>
  <c r="E243" i="3"/>
  <c r="F243" i="3"/>
  <c r="G243" i="3"/>
  <c r="H243" i="3"/>
  <c r="I243" i="3"/>
  <c r="J243" i="3"/>
  <c r="K243" i="3"/>
  <c r="L243" i="3"/>
  <c r="M243" i="3" a="1"/>
  <c r="N243" i="3"/>
  <c r="O243" i="3"/>
  <c r="P243" i="3"/>
  <c r="Q243" i="3" a="1"/>
  <c r="R243" i="3"/>
  <c r="S243" i="3"/>
  <c r="T243" i="3"/>
  <c r="U243" i="3"/>
  <c r="V243" i="3" a="1"/>
  <c r="W243" i="3" a="1"/>
  <c r="X243" i="3"/>
  <c r="Y243" i="3"/>
  <c r="Z243" i="3"/>
  <c r="AA243" i="3"/>
  <c r="AB243" i="3" a="1"/>
  <c r="AC243" i="3"/>
  <c r="AD243" i="3" a="1"/>
  <c r="AE243" i="3"/>
  <c r="AG243" i="3"/>
  <c r="AH243" i="3"/>
  <c r="AI243" i="3"/>
  <c r="AJ243" i="3"/>
  <c r="AK243" i="3"/>
  <c r="AL243" i="3"/>
  <c r="AM243" i="3"/>
  <c r="AN243" i="3"/>
  <c r="AO243" i="3"/>
  <c r="AP243" i="3"/>
  <c r="AQ243" i="3" a="1"/>
  <c r="AR243" i="3" a="1"/>
  <c r="AS243" i="3"/>
  <c r="AT243" i="3" a="1"/>
  <c r="AU243" i="3"/>
  <c r="AV243" i="3" a="1"/>
  <c r="AW243" i="3"/>
  <c r="AX243" i="3"/>
  <c r="AY243" i="3"/>
  <c r="AZ243" i="3"/>
  <c r="BA243" i="3"/>
  <c r="BB243" i="3"/>
  <c r="BC243" i="3"/>
  <c r="BD243" i="3"/>
  <c r="BE243" i="3" a="1"/>
  <c r="BF243" i="3"/>
  <c r="BG243" i="3"/>
  <c r="BH243" i="3" a="1"/>
  <c r="BI243" i="3"/>
  <c r="BJ243" i="3" a="1"/>
  <c r="BK243" i="3" a="1"/>
  <c r="BL243" i="3"/>
  <c r="BM243" i="3"/>
  <c r="B244" i="3"/>
  <c r="C244" i="3"/>
  <c r="D244" i="3"/>
  <c r="E244" i="3"/>
  <c r="F244" i="3"/>
  <c r="G244" i="3"/>
  <c r="H244" i="3"/>
  <c r="I244" i="3"/>
  <c r="J244" i="3"/>
  <c r="K244" i="3"/>
  <c r="L244" i="3"/>
  <c r="M244" i="3" a="1"/>
  <c r="N244" i="3"/>
  <c r="O244" i="3"/>
  <c r="P244" i="3"/>
  <c r="Q244" i="3" a="1"/>
  <c r="R244" i="3"/>
  <c r="S244" i="3"/>
  <c r="T244" i="3"/>
  <c r="U244" i="3"/>
  <c r="V244" i="3" a="1"/>
  <c r="W244" i="3" a="1"/>
  <c r="X244" i="3"/>
  <c r="Y244" i="3"/>
  <c r="Z244" i="3"/>
  <c r="AA244" i="3"/>
  <c r="AB244" i="3" a="1"/>
  <c r="AC244" i="3"/>
  <c r="AD244" i="3" a="1"/>
  <c r="AE244" i="3"/>
  <c r="AG244" i="3"/>
  <c r="AH244" i="3"/>
  <c r="AI244" i="3"/>
  <c r="AJ244" i="3"/>
  <c r="AK244" i="3"/>
  <c r="AL244" i="3"/>
  <c r="AM244" i="3"/>
  <c r="AN244" i="3"/>
  <c r="AO244" i="3"/>
  <c r="AP244" i="3"/>
  <c r="AQ244" i="3" a="1"/>
  <c r="AR244" i="3" a="1"/>
  <c r="AS244" i="3"/>
  <c r="AT244" i="3" a="1"/>
  <c r="AU244" i="3"/>
  <c r="AV244" i="3" a="1"/>
  <c r="AW244" i="3"/>
  <c r="AX244" i="3"/>
  <c r="AY244" i="3"/>
  <c r="AZ244" i="3"/>
  <c r="BA244" i="3"/>
  <c r="BB244" i="3"/>
  <c r="BC244" i="3"/>
  <c r="BD244" i="3"/>
  <c r="BE244" i="3" a="1"/>
  <c r="BF244" i="3"/>
  <c r="BG244" i="3"/>
  <c r="BH244" i="3" a="1"/>
  <c r="BI244" i="3"/>
  <c r="BJ244" i="3" a="1"/>
  <c r="BK244" i="3" a="1"/>
  <c r="BL244" i="3"/>
  <c r="BM244" i="3"/>
  <c r="B245" i="3"/>
  <c r="C245" i="3"/>
  <c r="D245" i="3"/>
  <c r="E245" i="3"/>
  <c r="F245" i="3"/>
  <c r="G245" i="3"/>
  <c r="H245" i="3"/>
  <c r="I245" i="3"/>
  <c r="J245" i="3"/>
  <c r="K245" i="3"/>
  <c r="L245" i="3"/>
  <c r="M245" i="3" a="1"/>
  <c r="N245" i="3"/>
  <c r="O245" i="3"/>
  <c r="P245" i="3"/>
  <c r="Q245" i="3" a="1"/>
  <c r="R245" i="3"/>
  <c r="S245" i="3"/>
  <c r="T245" i="3"/>
  <c r="U245" i="3"/>
  <c r="V245" i="3" a="1"/>
  <c r="W245" i="3" a="1"/>
  <c r="X245" i="3"/>
  <c r="Y245" i="3"/>
  <c r="Z245" i="3"/>
  <c r="AA245" i="3"/>
  <c r="AB245" i="3" a="1"/>
  <c r="AC245" i="3"/>
  <c r="AD245" i="3" a="1"/>
  <c r="AE245" i="3"/>
  <c r="AG245" i="3"/>
  <c r="AH245" i="3"/>
  <c r="AI245" i="3"/>
  <c r="AJ245" i="3"/>
  <c r="AK245" i="3"/>
  <c r="AL245" i="3"/>
  <c r="AM245" i="3"/>
  <c r="AN245" i="3"/>
  <c r="AO245" i="3"/>
  <c r="AP245" i="3"/>
  <c r="AQ245" i="3" a="1"/>
  <c r="AR245" i="3" a="1"/>
  <c r="AS245" i="3"/>
  <c r="AT245" i="3" a="1"/>
  <c r="AU245" i="3"/>
  <c r="AV245" i="3" a="1"/>
  <c r="AW245" i="3"/>
  <c r="AX245" i="3"/>
  <c r="AY245" i="3"/>
  <c r="AZ245" i="3"/>
  <c r="BA245" i="3"/>
  <c r="BB245" i="3"/>
  <c r="BC245" i="3"/>
  <c r="BD245" i="3"/>
  <c r="BE245" i="3" a="1"/>
  <c r="BF245" i="3"/>
  <c r="BG245" i="3"/>
  <c r="BH245" i="3" a="1"/>
  <c r="BI245" i="3"/>
  <c r="BJ245" i="3" a="1"/>
  <c r="BK245" i="3" a="1"/>
  <c r="BL245" i="3"/>
  <c r="BM245" i="3"/>
  <c r="B246" i="3"/>
  <c r="C246" i="3"/>
  <c r="D246" i="3"/>
  <c r="E246" i="3"/>
  <c r="F246" i="3"/>
  <c r="G246" i="3"/>
  <c r="H246" i="3"/>
  <c r="I246" i="3"/>
  <c r="J246" i="3"/>
  <c r="K246" i="3"/>
  <c r="L246" i="3"/>
  <c r="M246" i="3" a="1"/>
  <c r="N246" i="3"/>
  <c r="O246" i="3"/>
  <c r="P246" i="3"/>
  <c r="Q246" i="3" a="1"/>
  <c r="R246" i="3"/>
  <c r="S246" i="3"/>
  <c r="T246" i="3"/>
  <c r="U246" i="3"/>
  <c r="V246" i="3" a="1"/>
  <c r="W246" i="3" a="1"/>
  <c r="X246" i="3"/>
  <c r="Y246" i="3"/>
  <c r="Z246" i="3"/>
  <c r="AA246" i="3"/>
  <c r="AB246" i="3" a="1"/>
  <c r="AC246" i="3"/>
  <c r="AD246" i="3" a="1"/>
  <c r="AE246" i="3"/>
  <c r="AG246" i="3"/>
  <c r="AH246" i="3"/>
  <c r="AI246" i="3"/>
  <c r="AJ246" i="3"/>
  <c r="AK246" i="3"/>
  <c r="AL246" i="3"/>
  <c r="AM246" i="3"/>
  <c r="AN246" i="3"/>
  <c r="AO246" i="3"/>
  <c r="AP246" i="3"/>
  <c r="AQ246" i="3" a="1"/>
  <c r="AR246" i="3" a="1"/>
  <c r="AS246" i="3"/>
  <c r="AT246" i="3" a="1"/>
  <c r="AU246" i="3"/>
  <c r="AV246" i="3" a="1"/>
  <c r="AW246" i="3"/>
  <c r="AX246" i="3"/>
  <c r="AY246" i="3"/>
  <c r="AZ246" i="3"/>
  <c r="BA246" i="3"/>
  <c r="BB246" i="3"/>
  <c r="BC246" i="3"/>
  <c r="BD246" i="3"/>
  <c r="BE246" i="3" a="1"/>
  <c r="BF246" i="3"/>
  <c r="BG246" i="3"/>
  <c r="BH246" i="3" a="1"/>
  <c r="BI246" i="3"/>
  <c r="BJ246" i="3" a="1"/>
  <c r="BK246" i="3" a="1"/>
  <c r="BL246" i="3"/>
  <c r="BM246" i="3"/>
  <c r="B247" i="3"/>
  <c r="C247" i="3"/>
  <c r="D247" i="3"/>
  <c r="E247" i="3"/>
  <c r="F247" i="3"/>
  <c r="G247" i="3"/>
  <c r="H247" i="3"/>
  <c r="I247" i="3"/>
  <c r="J247" i="3"/>
  <c r="K247" i="3"/>
  <c r="L247" i="3"/>
  <c r="M247" i="3" a="1"/>
  <c r="N247" i="3"/>
  <c r="O247" i="3"/>
  <c r="P247" i="3"/>
  <c r="Q247" i="3" a="1"/>
  <c r="R247" i="3"/>
  <c r="S247" i="3"/>
  <c r="T247" i="3"/>
  <c r="U247" i="3"/>
  <c r="V247" i="3" a="1"/>
  <c r="W247" i="3" a="1"/>
  <c r="X247" i="3"/>
  <c r="Y247" i="3"/>
  <c r="Z247" i="3"/>
  <c r="AA247" i="3"/>
  <c r="AB247" i="3" a="1"/>
  <c r="AC247" i="3"/>
  <c r="AD247" i="3" a="1"/>
  <c r="AE247" i="3"/>
  <c r="AG247" i="3"/>
  <c r="AH247" i="3"/>
  <c r="AI247" i="3"/>
  <c r="AJ247" i="3"/>
  <c r="AK247" i="3"/>
  <c r="AL247" i="3"/>
  <c r="AM247" i="3"/>
  <c r="AN247" i="3"/>
  <c r="AO247" i="3"/>
  <c r="AP247" i="3"/>
  <c r="AQ247" i="3" a="1"/>
  <c r="AR247" i="3" a="1"/>
  <c r="AS247" i="3"/>
  <c r="AT247" i="3" a="1"/>
  <c r="AU247" i="3"/>
  <c r="AV247" i="3" a="1"/>
  <c r="AW247" i="3"/>
  <c r="AX247" i="3"/>
  <c r="AY247" i="3"/>
  <c r="AZ247" i="3"/>
  <c r="BA247" i="3"/>
  <c r="BB247" i="3"/>
  <c r="BC247" i="3"/>
  <c r="BD247" i="3"/>
  <c r="BE247" i="3" a="1"/>
  <c r="BF247" i="3"/>
  <c r="BG247" i="3"/>
  <c r="BH247" i="3" a="1"/>
  <c r="BI247" i="3"/>
  <c r="BJ247" i="3" a="1"/>
  <c r="BK247" i="3" a="1"/>
  <c r="BL247" i="3"/>
  <c r="BM247" i="3"/>
  <c r="B248" i="3"/>
  <c r="C248" i="3"/>
  <c r="D248" i="3"/>
  <c r="E248" i="3"/>
  <c r="F248" i="3"/>
  <c r="G248" i="3"/>
  <c r="H248" i="3"/>
  <c r="I248" i="3"/>
  <c r="J248" i="3"/>
  <c r="K248" i="3"/>
  <c r="L248" i="3"/>
  <c r="M248" i="3" a="1"/>
  <c r="N248" i="3"/>
  <c r="O248" i="3"/>
  <c r="P248" i="3"/>
  <c r="Q248" i="3" a="1"/>
  <c r="R248" i="3"/>
  <c r="S248" i="3"/>
  <c r="T248" i="3"/>
  <c r="U248" i="3"/>
  <c r="V248" i="3" a="1"/>
  <c r="W248" i="3" a="1"/>
  <c r="X248" i="3"/>
  <c r="Y248" i="3"/>
  <c r="Z248" i="3"/>
  <c r="AA248" i="3"/>
  <c r="AB248" i="3" a="1"/>
  <c r="AC248" i="3"/>
  <c r="AD248" i="3" a="1"/>
  <c r="AE248" i="3"/>
  <c r="AG248" i="3"/>
  <c r="AH248" i="3"/>
  <c r="AI248" i="3"/>
  <c r="AJ248" i="3"/>
  <c r="AK248" i="3"/>
  <c r="AL248" i="3"/>
  <c r="AM248" i="3"/>
  <c r="AN248" i="3"/>
  <c r="AO248" i="3"/>
  <c r="AP248" i="3"/>
  <c r="AQ248" i="3" a="1"/>
  <c r="AR248" i="3" a="1"/>
  <c r="AS248" i="3"/>
  <c r="AT248" i="3" a="1"/>
  <c r="AU248" i="3"/>
  <c r="AV248" i="3" a="1"/>
  <c r="AW248" i="3"/>
  <c r="AX248" i="3"/>
  <c r="AY248" i="3"/>
  <c r="AZ248" i="3"/>
  <c r="BA248" i="3"/>
  <c r="BB248" i="3"/>
  <c r="BC248" i="3"/>
  <c r="BD248" i="3"/>
  <c r="BE248" i="3" a="1"/>
  <c r="BF248" i="3"/>
  <c r="BG248" i="3"/>
  <c r="BH248" i="3" a="1"/>
  <c r="BI248" i="3"/>
  <c r="BJ248" i="3" a="1"/>
  <c r="BK248" i="3" a="1"/>
  <c r="BL248" i="3"/>
  <c r="BM248" i="3"/>
  <c r="B249" i="3"/>
  <c r="C249" i="3"/>
  <c r="D249" i="3"/>
  <c r="E249" i="3"/>
  <c r="F249" i="3"/>
  <c r="G249" i="3"/>
  <c r="H249" i="3"/>
  <c r="I249" i="3"/>
  <c r="J249" i="3"/>
  <c r="K249" i="3"/>
  <c r="L249" i="3"/>
  <c r="M249" i="3" a="1"/>
  <c r="N249" i="3"/>
  <c r="O249" i="3"/>
  <c r="P249" i="3"/>
  <c r="Q249" i="3" a="1"/>
  <c r="R249" i="3"/>
  <c r="S249" i="3"/>
  <c r="T249" i="3"/>
  <c r="U249" i="3"/>
  <c r="V249" i="3" a="1"/>
  <c r="W249" i="3" a="1"/>
  <c r="X249" i="3"/>
  <c r="Y249" i="3"/>
  <c r="Z249" i="3"/>
  <c r="AA249" i="3"/>
  <c r="AB249" i="3" a="1"/>
  <c r="AC249" i="3"/>
  <c r="AD249" i="3" a="1"/>
  <c r="AE249" i="3"/>
  <c r="AG249" i="3"/>
  <c r="AH249" i="3"/>
  <c r="AI249" i="3"/>
  <c r="AJ249" i="3"/>
  <c r="AK249" i="3"/>
  <c r="AL249" i="3"/>
  <c r="AM249" i="3"/>
  <c r="AN249" i="3"/>
  <c r="AO249" i="3"/>
  <c r="AP249" i="3"/>
  <c r="AQ249" i="3" a="1"/>
  <c r="AR249" i="3" a="1"/>
  <c r="AS249" i="3"/>
  <c r="AT249" i="3" a="1"/>
  <c r="AU249" i="3"/>
  <c r="AV249" i="3" a="1"/>
  <c r="AW249" i="3"/>
  <c r="AX249" i="3"/>
  <c r="AY249" i="3"/>
  <c r="AZ249" i="3"/>
  <c r="BA249" i="3"/>
  <c r="BB249" i="3"/>
  <c r="BC249" i="3"/>
  <c r="BD249" i="3"/>
  <c r="BE249" i="3" a="1"/>
  <c r="BF249" i="3"/>
  <c r="BG249" i="3"/>
  <c r="BH249" i="3" a="1"/>
  <c r="BI249" i="3"/>
  <c r="BJ249" i="3" a="1"/>
  <c r="BK249" i="3" a="1"/>
  <c r="BL249" i="3"/>
  <c r="BM249" i="3"/>
  <c r="B250" i="3"/>
  <c r="C250" i="3"/>
  <c r="D250" i="3"/>
  <c r="E250" i="3"/>
  <c r="F250" i="3"/>
  <c r="G250" i="3"/>
  <c r="H250" i="3"/>
  <c r="I250" i="3"/>
  <c r="J250" i="3"/>
  <c r="K250" i="3"/>
  <c r="L250" i="3"/>
  <c r="M250" i="3" a="1"/>
  <c r="N250" i="3"/>
  <c r="O250" i="3"/>
  <c r="P250" i="3"/>
  <c r="Q250" i="3" a="1"/>
  <c r="R250" i="3"/>
  <c r="S250" i="3"/>
  <c r="T250" i="3"/>
  <c r="U250" i="3"/>
  <c r="V250" i="3" a="1"/>
  <c r="W250" i="3" a="1"/>
  <c r="X250" i="3"/>
  <c r="Y250" i="3"/>
  <c r="Z250" i="3"/>
  <c r="AA250" i="3"/>
  <c r="AB250" i="3" a="1"/>
  <c r="AC250" i="3"/>
  <c r="AD250" i="3" a="1"/>
  <c r="AE250" i="3"/>
  <c r="AG250" i="3"/>
  <c r="AH250" i="3"/>
  <c r="AI250" i="3"/>
  <c r="AJ250" i="3"/>
  <c r="AK250" i="3"/>
  <c r="AL250" i="3"/>
  <c r="AM250" i="3"/>
  <c r="AN250" i="3"/>
  <c r="AO250" i="3"/>
  <c r="AP250" i="3"/>
  <c r="AQ250" i="3" a="1"/>
  <c r="AR250" i="3" a="1"/>
  <c r="AS250" i="3"/>
  <c r="AT250" i="3" a="1"/>
  <c r="AU250" i="3"/>
  <c r="AV250" i="3" a="1"/>
  <c r="AW250" i="3"/>
  <c r="AX250" i="3"/>
  <c r="AY250" i="3"/>
  <c r="AZ250" i="3"/>
  <c r="BA250" i="3"/>
  <c r="BB250" i="3"/>
  <c r="BC250" i="3"/>
  <c r="BD250" i="3"/>
  <c r="BE250" i="3" a="1"/>
  <c r="BF250" i="3"/>
  <c r="BG250" i="3"/>
  <c r="BH250" i="3" a="1"/>
  <c r="BI250" i="3"/>
  <c r="BJ250" i="3" a="1"/>
  <c r="BK250" i="3" a="1"/>
  <c r="BL250" i="3"/>
  <c r="BM250" i="3"/>
  <c r="B251" i="3"/>
  <c r="C251" i="3"/>
  <c r="D251" i="3"/>
  <c r="E251" i="3"/>
  <c r="F251" i="3"/>
  <c r="G251" i="3"/>
  <c r="H251" i="3"/>
  <c r="I251" i="3"/>
  <c r="J251" i="3"/>
  <c r="K251" i="3"/>
  <c r="L251" i="3"/>
  <c r="M251" i="3" a="1"/>
  <c r="N251" i="3"/>
  <c r="O251" i="3"/>
  <c r="P251" i="3"/>
  <c r="Q251" i="3" a="1"/>
  <c r="R251" i="3"/>
  <c r="S251" i="3"/>
  <c r="T251" i="3"/>
  <c r="U251" i="3"/>
  <c r="V251" i="3" a="1"/>
  <c r="W251" i="3" a="1"/>
  <c r="X251" i="3"/>
  <c r="Y251" i="3"/>
  <c r="Z251" i="3"/>
  <c r="AA251" i="3"/>
  <c r="AB251" i="3" a="1"/>
  <c r="AC251" i="3"/>
  <c r="AD251" i="3" a="1"/>
  <c r="AE251" i="3"/>
  <c r="AG251" i="3"/>
  <c r="AH251" i="3"/>
  <c r="AI251" i="3"/>
  <c r="AJ251" i="3"/>
  <c r="AK251" i="3"/>
  <c r="AL251" i="3"/>
  <c r="AM251" i="3"/>
  <c r="AN251" i="3"/>
  <c r="AO251" i="3"/>
  <c r="AP251" i="3"/>
  <c r="AQ251" i="3" a="1"/>
  <c r="AR251" i="3" a="1"/>
  <c r="AS251" i="3"/>
  <c r="AT251" i="3" a="1"/>
  <c r="AU251" i="3"/>
  <c r="AV251" i="3" a="1"/>
  <c r="AW251" i="3"/>
  <c r="AX251" i="3"/>
  <c r="AY251" i="3"/>
  <c r="AZ251" i="3"/>
  <c r="BA251" i="3"/>
  <c r="BB251" i="3"/>
  <c r="BC251" i="3"/>
  <c r="BD251" i="3"/>
  <c r="BE251" i="3" a="1"/>
  <c r="BF251" i="3"/>
  <c r="BG251" i="3"/>
  <c r="BH251" i="3" a="1"/>
  <c r="BI251" i="3"/>
  <c r="BJ251" i="3" a="1"/>
  <c r="BK251" i="3" a="1"/>
  <c r="BL251" i="3"/>
  <c r="BM251" i="3"/>
  <c r="B252" i="3"/>
  <c r="C252" i="3"/>
  <c r="D252" i="3"/>
  <c r="E252" i="3"/>
  <c r="F252" i="3"/>
  <c r="G252" i="3"/>
  <c r="H252" i="3"/>
  <c r="I252" i="3"/>
  <c r="J252" i="3"/>
  <c r="K252" i="3"/>
  <c r="L252" i="3"/>
  <c r="M252" i="3" a="1"/>
  <c r="N252" i="3"/>
  <c r="O252" i="3"/>
  <c r="P252" i="3"/>
  <c r="Q252" i="3" a="1"/>
  <c r="R252" i="3"/>
  <c r="S252" i="3"/>
  <c r="T252" i="3"/>
  <c r="U252" i="3"/>
  <c r="V252" i="3" a="1"/>
  <c r="W252" i="3" a="1"/>
  <c r="X252" i="3"/>
  <c r="Y252" i="3"/>
  <c r="Z252" i="3"/>
  <c r="AA252" i="3"/>
  <c r="AB252" i="3" a="1"/>
  <c r="AC252" i="3"/>
  <c r="AD252" i="3" a="1"/>
  <c r="AE252" i="3"/>
  <c r="AG252" i="3"/>
  <c r="AH252" i="3"/>
  <c r="AI252" i="3"/>
  <c r="AJ252" i="3"/>
  <c r="AK252" i="3"/>
  <c r="AL252" i="3"/>
  <c r="AM252" i="3"/>
  <c r="AN252" i="3"/>
  <c r="AO252" i="3"/>
  <c r="AP252" i="3"/>
  <c r="AQ252" i="3" a="1"/>
  <c r="AR252" i="3" a="1"/>
  <c r="AS252" i="3"/>
  <c r="AT252" i="3" a="1"/>
  <c r="AU252" i="3"/>
  <c r="AV252" i="3" a="1"/>
  <c r="AW252" i="3"/>
  <c r="AX252" i="3"/>
  <c r="AY252" i="3"/>
  <c r="AZ252" i="3"/>
  <c r="BA252" i="3"/>
  <c r="BB252" i="3"/>
  <c r="BC252" i="3"/>
  <c r="BD252" i="3"/>
  <c r="BE252" i="3" a="1"/>
  <c r="BF252" i="3"/>
  <c r="BG252" i="3"/>
  <c r="BH252" i="3" a="1"/>
  <c r="BI252" i="3"/>
  <c r="BJ252" i="3" a="1"/>
  <c r="BK252" i="3" a="1"/>
  <c r="BL252" i="3"/>
  <c r="BM252" i="3"/>
  <c r="B253" i="3"/>
  <c r="C253" i="3"/>
  <c r="D253" i="3"/>
  <c r="E253" i="3"/>
  <c r="F253" i="3"/>
  <c r="G253" i="3"/>
  <c r="H253" i="3"/>
  <c r="I253" i="3"/>
  <c r="J253" i="3"/>
  <c r="K253" i="3"/>
  <c r="L253" i="3"/>
  <c r="M253" i="3" a="1"/>
  <c r="N253" i="3"/>
  <c r="O253" i="3"/>
  <c r="P253" i="3"/>
  <c r="Q253" i="3" a="1"/>
  <c r="R253" i="3"/>
  <c r="S253" i="3"/>
  <c r="T253" i="3"/>
  <c r="U253" i="3"/>
  <c r="V253" i="3" a="1"/>
  <c r="W253" i="3" a="1"/>
  <c r="X253" i="3"/>
  <c r="Y253" i="3"/>
  <c r="Z253" i="3"/>
  <c r="AA253" i="3"/>
  <c r="AB253" i="3" a="1"/>
  <c r="AC253" i="3"/>
  <c r="AD253" i="3" a="1"/>
  <c r="AE253" i="3"/>
  <c r="AG253" i="3"/>
  <c r="AH253" i="3"/>
  <c r="AI253" i="3"/>
  <c r="AJ253" i="3"/>
  <c r="AK253" i="3"/>
  <c r="AL253" i="3"/>
  <c r="AM253" i="3"/>
  <c r="AN253" i="3"/>
  <c r="AO253" i="3"/>
  <c r="AP253" i="3"/>
  <c r="AQ253" i="3" a="1"/>
  <c r="AR253" i="3" a="1"/>
  <c r="AS253" i="3"/>
  <c r="AT253" i="3" a="1"/>
  <c r="AU253" i="3"/>
  <c r="AV253" i="3" a="1"/>
  <c r="AW253" i="3"/>
  <c r="AX253" i="3"/>
  <c r="AY253" i="3"/>
  <c r="AZ253" i="3"/>
  <c r="BA253" i="3"/>
  <c r="BB253" i="3"/>
  <c r="BC253" i="3"/>
  <c r="BD253" i="3"/>
  <c r="BE253" i="3" a="1"/>
  <c r="BF253" i="3"/>
  <c r="BG253" i="3"/>
  <c r="BH253" i="3" a="1"/>
  <c r="BI253" i="3"/>
  <c r="BJ253" i="3" a="1"/>
  <c r="BK253" i="3" a="1"/>
  <c r="BL253" i="3"/>
  <c r="BM253" i="3"/>
  <c r="B254" i="3"/>
  <c r="C254" i="3"/>
  <c r="D254" i="3"/>
  <c r="E254" i="3"/>
  <c r="F254" i="3"/>
  <c r="G254" i="3"/>
  <c r="H254" i="3"/>
  <c r="I254" i="3"/>
  <c r="J254" i="3"/>
  <c r="K254" i="3"/>
  <c r="L254" i="3"/>
  <c r="M254" i="3" a="1"/>
  <c r="N254" i="3"/>
  <c r="O254" i="3"/>
  <c r="P254" i="3"/>
  <c r="Q254" i="3" a="1"/>
  <c r="R254" i="3"/>
  <c r="S254" i="3"/>
  <c r="T254" i="3"/>
  <c r="U254" i="3"/>
  <c r="V254" i="3" a="1"/>
  <c r="W254" i="3" a="1"/>
  <c r="X254" i="3"/>
  <c r="Y254" i="3"/>
  <c r="Z254" i="3"/>
  <c r="AA254" i="3"/>
  <c r="AB254" i="3" a="1"/>
  <c r="AC254" i="3"/>
  <c r="AD254" i="3" a="1"/>
  <c r="AE254" i="3"/>
  <c r="AG254" i="3"/>
  <c r="AH254" i="3"/>
  <c r="AI254" i="3"/>
  <c r="AJ254" i="3"/>
  <c r="AK254" i="3"/>
  <c r="AL254" i="3"/>
  <c r="AM254" i="3"/>
  <c r="AN254" i="3"/>
  <c r="AO254" i="3"/>
  <c r="AP254" i="3"/>
  <c r="AQ254" i="3" a="1"/>
  <c r="AR254" i="3" a="1"/>
  <c r="AS254" i="3"/>
  <c r="AT254" i="3" a="1"/>
  <c r="AU254" i="3"/>
  <c r="AV254" i="3" a="1"/>
  <c r="AW254" i="3"/>
  <c r="AX254" i="3"/>
  <c r="AY254" i="3"/>
  <c r="AZ254" i="3"/>
  <c r="BA254" i="3"/>
  <c r="BB254" i="3"/>
  <c r="BC254" i="3"/>
  <c r="BD254" i="3"/>
  <c r="BE254" i="3" a="1"/>
  <c r="BF254" i="3"/>
  <c r="BG254" i="3"/>
  <c r="BH254" i="3" a="1"/>
  <c r="BI254" i="3"/>
  <c r="BJ254" i="3" a="1"/>
  <c r="BK254" i="3" a="1"/>
  <c r="BL254" i="3"/>
  <c r="BM254" i="3"/>
  <c r="B255" i="3"/>
  <c r="C255" i="3"/>
  <c r="D255" i="3"/>
  <c r="E255" i="3"/>
  <c r="F255" i="3"/>
  <c r="G255" i="3"/>
  <c r="H255" i="3"/>
  <c r="I255" i="3"/>
  <c r="J255" i="3"/>
  <c r="K255" i="3"/>
  <c r="L255" i="3"/>
  <c r="M255" i="3" a="1"/>
  <c r="N255" i="3"/>
  <c r="O255" i="3"/>
  <c r="P255" i="3"/>
  <c r="Q255" i="3" a="1"/>
  <c r="R255" i="3"/>
  <c r="S255" i="3"/>
  <c r="T255" i="3"/>
  <c r="U255" i="3"/>
  <c r="V255" i="3" a="1"/>
  <c r="W255" i="3" a="1"/>
  <c r="X255" i="3"/>
  <c r="Y255" i="3"/>
  <c r="Z255" i="3"/>
  <c r="AA255" i="3"/>
  <c r="AB255" i="3" a="1"/>
  <c r="AC255" i="3"/>
  <c r="AD255" i="3" a="1"/>
  <c r="AE255" i="3"/>
  <c r="AG255" i="3"/>
  <c r="AH255" i="3"/>
  <c r="AI255" i="3"/>
  <c r="AJ255" i="3"/>
  <c r="AK255" i="3"/>
  <c r="AL255" i="3"/>
  <c r="AM255" i="3"/>
  <c r="AN255" i="3"/>
  <c r="AO255" i="3"/>
  <c r="AP255" i="3"/>
  <c r="AQ255" i="3" a="1"/>
  <c r="AR255" i="3" a="1"/>
  <c r="AS255" i="3"/>
  <c r="AT255" i="3" a="1"/>
  <c r="AU255" i="3"/>
  <c r="AV255" i="3" a="1"/>
  <c r="AW255" i="3"/>
  <c r="AX255" i="3"/>
  <c r="AY255" i="3"/>
  <c r="AZ255" i="3"/>
  <c r="BA255" i="3"/>
  <c r="BB255" i="3"/>
  <c r="BC255" i="3"/>
  <c r="BD255" i="3"/>
  <c r="BE255" i="3" a="1"/>
  <c r="BF255" i="3"/>
  <c r="BG255" i="3"/>
  <c r="BH255" i="3" a="1"/>
  <c r="BI255" i="3"/>
  <c r="BJ255" i="3" a="1"/>
  <c r="BK255" i="3" a="1"/>
  <c r="BL255" i="3"/>
  <c r="BM255" i="3"/>
  <c r="B256" i="3"/>
  <c r="C256" i="3"/>
  <c r="D256" i="3"/>
  <c r="E256" i="3"/>
  <c r="F256" i="3"/>
  <c r="G256" i="3"/>
  <c r="H256" i="3"/>
  <c r="I256" i="3"/>
  <c r="J256" i="3"/>
  <c r="K256" i="3"/>
  <c r="L256" i="3"/>
  <c r="M256" i="3" a="1"/>
  <c r="N256" i="3"/>
  <c r="O256" i="3"/>
  <c r="P256" i="3"/>
  <c r="Q256" i="3" a="1"/>
  <c r="R256" i="3"/>
  <c r="S256" i="3"/>
  <c r="T256" i="3"/>
  <c r="U256" i="3"/>
  <c r="V256" i="3" a="1"/>
  <c r="W256" i="3" a="1"/>
  <c r="X256" i="3"/>
  <c r="Y256" i="3"/>
  <c r="Z256" i="3"/>
  <c r="AA256" i="3"/>
  <c r="AB256" i="3" a="1"/>
  <c r="AC256" i="3"/>
  <c r="AD256" i="3" a="1"/>
  <c r="AE256" i="3"/>
  <c r="AG256" i="3"/>
  <c r="AH256" i="3"/>
  <c r="AI256" i="3"/>
  <c r="AJ256" i="3"/>
  <c r="AK256" i="3"/>
  <c r="AL256" i="3"/>
  <c r="AM256" i="3"/>
  <c r="AN256" i="3"/>
  <c r="AO256" i="3"/>
  <c r="AP256" i="3"/>
  <c r="AQ256" i="3" a="1"/>
  <c r="AR256" i="3" a="1"/>
  <c r="AS256" i="3"/>
  <c r="AT256" i="3" a="1"/>
  <c r="AU256" i="3"/>
  <c r="AV256" i="3" a="1"/>
  <c r="AW256" i="3"/>
  <c r="AX256" i="3"/>
  <c r="AY256" i="3"/>
  <c r="AZ256" i="3"/>
  <c r="BA256" i="3"/>
  <c r="BB256" i="3"/>
  <c r="BC256" i="3"/>
  <c r="BD256" i="3"/>
  <c r="BE256" i="3" a="1"/>
  <c r="BF256" i="3"/>
  <c r="BG256" i="3"/>
  <c r="BH256" i="3" a="1"/>
  <c r="BI256" i="3"/>
  <c r="BJ256" i="3" a="1"/>
  <c r="BK256" i="3" a="1"/>
  <c r="BL256" i="3"/>
  <c r="BM256" i="3"/>
  <c r="B257" i="3"/>
  <c r="C257" i="3"/>
  <c r="D257" i="3"/>
  <c r="E257" i="3"/>
  <c r="F257" i="3"/>
  <c r="G257" i="3"/>
  <c r="H257" i="3"/>
  <c r="I257" i="3"/>
  <c r="J257" i="3"/>
  <c r="K257" i="3"/>
  <c r="L257" i="3"/>
  <c r="M257" i="3" a="1"/>
  <c r="N257" i="3"/>
  <c r="O257" i="3"/>
  <c r="P257" i="3"/>
  <c r="Q257" i="3" a="1"/>
  <c r="R257" i="3"/>
  <c r="S257" i="3"/>
  <c r="T257" i="3"/>
  <c r="U257" i="3"/>
  <c r="V257" i="3" a="1"/>
  <c r="W257" i="3" a="1"/>
  <c r="X257" i="3"/>
  <c r="Y257" i="3"/>
  <c r="Z257" i="3"/>
  <c r="AA257" i="3"/>
  <c r="AB257" i="3" a="1"/>
  <c r="AC257" i="3"/>
  <c r="AD257" i="3" a="1"/>
  <c r="AE257" i="3"/>
  <c r="AG257" i="3"/>
  <c r="AH257" i="3"/>
  <c r="AI257" i="3"/>
  <c r="AJ257" i="3"/>
  <c r="AK257" i="3"/>
  <c r="AL257" i="3"/>
  <c r="AM257" i="3"/>
  <c r="AN257" i="3"/>
  <c r="AO257" i="3"/>
  <c r="AP257" i="3"/>
  <c r="AQ257" i="3" a="1"/>
  <c r="AR257" i="3" a="1"/>
  <c r="AS257" i="3"/>
  <c r="AT257" i="3" a="1"/>
  <c r="AU257" i="3"/>
  <c r="AV257" i="3" a="1"/>
  <c r="AW257" i="3"/>
  <c r="AX257" i="3"/>
  <c r="AY257" i="3"/>
  <c r="AZ257" i="3"/>
  <c r="BA257" i="3"/>
  <c r="BB257" i="3"/>
  <c r="BC257" i="3"/>
  <c r="BD257" i="3"/>
  <c r="BE257" i="3" a="1"/>
  <c r="BF257" i="3"/>
  <c r="BG257" i="3"/>
  <c r="BH257" i="3" a="1"/>
  <c r="BI257" i="3"/>
  <c r="BJ257" i="3" a="1"/>
  <c r="BK257" i="3" a="1"/>
  <c r="BL257" i="3"/>
  <c r="BM257" i="3"/>
  <c r="B258" i="3"/>
  <c r="C258" i="3"/>
  <c r="D258" i="3"/>
  <c r="E258" i="3"/>
  <c r="F258" i="3"/>
  <c r="G258" i="3"/>
  <c r="H258" i="3"/>
  <c r="I258" i="3"/>
  <c r="J258" i="3"/>
  <c r="K258" i="3"/>
  <c r="L258" i="3"/>
  <c r="M258" i="3" a="1"/>
  <c r="N258" i="3"/>
  <c r="O258" i="3"/>
  <c r="P258" i="3"/>
  <c r="Q258" i="3" a="1"/>
  <c r="R258" i="3"/>
  <c r="S258" i="3"/>
  <c r="T258" i="3"/>
  <c r="U258" i="3"/>
  <c r="V258" i="3" a="1"/>
  <c r="W258" i="3" a="1"/>
  <c r="X258" i="3"/>
  <c r="Y258" i="3"/>
  <c r="Z258" i="3"/>
  <c r="AA258" i="3"/>
  <c r="AB258" i="3" a="1"/>
  <c r="AC258" i="3"/>
  <c r="AD258" i="3" a="1"/>
  <c r="AE258" i="3"/>
  <c r="AG258" i="3"/>
  <c r="AH258" i="3"/>
  <c r="AI258" i="3"/>
  <c r="AJ258" i="3"/>
  <c r="AK258" i="3"/>
  <c r="AL258" i="3"/>
  <c r="AM258" i="3"/>
  <c r="AN258" i="3"/>
  <c r="AO258" i="3"/>
  <c r="AP258" i="3"/>
  <c r="AQ258" i="3" a="1"/>
  <c r="AR258" i="3" a="1"/>
  <c r="AS258" i="3"/>
  <c r="AT258" i="3" a="1"/>
  <c r="AU258" i="3"/>
  <c r="AV258" i="3" a="1"/>
  <c r="AW258" i="3"/>
  <c r="AX258" i="3"/>
  <c r="AY258" i="3"/>
  <c r="AZ258" i="3"/>
  <c r="BA258" i="3"/>
  <c r="BB258" i="3"/>
  <c r="BC258" i="3"/>
  <c r="BD258" i="3"/>
  <c r="BE258" i="3" a="1"/>
  <c r="BF258" i="3"/>
  <c r="BG258" i="3"/>
  <c r="BH258" i="3" a="1"/>
  <c r="BI258" i="3"/>
  <c r="BJ258" i="3" a="1"/>
  <c r="BK258" i="3" a="1"/>
  <c r="BL258" i="3"/>
  <c r="BM258" i="3"/>
  <c r="B259" i="3"/>
  <c r="C259" i="3"/>
  <c r="D259" i="3"/>
  <c r="E259" i="3"/>
  <c r="F259" i="3"/>
  <c r="G259" i="3"/>
  <c r="H259" i="3"/>
  <c r="I259" i="3"/>
  <c r="J259" i="3"/>
  <c r="K259" i="3"/>
  <c r="L259" i="3"/>
  <c r="M259" i="3" a="1"/>
  <c r="N259" i="3"/>
  <c r="O259" i="3"/>
  <c r="P259" i="3"/>
  <c r="Q259" i="3" a="1"/>
  <c r="R259" i="3"/>
  <c r="S259" i="3"/>
  <c r="T259" i="3"/>
  <c r="U259" i="3"/>
  <c r="V259" i="3" a="1"/>
  <c r="W259" i="3" a="1"/>
  <c r="X259" i="3"/>
  <c r="Y259" i="3"/>
  <c r="Z259" i="3"/>
  <c r="AA259" i="3"/>
  <c r="AB259" i="3" a="1"/>
  <c r="AC259" i="3"/>
  <c r="AD259" i="3" a="1"/>
  <c r="AE259" i="3"/>
  <c r="AG259" i="3"/>
  <c r="AH259" i="3"/>
  <c r="AI259" i="3"/>
  <c r="AJ259" i="3"/>
  <c r="AK259" i="3"/>
  <c r="AL259" i="3"/>
  <c r="AM259" i="3"/>
  <c r="AN259" i="3"/>
  <c r="AO259" i="3"/>
  <c r="AP259" i="3"/>
  <c r="AQ259" i="3" a="1"/>
  <c r="AR259" i="3" a="1"/>
  <c r="AS259" i="3"/>
  <c r="AT259" i="3" a="1"/>
  <c r="AU259" i="3"/>
  <c r="AV259" i="3" a="1"/>
  <c r="AW259" i="3"/>
  <c r="AX259" i="3"/>
  <c r="AY259" i="3"/>
  <c r="AZ259" i="3"/>
  <c r="BA259" i="3"/>
  <c r="BB259" i="3"/>
  <c r="BC259" i="3"/>
  <c r="BD259" i="3"/>
  <c r="BE259" i="3" a="1"/>
  <c r="BF259" i="3"/>
  <c r="BG259" i="3"/>
  <c r="BH259" i="3" a="1"/>
  <c r="BI259" i="3"/>
  <c r="BJ259" i="3" a="1"/>
  <c r="BK259" i="3" a="1"/>
  <c r="BL259" i="3"/>
  <c r="BM259" i="3"/>
  <c r="B260" i="3"/>
  <c r="C260" i="3"/>
  <c r="D260" i="3"/>
  <c r="E260" i="3"/>
  <c r="F260" i="3"/>
  <c r="G260" i="3"/>
  <c r="H260" i="3"/>
  <c r="I260" i="3"/>
  <c r="J260" i="3"/>
  <c r="K260" i="3"/>
  <c r="L260" i="3"/>
  <c r="M260" i="3" a="1"/>
  <c r="N260" i="3"/>
  <c r="O260" i="3"/>
  <c r="P260" i="3"/>
  <c r="Q260" i="3" a="1"/>
  <c r="R260" i="3"/>
  <c r="S260" i="3"/>
  <c r="T260" i="3"/>
  <c r="U260" i="3"/>
  <c r="V260" i="3" a="1"/>
  <c r="W260" i="3" a="1"/>
  <c r="X260" i="3"/>
  <c r="Y260" i="3"/>
  <c r="Z260" i="3"/>
  <c r="AA260" i="3"/>
  <c r="AB260" i="3" a="1"/>
  <c r="AC260" i="3"/>
  <c r="AD260" i="3" a="1"/>
  <c r="AE260" i="3"/>
  <c r="AG260" i="3"/>
  <c r="AH260" i="3"/>
  <c r="AI260" i="3"/>
  <c r="AJ260" i="3"/>
  <c r="AK260" i="3"/>
  <c r="AL260" i="3"/>
  <c r="AM260" i="3"/>
  <c r="AN260" i="3"/>
  <c r="AO260" i="3"/>
  <c r="AP260" i="3"/>
  <c r="AQ260" i="3" a="1"/>
  <c r="AR260" i="3" a="1"/>
  <c r="AS260" i="3"/>
  <c r="AT260" i="3" a="1"/>
  <c r="AU260" i="3"/>
  <c r="AV260" i="3" a="1"/>
  <c r="AW260" i="3"/>
  <c r="AX260" i="3"/>
  <c r="AY260" i="3"/>
  <c r="AZ260" i="3"/>
  <c r="BA260" i="3"/>
  <c r="BB260" i="3"/>
  <c r="BC260" i="3"/>
  <c r="BD260" i="3"/>
  <c r="BE260" i="3" a="1"/>
  <c r="BF260" i="3"/>
  <c r="BG260" i="3"/>
  <c r="BH260" i="3" a="1"/>
  <c r="BI260" i="3"/>
  <c r="BJ260" i="3" a="1"/>
  <c r="BK260" i="3" a="1"/>
  <c r="BL260" i="3"/>
  <c r="B261" i="3"/>
  <c r="C261" i="3"/>
  <c r="D261" i="3"/>
  <c r="E261" i="3"/>
  <c r="F261" i="3"/>
  <c r="G261" i="3"/>
  <c r="H261" i="3"/>
  <c r="I261" i="3"/>
  <c r="J261" i="3"/>
  <c r="K261" i="3"/>
  <c r="L261" i="3"/>
  <c r="M261" i="3" a="1"/>
  <c r="N261" i="3"/>
  <c r="O261" i="3"/>
  <c r="P261" i="3"/>
  <c r="Q261" i="3" a="1"/>
  <c r="R261" i="3"/>
  <c r="S261" i="3"/>
  <c r="T261" i="3"/>
  <c r="U261" i="3"/>
  <c r="V261" i="3" a="1"/>
  <c r="W261" i="3" a="1"/>
  <c r="X261" i="3"/>
  <c r="Y261" i="3"/>
  <c r="Z261" i="3"/>
  <c r="AA261" i="3"/>
  <c r="AB261" i="3" a="1"/>
  <c r="AC261" i="3"/>
  <c r="AD261" i="3" a="1"/>
  <c r="AE261" i="3"/>
  <c r="AG261" i="3"/>
  <c r="AH261" i="3"/>
  <c r="AI261" i="3"/>
  <c r="AJ261" i="3"/>
  <c r="AK261" i="3"/>
  <c r="AL261" i="3"/>
  <c r="AM261" i="3"/>
  <c r="AN261" i="3"/>
  <c r="AO261" i="3"/>
  <c r="AP261" i="3"/>
  <c r="AQ261" i="3" a="1"/>
  <c r="AR261" i="3" a="1"/>
  <c r="AS261" i="3"/>
  <c r="AT261" i="3" a="1"/>
  <c r="AU261" i="3"/>
  <c r="AV261" i="3" a="1"/>
  <c r="AW261" i="3"/>
  <c r="AX261" i="3"/>
  <c r="AY261" i="3"/>
  <c r="AZ261" i="3"/>
  <c r="BA261" i="3"/>
  <c r="BB261" i="3"/>
  <c r="BC261" i="3"/>
  <c r="BD261" i="3"/>
  <c r="BE261" i="3" a="1"/>
  <c r="BF261" i="3"/>
  <c r="BG261" i="3"/>
  <c r="BH261" i="3" a="1"/>
  <c r="BI261" i="3"/>
  <c r="BJ261" i="3" a="1"/>
  <c r="BK261" i="3" a="1"/>
  <c r="BL261" i="3"/>
  <c r="B262" i="3"/>
  <c r="C262" i="3"/>
  <c r="D262" i="3"/>
  <c r="E262" i="3"/>
  <c r="F262" i="3"/>
  <c r="G262" i="3"/>
  <c r="H262" i="3"/>
  <c r="I262" i="3"/>
  <c r="J262" i="3"/>
  <c r="K262" i="3"/>
  <c r="L262" i="3"/>
  <c r="M262" i="3" a="1"/>
  <c r="N262" i="3"/>
  <c r="O262" i="3"/>
  <c r="P262" i="3"/>
  <c r="Q262" i="3" a="1"/>
  <c r="R262" i="3"/>
  <c r="S262" i="3"/>
  <c r="T262" i="3"/>
  <c r="U262" i="3"/>
  <c r="V262" i="3" a="1"/>
  <c r="W262" i="3" a="1"/>
  <c r="X262" i="3"/>
  <c r="Y262" i="3"/>
  <c r="Z262" i="3"/>
  <c r="AA262" i="3"/>
  <c r="AB262" i="3" a="1"/>
  <c r="AC262" i="3"/>
  <c r="AD262" i="3" a="1"/>
  <c r="AE262" i="3"/>
  <c r="AG262" i="3"/>
  <c r="AH262" i="3"/>
  <c r="AI262" i="3"/>
  <c r="AJ262" i="3"/>
  <c r="AK262" i="3"/>
  <c r="AL262" i="3"/>
  <c r="AM262" i="3"/>
  <c r="AN262" i="3"/>
  <c r="AO262" i="3"/>
  <c r="AP262" i="3"/>
  <c r="AQ262" i="3" a="1"/>
  <c r="AR262" i="3" a="1"/>
  <c r="AS262" i="3"/>
  <c r="AT262" i="3" a="1"/>
  <c r="AU262" i="3"/>
  <c r="AV262" i="3" a="1"/>
  <c r="AW262" i="3"/>
  <c r="AX262" i="3"/>
  <c r="AY262" i="3"/>
  <c r="AZ262" i="3"/>
  <c r="BA262" i="3"/>
  <c r="BB262" i="3"/>
  <c r="BC262" i="3"/>
  <c r="BD262" i="3"/>
  <c r="BE262" i="3" a="1"/>
  <c r="BF262" i="3"/>
  <c r="BG262" i="3"/>
  <c r="BH262" i="3" a="1"/>
  <c r="BI262" i="3"/>
  <c r="BJ262" i="3" a="1"/>
  <c r="BK262" i="3" a="1"/>
  <c r="BL262" i="3"/>
  <c r="B263" i="3"/>
  <c r="C263" i="3"/>
  <c r="D263" i="3"/>
  <c r="E263" i="3"/>
  <c r="F263" i="3"/>
  <c r="G263" i="3"/>
  <c r="H263" i="3"/>
  <c r="I263" i="3"/>
  <c r="J263" i="3"/>
  <c r="K263" i="3"/>
  <c r="L263" i="3"/>
  <c r="M263" i="3" a="1"/>
  <c r="N263" i="3"/>
  <c r="O263" i="3"/>
  <c r="P263" i="3"/>
  <c r="Q263" i="3" a="1"/>
  <c r="R263" i="3"/>
  <c r="S263" i="3"/>
  <c r="T263" i="3"/>
  <c r="U263" i="3"/>
  <c r="V263" i="3" a="1"/>
  <c r="W263" i="3" a="1"/>
  <c r="X263" i="3"/>
  <c r="Y263" i="3"/>
  <c r="Z263" i="3"/>
  <c r="AA263" i="3"/>
  <c r="AB263" i="3" a="1"/>
  <c r="AC263" i="3"/>
  <c r="AD263" i="3" a="1"/>
  <c r="AE263" i="3"/>
  <c r="AG263" i="3"/>
  <c r="AH263" i="3"/>
  <c r="AI263" i="3"/>
  <c r="AJ263" i="3"/>
  <c r="AK263" i="3"/>
  <c r="AL263" i="3"/>
  <c r="AM263" i="3"/>
  <c r="AN263" i="3"/>
  <c r="AO263" i="3"/>
  <c r="AP263" i="3"/>
  <c r="AQ263" i="3" a="1"/>
  <c r="AR263" i="3" a="1"/>
  <c r="AS263" i="3"/>
  <c r="AT263" i="3" a="1"/>
  <c r="AU263" i="3"/>
  <c r="AV263" i="3" a="1"/>
  <c r="AW263" i="3"/>
  <c r="AX263" i="3"/>
  <c r="AY263" i="3"/>
  <c r="AZ263" i="3"/>
  <c r="BA263" i="3"/>
  <c r="BB263" i="3"/>
  <c r="BC263" i="3"/>
  <c r="BD263" i="3"/>
  <c r="BE263" i="3" a="1"/>
  <c r="BF263" i="3"/>
  <c r="BG263" i="3"/>
  <c r="BH263" i="3" a="1"/>
  <c r="BI263" i="3"/>
  <c r="BJ263" i="3" a="1"/>
  <c r="BK263" i="3" a="1"/>
  <c r="BL263" i="3"/>
  <c r="B264" i="3"/>
  <c r="C264" i="3"/>
  <c r="D264" i="3"/>
  <c r="E264" i="3"/>
  <c r="F264" i="3"/>
  <c r="G264" i="3"/>
  <c r="H264" i="3"/>
  <c r="I264" i="3"/>
  <c r="J264" i="3"/>
  <c r="K264" i="3"/>
  <c r="L264" i="3"/>
  <c r="M264" i="3" a="1"/>
  <c r="N264" i="3"/>
  <c r="O264" i="3"/>
  <c r="P264" i="3"/>
  <c r="Q264" i="3" a="1"/>
  <c r="R264" i="3"/>
  <c r="S264" i="3"/>
  <c r="T264" i="3"/>
  <c r="U264" i="3"/>
  <c r="V264" i="3" a="1"/>
  <c r="W264" i="3" a="1"/>
  <c r="X264" i="3"/>
  <c r="Y264" i="3"/>
  <c r="Z264" i="3"/>
  <c r="AA264" i="3"/>
  <c r="AB264" i="3" a="1"/>
  <c r="AC264" i="3"/>
  <c r="AD264" i="3" a="1"/>
  <c r="AE264" i="3"/>
  <c r="AG264" i="3"/>
  <c r="AH264" i="3"/>
  <c r="AI264" i="3"/>
  <c r="AJ264" i="3"/>
  <c r="AK264" i="3"/>
  <c r="AL264" i="3"/>
  <c r="AM264" i="3"/>
  <c r="AN264" i="3"/>
  <c r="AO264" i="3"/>
  <c r="AP264" i="3"/>
  <c r="AQ264" i="3" a="1"/>
  <c r="AR264" i="3" a="1"/>
  <c r="AS264" i="3"/>
  <c r="AT264" i="3" a="1"/>
  <c r="AU264" i="3"/>
  <c r="AV264" i="3" a="1"/>
  <c r="AW264" i="3"/>
  <c r="AX264" i="3"/>
  <c r="AY264" i="3"/>
  <c r="AZ264" i="3"/>
  <c r="BA264" i="3"/>
  <c r="BB264" i="3"/>
  <c r="BC264" i="3"/>
  <c r="BD264" i="3"/>
  <c r="BE264" i="3" a="1"/>
  <c r="BF264" i="3"/>
  <c r="BG264" i="3"/>
  <c r="BH264" i="3" a="1"/>
  <c r="BI264" i="3"/>
  <c r="BJ264" i="3" a="1"/>
  <c r="BK264" i="3" a="1"/>
  <c r="BL264" i="3"/>
  <c r="B265" i="3"/>
  <c r="C265" i="3"/>
  <c r="D265" i="3"/>
  <c r="E265" i="3"/>
  <c r="F265" i="3"/>
  <c r="G265" i="3"/>
  <c r="H265" i="3"/>
  <c r="I265" i="3"/>
  <c r="J265" i="3"/>
  <c r="K265" i="3"/>
  <c r="L265" i="3"/>
  <c r="M265" i="3" a="1"/>
  <c r="N265" i="3"/>
  <c r="O265" i="3"/>
  <c r="P265" i="3"/>
  <c r="Q265" i="3" a="1"/>
  <c r="R265" i="3"/>
  <c r="S265" i="3"/>
  <c r="T265" i="3"/>
  <c r="U265" i="3"/>
  <c r="V265" i="3" a="1"/>
  <c r="W265" i="3" a="1"/>
  <c r="X265" i="3"/>
  <c r="Y265" i="3"/>
  <c r="Z265" i="3"/>
  <c r="AA265" i="3"/>
  <c r="AB265" i="3" a="1"/>
  <c r="AC265" i="3"/>
  <c r="AD265" i="3" a="1"/>
  <c r="AE265" i="3"/>
  <c r="AG265" i="3"/>
  <c r="AH265" i="3"/>
  <c r="AI265" i="3"/>
  <c r="AJ265" i="3"/>
  <c r="AK265" i="3"/>
  <c r="AL265" i="3"/>
  <c r="AM265" i="3"/>
  <c r="AN265" i="3"/>
  <c r="AO265" i="3"/>
  <c r="AP265" i="3"/>
  <c r="AQ265" i="3" a="1"/>
  <c r="AR265" i="3" a="1"/>
  <c r="AS265" i="3"/>
  <c r="AT265" i="3" a="1"/>
  <c r="AU265" i="3"/>
  <c r="AV265" i="3" a="1"/>
  <c r="AW265" i="3"/>
  <c r="AX265" i="3"/>
  <c r="AY265" i="3"/>
  <c r="AZ265" i="3"/>
  <c r="BA265" i="3"/>
  <c r="BB265" i="3"/>
  <c r="BC265" i="3"/>
  <c r="BD265" i="3"/>
  <c r="BE265" i="3" a="1"/>
  <c r="BF265" i="3"/>
  <c r="BG265" i="3"/>
  <c r="BH265" i="3" a="1"/>
  <c r="BI265" i="3"/>
  <c r="BJ265" i="3" a="1"/>
  <c r="BK265" i="3" a="1"/>
  <c r="BL265" i="3"/>
  <c r="B266" i="3"/>
  <c r="C266" i="3"/>
  <c r="D266" i="3"/>
  <c r="E266" i="3"/>
  <c r="F266" i="3"/>
  <c r="G266" i="3"/>
  <c r="H266" i="3"/>
  <c r="I266" i="3"/>
  <c r="J266" i="3"/>
  <c r="K266" i="3"/>
  <c r="L266" i="3"/>
  <c r="M266" i="3" a="1"/>
  <c r="N266" i="3"/>
  <c r="O266" i="3"/>
  <c r="P266" i="3"/>
  <c r="Q266" i="3" a="1"/>
  <c r="R266" i="3"/>
  <c r="S266" i="3"/>
  <c r="T266" i="3"/>
  <c r="U266" i="3"/>
  <c r="V266" i="3" a="1"/>
  <c r="W266" i="3" a="1"/>
  <c r="X266" i="3"/>
  <c r="Y266" i="3"/>
  <c r="Z266" i="3"/>
  <c r="AA266" i="3"/>
  <c r="AB266" i="3" a="1"/>
  <c r="AC266" i="3"/>
  <c r="AD266" i="3" a="1"/>
  <c r="AE266" i="3"/>
  <c r="AG266" i="3"/>
  <c r="AH266" i="3"/>
  <c r="AI266" i="3"/>
  <c r="AJ266" i="3"/>
  <c r="AK266" i="3"/>
  <c r="AL266" i="3"/>
  <c r="AM266" i="3"/>
  <c r="AN266" i="3"/>
  <c r="AO266" i="3"/>
  <c r="AP266" i="3"/>
  <c r="AQ266" i="3" a="1"/>
  <c r="AR266" i="3" a="1"/>
  <c r="AS266" i="3"/>
  <c r="AT266" i="3" a="1"/>
  <c r="AU266" i="3"/>
  <c r="AV266" i="3" a="1"/>
  <c r="AW266" i="3"/>
  <c r="AX266" i="3"/>
  <c r="AY266" i="3"/>
  <c r="AZ266" i="3"/>
  <c r="BA266" i="3"/>
  <c r="BB266" i="3"/>
  <c r="BC266" i="3"/>
  <c r="BD266" i="3"/>
  <c r="BE266" i="3" a="1"/>
  <c r="BF266" i="3"/>
  <c r="BG266" i="3"/>
  <c r="BH266" i="3" a="1"/>
  <c r="BI266" i="3"/>
  <c r="BJ266" i="3" a="1"/>
  <c r="BK266" i="3" a="1"/>
  <c r="BL266" i="3"/>
  <c r="B267" i="3"/>
  <c r="C267" i="3"/>
  <c r="D267" i="3"/>
  <c r="E267" i="3"/>
  <c r="F267" i="3"/>
  <c r="G267" i="3"/>
  <c r="H267" i="3"/>
  <c r="I267" i="3"/>
  <c r="J267" i="3"/>
  <c r="K267" i="3"/>
  <c r="L267" i="3"/>
  <c r="M267" i="3" a="1"/>
  <c r="N267" i="3"/>
  <c r="O267" i="3"/>
  <c r="P267" i="3"/>
  <c r="Q267" i="3" a="1"/>
  <c r="R267" i="3"/>
  <c r="S267" i="3"/>
  <c r="T267" i="3"/>
  <c r="U267" i="3"/>
  <c r="V267" i="3" a="1"/>
  <c r="W267" i="3" a="1"/>
  <c r="X267" i="3"/>
  <c r="Y267" i="3"/>
  <c r="Z267" i="3"/>
  <c r="AA267" i="3"/>
  <c r="AB267" i="3" a="1"/>
  <c r="AC267" i="3"/>
  <c r="AD267" i="3" a="1"/>
  <c r="AE267" i="3"/>
  <c r="AG267" i="3"/>
  <c r="AH267" i="3"/>
  <c r="AI267" i="3"/>
  <c r="AJ267" i="3"/>
  <c r="AK267" i="3"/>
  <c r="AL267" i="3"/>
  <c r="AM267" i="3"/>
  <c r="AN267" i="3"/>
  <c r="AO267" i="3"/>
  <c r="AP267" i="3"/>
  <c r="AQ267" i="3" a="1"/>
  <c r="AR267" i="3" a="1"/>
  <c r="AS267" i="3"/>
  <c r="AT267" i="3" a="1"/>
  <c r="AU267" i="3"/>
  <c r="AV267" i="3" a="1"/>
  <c r="AW267" i="3"/>
  <c r="AX267" i="3"/>
  <c r="AY267" i="3"/>
  <c r="AZ267" i="3"/>
  <c r="BA267" i="3"/>
  <c r="BB267" i="3"/>
  <c r="BC267" i="3"/>
  <c r="BD267" i="3"/>
  <c r="BE267" i="3" a="1"/>
  <c r="BF267" i="3"/>
  <c r="BG267" i="3"/>
  <c r="BH267" i="3" a="1"/>
  <c r="BI267" i="3"/>
  <c r="BJ267" i="3" a="1"/>
  <c r="BK267" i="3" a="1"/>
  <c r="BL267" i="3"/>
  <c r="B268" i="3"/>
  <c r="C268" i="3"/>
  <c r="D268" i="3"/>
  <c r="E268" i="3"/>
  <c r="F268" i="3"/>
  <c r="G268" i="3"/>
  <c r="H268" i="3"/>
  <c r="I268" i="3"/>
  <c r="J268" i="3"/>
  <c r="K268" i="3"/>
  <c r="L268" i="3"/>
  <c r="M268" i="3" a="1"/>
  <c r="N268" i="3"/>
  <c r="O268" i="3"/>
  <c r="P268" i="3"/>
  <c r="Q268" i="3" a="1"/>
  <c r="R268" i="3"/>
  <c r="S268" i="3"/>
  <c r="T268" i="3"/>
  <c r="U268" i="3"/>
  <c r="V268" i="3" a="1"/>
  <c r="W268" i="3" a="1"/>
  <c r="X268" i="3"/>
  <c r="Y268" i="3"/>
  <c r="Z268" i="3"/>
  <c r="AA268" i="3"/>
  <c r="AB268" i="3" a="1"/>
  <c r="AC268" i="3"/>
  <c r="AD268" i="3" a="1"/>
  <c r="AE268" i="3"/>
  <c r="AG268" i="3"/>
  <c r="AH268" i="3"/>
  <c r="AI268" i="3"/>
  <c r="AJ268" i="3"/>
  <c r="AK268" i="3"/>
  <c r="AL268" i="3"/>
  <c r="AM268" i="3"/>
  <c r="AN268" i="3"/>
  <c r="AO268" i="3"/>
  <c r="AP268" i="3"/>
  <c r="AQ268" i="3" a="1"/>
  <c r="AR268" i="3" a="1"/>
  <c r="AS268" i="3"/>
  <c r="AT268" i="3" a="1"/>
  <c r="AU268" i="3"/>
  <c r="AV268" i="3" a="1"/>
  <c r="AW268" i="3"/>
  <c r="AX268" i="3"/>
  <c r="AY268" i="3"/>
  <c r="AZ268" i="3"/>
  <c r="BA268" i="3"/>
  <c r="BB268" i="3"/>
  <c r="BC268" i="3"/>
  <c r="BD268" i="3"/>
  <c r="BE268" i="3" a="1"/>
  <c r="BF268" i="3"/>
  <c r="BG268" i="3"/>
  <c r="BH268" i="3" a="1"/>
  <c r="BI268" i="3"/>
  <c r="BJ268" i="3" a="1"/>
  <c r="BK268" i="3" a="1"/>
  <c r="BL268" i="3"/>
  <c r="B269" i="3"/>
  <c r="C269" i="3"/>
  <c r="D269" i="3"/>
  <c r="E269" i="3"/>
  <c r="F269" i="3"/>
  <c r="G269" i="3"/>
  <c r="H269" i="3"/>
  <c r="I269" i="3"/>
  <c r="J269" i="3"/>
  <c r="K269" i="3"/>
  <c r="L269" i="3"/>
  <c r="M269" i="3" a="1"/>
  <c r="N269" i="3"/>
  <c r="O269" i="3"/>
  <c r="P269" i="3"/>
  <c r="Q269" i="3" a="1"/>
  <c r="R269" i="3"/>
  <c r="S269" i="3"/>
  <c r="T269" i="3"/>
  <c r="U269" i="3"/>
  <c r="V269" i="3" a="1"/>
  <c r="W269" i="3" a="1"/>
  <c r="X269" i="3"/>
  <c r="Y269" i="3"/>
  <c r="Z269" i="3"/>
  <c r="AA269" i="3"/>
  <c r="AB269" i="3" a="1"/>
  <c r="AC269" i="3"/>
  <c r="AD269" i="3" a="1"/>
  <c r="AE269" i="3"/>
  <c r="AG269" i="3"/>
  <c r="AH269" i="3"/>
  <c r="AI269" i="3"/>
  <c r="AJ269" i="3"/>
  <c r="AK269" i="3"/>
  <c r="AL269" i="3"/>
  <c r="AM269" i="3"/>
  <c r="AN269" i="3"/>
  <c r="AO269" i="3"/>
  <c r="AP269" i="3"/>
  <c r="AQ269" i="3" a="1"/>
  <c r="AR269" i="3" a="1"/>
  <c r="AS269" i="3"/>
  <c r="AT269" i="3" a="1"/>
  <c r="AU269" i="3"/>
  <c r="AV269" i="3" a="1"/>
  <c r="AW269" i="3"/>
  <c r="AX269" i="3"/>
  <c r="AY269" i="3"/>
  <c r="AZ269" i="3"/>
  <c r="BA269" i="3"/>
  <c r="BB269" i="3"/>
  <c r="BC269" i="3"/>
  <c r="BD269" i="3"/>
  <c r="BE269" i="3" a="1"/>
  <c r="BF269" i="3"/>
  <c r="BG269" i="3"/>
  <c r="BH269" i="3" a="1"/>
  <c r="BI269" i="3"/>
  <c r="BJ269" i="3" a="1"/>
  <c r="BK269" i="3" a="1"/>
  <c r="BL269" i="3"/>
  <c r="B270" i="3"/>
  <c r="C270" i="3"/>
  <c r="D270" i="3"/>
  <c r="E270" i="3"/>
  <c r="F270" i="3"/>
  <c r="G270" i="3"/>
  <c r="H270" i="3"/>
  <c r="I270" i="3"/>
  <c r="J270" i="3"/>
  <c r="K270" i="3"/>
  <c r="L270" i="3"/>
  <c r="M270" i="3" a="1"/>
  <c r="N270" i="3"/>
  <c r="O270" i="3"/>
  <c r="P270" i="3"/>
  <c r="Q270" i="3" a="1"/>
  <c r="R270" i="3"/>
  <c r="S270" i="3"/>
  <c r="T270" i="3"/>
  <c r="U270" i="3"/>
  <c r="V270" i="3" a="1"/>
  <c r="W270" i="3" a="1"/>
  <c r="X270" i="3"/>
  <c r="Y270" i="3"/>
  <c r="Z270" i="3"/>
  <c r="AA270" i="3"/>
  <c r="AB270" i="3" a="1"/>
  <c r="AC270" i="3"/>
  <c r="AD270" i="3" a="1"/>
  <c r="AE270" i="3"/>
  <c r="AG270" i="3"/>
  <c r="AH270" i="3"/>
  <c r="AI270" i="3"/>
  <c r="AJ270" i="3"/>
  <c r="AK270" i="3"/>
  <c r="AL270" i="3"/>
  <c r="AM270" i="3"/>
  <c r="AN270" i="3"/>
  <c r="AO270" i="3"/>
  <c r="AP270" i="3"/>
  <c r="AQ270" i="3" a="1"/>
  <c r="AR270" i="3" a="1"/>
  <c r="AS270" i="3"/>
  <c r="AT270" i="3" a="1"/>
  <c r="AU270" i="3"/>
  <c r="AV270" i="3" a="1"/>
  <c r="AW270" i="3"/>
  <c r="AX270" i="3"/>
  <c r="AY270" i="3"/>
  <c r="AZ270" i="3"/>
  <c r="BA270" i="3"/>
  <c r="BB270" i="3"/>
  <c r="BC270" i="3"/>
  <c r="BD270" i="3"/>
  <c r="BE270" i="3" a="1"/>
  <c r="BF270" i="3"/>
  <c r="BG270" i="3"/>
  <c r="BH270" i="3" a="1"/>
  <c r="BI270" i="3"/>
  <c r="BJ270" i="3" a="1"/>
  <c r="BK270" i="3" a="1"/>
  <c r="BL270" i="3"/>
  <c r="B271" i="3"/>
  <c r="C271" i="3"/>
  <c r="D271" i="3"/>
  <c r="E271" i="3"/>
  <c r="F271" i="3"/>
  <c r="G271" i="3"/>
  <c r="H271" i="3"/>
  <c r="I271" i="3"/>
  <c r="J271" i="3"/>
  <c r="K271" i="3"/>
  <c r="L271" i="3"/>
  <c r="M271" i="3" a="1"/>
  <c r="N271" i="3"/>
  <c r="O271" i="3"/>
  <c r="P271" i="3"/>
  <c r="Q271" i="3" a="1"/>
  <c r="R271" i="3"/>
  <c r="S271" i="3"/>
  <c r="T271" i="3"/>
  <c r="U271" i="3"/>
  <c r="V271" i="3" a="1"/>
  <c r="W271" i="3" a="1"/>
  <c r="X271" i="3"/>
  <c r="Y271" i="3"/>
  <c r="Z271" i="3"/>
  <c r="AA271" i="3"/>
  <c r="AB271" i="3" a="1"/>
  <c r="AC271" i="3"/>
  <c r="AD271" i="3" a="1"/>
  <c r="AE271" i="3"/>
  <c r="AG271" i="3"/>
  <c r="AH271" i="3"/>
  <c r="AI271" i="3"/>
  <c r="AJ271" i="3"/>
  <c r="AK271" i="3"/>
  <c r="AL271" i="3"/>
  <c r="AM271" i="3"/>
  <c r="AN271" i="3"/>
  <c r="AO271" i="3"/>
  <c r="AP271" i="3"/>
  <c r="AQ271" i="3" a="1"/>
  <c r="AR271" i="3" a="1"/>
  <c r="AS271" i="3"/>
  <c r="AT271" i="3" a="1"/>
  <c r="AU271" i="3"/>
  <c r="AV271" i="3" a="1"/>
  <c r="AW271" i="3"/>
  <c r="AX271" i="3"/>
  <c r="AY271" i="3"/>
  <c r="AZ271" i="3"/>
  <c r="BA271" i="3"/>
  <c r="BB271" i="3"/>
  <c r="BC271" i="3"/>
  <c r="BD271" i="3"/>
  <c r="BE271" i="3" a="1"/>
  <c r="BF271" i="3"/>
  <c r="BG271" i="3"/>
  <c r="BH271" i="3" a="1"/>
  <c r="BI271" i="3"/>
  <c r="BJ271" i="3" a="1"/>
  <c r="BK271" i="3" a="1"/>
  <c r="BL271" i="3"/>
  <c r="B272" i="3"/>
  <c r="C272" i="3"/>
  <c r="D272" i="3"/>
  <c r="E272" i="3"/>
  <c r="F272" i="3"/>
  <c r="G272" i="3"/>
  <c r="H272" i="3"/>
  <c r="I272" i="3"/>
  <c r="J272" i="3"/>
  <c r="K272" i="3"/>
  <c r="L272" i="3"/>
  <c r="M272" i="3" a="1"/>
  <c r="N272" i="3"/>
  <c r="O272" i="3"/>
  <c r="P272" i="3"/>
  <c r="Q272" i="3" a="1"/>
  <c r="R272" i="3"/>
  <c r="S272" i="3"/>
  <c r="T272" i="3"/>
  <c r="U272" i="3"/>
  <c r="V272" i="3" a="1"/>
  <c r="W272" i="3" a="1"/>
  <c r="X272" i="3"/>
  <c r="Y272" i="3"/>
  <c r="Z272" i="3"/>
  <c r="AA272" i="3"/>
  <c r="AB272" i="3" a="1"/>
  <c r="AC272" i="3"/>
  <c r="AD272" i="3" a="1"/>
  <c r="AE272" i="3"/>
  <c r="AG272" i="3"/>
  <c r="AH272" i="3"/>
  <c r="AI272" i="3"/>
  <c r="AJ272" i="3"/>
  <c r="AK272" i="3"/>
  <c r="AL272" i="3"/>
  <c r="AM272" i="3"/>
  <c r="AN272" i="3"/>
  <c r="AO272" i="3"/>
  <c r="AP272" i="3"/>
  <c r="AQ272" i="3" a="1"/>
  <c r="AR272" i="3" a="1"/>
  <c r="AS272" i="3"/>
  <c r="AT272" i="3" a="1"/>
  <c r="AU272" i="3"/>
  <c r="AV272" i="3" a="1"/>
  <c r="AW272" i="3"/>
  <c r="AX272" i="3"/>
  <c r="AY272" i="3"/>
  <c r="AZ272" i="3"/>
  <c r="BA272" i="3"/>
  <c r="BB272" i="3"/>
  <c r="BC272" i="3"/>
  <c r="BD272" i="3"/>
  <c r="BE272" i="3" a="1"/>
  <c r="BF272" i="3"/>
  <c r="BG272" i="3"/>
  <c r="BH272" i="3" a="1"/>
  <c r="BI272" i="3"/>
  <c r="BJ272" i="3" a="1"/>
  <c r="BK272" i="3" a="1"/>
  <c r="BL272" i="3"/>
  <c r="B273" i="3"/>
  <c r="C273" i="3"/>
  <c r="D273" i="3"/>
  <c r="E273" i="3"/>
  <c r="F273" i="3"/>
  <c r="G273" i="3"/>
  <c r="H273" i="3"/>
  <c r="I273" i="3"/>
  <c r="J273" i="3"/>
  <c r="K273" i="3"/>
  <c r="L273" i="3"/>
  <c r="M273" i="3" a="1"/>
  <c r="N273" i="3"/>
  <c r="O273" i="3"/>
  <c r="P273" i="3"/>
  <c r="Q273" i="3" a="1"/>
  <c r="R273" i="3"/>
  <c r="S273" i="3"/>
  <c r="T273" i="3"/>
  <c r="U273" i="3"/>
  <c r="V273" i="3" a="1"/>
  <c r="W273" i="3" a="1"/>
  <c r="X273" i="3"/>
  <c r="Y273" i="3"/>
  <c r="Z273" i="3"/>
  <c r="AA273" i="3"/>
  <c r="AB273" i="3" a="1"/>
  <c r="AC273" i="3"/>
  <c r="AD273" i="3" a="1"/>
  <c r="AE273" i="3"/>
  <c r="AG273" i="3"/>
  <c r="AH273" i="3"/>
  <c r="AI273" i="3"/>
  <c r="AJ273" i="3"/>
  <c r="AK273" i="3"/>
  <c r="AL273" i="3"/>
  <c r="AM273" i="3"/>
  <c r="AN273" i="3"/>
  <c r="AO273" i="3"/>
  <c r="AP273" i="3"/>
  <c r="AQ273" i="3" a="1"/>
  <c r="AR273" i="3" a="1"/>
  <c r="AS273" i="3"/>
  <c r="AT273" i="3" a="1"/>
  <c r="AU273" i="3"/>
  <c r="AV273" i="3" a="1"/>
  <c r="AW273" i="3"/>
  <c r="AX273" i="3"/>
  <c r="AY273" i="3"/>
  <c r="AZ273" i="3"/>
  <c r="BA273" i="3"/>
  <c r="BB273" i="3"/>
  <c r="BC273" i="3"/>
  <c r="BD273" i="3"/>
  <c r="BE273" i="3" a="1"/>
  <c r="BF273" i="3"/>
  <c r="BG273" i="3"/>
  <c r="BH273" i="3" a="1"/>
  <c r="BI273" i="3"/>
  <c r="BJ273" i="3" a="1"/>
  <c r="BK273" i="3" a="1"/>
  <c r="BL273" i="3"/>
  <c r="B274" i="3"/>
  <c r="C274" i="3"/>
  <c r="D274" i="3"/>
  <c r="E274" i="3"/>
  <c r="F274" i="3"/>
  <c r="G274" i="3"/>
  <c r="H274" i="3"/>
  <c r="I274" i="3"/>
  <c r="J274" i="3"/>
  <c r="K274" i="3"/>
  <c r="L274" i="3"/>
  <c r="M274" i="3" a="1"/>
  <c r="N274" i="3"/>
  <c r="O274" i="3"/>
  <c r="P274" i="3"/>
  <c r="Q274" i="3" a="1"/>
  <c r="R274" i="3"/>
  <c r="S274" i="3"/>
  <c r="T274" i="3"/>
  <c r="U274" i="3"/>
  <c r="V274" i="3" a="1"/>
  <c r="W274" i="3" a="1"/>
  <c r="X274" i="3"/>
  <c r="Y274" i="3"/>
  <c r="Z274" i="3"/>
  <c r="AA274" i="3"/>
  <c r="AB274" i="3" a="1"/>
  <c r="AC274" i="3"/>
  <c r="AD274" i="3" a="1"/>
  <c r="AE274" i="3"/>
  <c r="AG274" i="3"/>
  <c r="AH274" i="3"/>
  <c r="AI274" i="3"/>
  <c r="AJ274" i="3"/>
  <c r="AK274" i="3"/>
  <c r="AL274" i="3"/>
  <c r="AM274" i="3"/>
  <c r="AN274" i="3"/>
  <c r="AO274" i="3"/>
  <c r="AP274" i="3"/>
  <c r="AQ274" i="3" a="1"/>
  <c r="AR274" i="3" a="1"/>
  <c r="AS274" i="3"/>
  <c r="AT274" i="3" a="1"/>
  <c r="AU274" i="3"/>
  <c r="AV274" i="3" a="1"/>
  <c r="AW274" i="3"/>
  <c r="AX274" i="3"/>
  <c r="AY274" i="3"/>
  <c r="AZ274" i="3"/>
  <c r="BA274" i="3"/>
  <c r="BB274" i="3"/>
  <c r="BC274" i="3"/>
  <c r="BD274" i="3"/>
  <c r="BE274" i="3" a="1"/>
  <c r="BF274" i="3"/>
  <c r="BG274" i="3"/>
  <c r="BH274" i="3" a="1"/>
  <c r="BI274" i="3"/>
  <c r="BJ274" i="3" a="1"/>
  <c r="BK274" i="3" a="1"/>
  <c r="BL274" i="3"/>
  <c r="B275" i="3"/>
  <c r="C275" i="3"/>
  <c r="D275" i="3"/>
  <c r="E275" i="3"/>
  <c r="F275" i="3"/>
  <c r="G275" i="3"/>
  <c r="H275" i="3"/>
  <c r="I275" i="3"/>
  <c r="J275" i="3"/>
  <c r="K275" i="3"/>
  <c r="L275" i="3"/>
  <c r="M275" i="3" a="1"/>
  <c r="N275" i="3"/>
  <c r="O275" i="3"/>
  <c r="P275" i="3"/>
  <c r="Q275" i="3" a="1"/>
  <c r="R275" i="3"/>
  <c r="S275" i="3"/>
  <c r="T275" i="3"/>
  <c r="U275" i="3"/>
  <c r="V275" i="3" a="1"/>
  <c r="W275" i="3" a="1"/>
  <c r="X275" i="3"/>
  <c r="Y275" i="3"/>
  <c r="Z275" i="3"/>
  <c r="AA275" i="3"/>
  <c r="AB275" i="3" a="1"/>
  <c r="AC275" i="3"/>
  <c r="AD275" i="3" a="1"/>
  <c r="AE275" i="3"/>
  <c r="AG275" i="3"/>
  <c r="AH275" i="3"/>
  <c r="AI275" i="3"/>
  <c r="AJ275" i="3"/>
  <c r="AK275" i="3"/>
  <c r="AL275" i="3"/>
  <c r="AM275" i="3"/>
  <c r="AN275" i="3"/>
  <c r="AO275" i="3"/>
  <c r="AP275" i="3"/>
  <c r="AQ275" i="3" a="1"/>
  <c r="AR275" i="3" a="1"/>
  <c r="AS275" i="3"/>
  <c r="AT275" i="3" a="1"/>
  <c r="AU275" i="3"/>
  <c r="AV275" i="3" a="1"/>
  <c r="AW275" i="3"/>
  <c r="AX275" i="3"/>
  <c r="AY275" i="3"/>
  <c r="AZ275" i="3"/>
  <c r="BA275" i="3"/>
  <c r="BB275" i="3"/>
  <c r="BC275" i="3"/>
  <c r="BD275" i="3"/>
  <c r="BE275" i="3" a="1"/>
  <c r="BF275" i="3"/>
  <c r="BG275" i="3"/>
  <c r="BH275" i="3" a="1"/>
  <c r="BI275" i="3"/>
  <c r="BJ275" i="3" a="1"/>
  <c r="BK275" i="3" a="1"/>
  <c r="BL275" i="3"/>
  <c r="B276" i="3"/>
  <c r="C276" i="3"/>
  <c r="D276" i="3"/>
  <c r="E276" i="3"/>
  <c r="F276" i="3"/>
  <c r="G276" i="3"/>
  <c r="H276" i="3"/>
  <c r="I276" i="3"/>
  <c r="J276" i="3"/>
  <c r="K276" i="3"/>
  <c r="L276" i="3"/>
  <c r="M276" i="3" a="1"/>
  <c r="N276" i="3"/>
  <c r="O276" i="3"/>
  <c r="P276" i="3"/>
  <c r="Q276" i="3" a="1"/>
  <c r="R276" i="3"/>
  <c r="S276" i="3"/>
  <c r="T276" i="3"/>
  <c r="U276" i="3"/>
  <c r="V276" i="3" a="1"/>
  <c r="W276" i="3" a="1"/>
  <c r="X276" i="3"/>
  <c r="Y276" i="3"/>
  <c r="Z276" i="3"/>
  <c r="AA276" i="3"/>
  <c r="AB276" i="3" a="1"/>
  <c r="AC276" i="3"/>
  <c r="AD276" i="3" a="1"/>
  <c r="AE276" i="3"/>
  <c r="AG276" i="3"/>
  <c r="AH276" i="3"/>
  <c r="AI276" i="3"/>
  <c r="AJ276" i="3"/>
  <c r="AK276" i="3"/>
  <c r="AL276" i="3"/>
  <c r="AM276" i="3"/>
  <c r="AN276" i="3"/>
  <c r="AO276" i="3"/>
  <c r="AP276" i="3"/>
  <c r="AQ276" i="3" a="1"/>
  <c r="AR276" i="3" a="1"/>
  <c r="AS276" i="3"/>
  <c r="AT276" i="3" a="1"/>
  <c r="AU276" i="3"/>
  <c r="AV276" i="3" a="1"/>
  <c r="AW276" i="3"/>
  <c r="AX276" i="3"/>
  <c r="AY276" i="3"/>
  <c r="AZ276" i="3"/>
  <c r="BA276" i="3"/>
  <c r="BB276" i="3"/>
  <c r="BC276" i="3"/>
  <c r="BD276" i="3"/>
  <c r="BE276" i="3" a="1"/>
  <c r="BF276" i="3"/>
  <c r="BG276" i="3"/>
  <c r="BH276" i="3" a="1"/>
  <c r="BI276" i="3"/>
  <c r="BJ276" i="3" a="1"/>
  <c r="BK276" i="3" a="1"/>
  <c r="BL276" i="3"/>
  <c r="B277" i="3"/>
  <c r="C277" i="3"/>
  <c r="D277" i="3"/>
  <c r="E277" i="3"/>
  <c r="F277" i="3"/>
  <c r="G277" i="3"/>
  <c r="H277" i="3"/>
  <c r="I277" i="3"/>
  <c r="J277" i="3"/>
  <c r="K277" i="3"/>
  <c r="L277" i="3"/>
  <c r="M277" i="3" a="1"/>
  <c r="N277" i="3"/>
  <c r="O277" i="3"/>
  <c r="P277" i="3"/>
  <c r="Q277" i="3" a="1"/>
  <c r="R277" i="3"/>
  <c r="S277" i="3"/>
  <c r="T277" i="3"/>
  <c r="U277" i="3"/>
  <c r="V277" i="3" a="1"/>
  <c r="W277" i="3" a="1"/>
  <c r="X277" i="3"/>
  <c r="Y277" i="3"/>
  <c r="Z277" i="3"/>
  <c r="AA277" i="3"/>
  <c r="AB277" i="3" a="1"/>
  <c r="AC277" i="3"/>
  <c r="AD277" i="3" a="1"/>
  <c r="AE277" i="3"/>
  <c r="AG277" i="3"/>
  <c r="AH277" i="3"/>
  <c r="AI277" i="3"/>
  <c r="AJ277" i="3"/>
  <c r="AK277" i="3"/>
  <c r="AL277" i="3"/>
  <c r="AM277" i="3"/>
  <c r="AN277" i="3"/>
  <c r="AO277" i="3"/>
  <c r="AP277" i="3"/>
  <c r="AQ277" i="3" a="1"/>
  <c r="AR277" i="3" a="1"/>
  <c r="AS277" i="3"/>
  <c r="AT277" i="3" a="1"/>
  <c r="AU277" i="3"/>
  <c r="AV277" i="3" a="1"/>
  <c r="AW277" i="3"/>
  <c r="AX277" i="3"/>
  <c r="AY277" i="3"/>
  <c r="AZ277" i="3"/>
  <c r="BA277" i="3"/>
  <c r="BB277" i="3"/>
  <c r="BC277" i="3"/>
  <c r="BD277" i="3"/>
  <c r="BE277" i="3" a="1"/>
  <c r="BF277" i="3"/>
  <c r="BG277" i="3"/>
  <c r="BH277" i="3" a="1"/>
  <c r="BI277" i="3"/>
  <c r="BJ277" i="3" a="1"/>
  <c r="BK277" i="3" a="1"/>
  <c r="BL277" i="3"/>
  <c r="B278" i="3"/>
  <c r="C278" i="3"/>
  <c r="D278" i="3"/>
  <c r="E278" i="3"/>
  <c r="F278" i="3"/>
  <c r="G278" i="3"/>
  <c r="H278" i="3"/>
  <c r="I278" i="3"/>
  <c r="J278" i="3"/>
  <c r="K278" i="3"/>
  <c r="L278" i="3"/>
  <c r="M278" i="3" a="1"/>
  <c r="N278" i="3"/>
  <c r="O278" i="3"/>
  <c r="P278" i="3"/>
  <c r="Q278" i="3" a="1"/>
  <c r="R278" i="3"/>
  <c r="S278" i="3"/>
  <c r="T278" i="3"/>
  <c r="U278" i="3"/>
  <c r="V278" i="3" a="1"/>
  <c r="W278" i="3" a="1"/>
  <c r="X278" i="3"/>
  <c r="Y278" i="3"/>
  <c r="Z278" i="3"/>
  <c r="AA278" i="3"/>
  <c r="AB278" i="3" a="1"/>
  <c r="AC278" i="3"/>
  <c r="AD278" i="3" a="1"/>
  <c r="AE278" i="3"/>
  <c r="AG278" i="3"/>
  <c r="AH278" i="3"/>
  <c r="AI278" i="3"/>
  <c r="AJ278" i="3"/>
  <c r="AK278" i="3"/>
  <c r="AL278" i="3"/>
  <c r="AM278" i="3"/>
  <c r="AN278" i="3"/>
  <c r="AO278" i="3"/>
  <c r="AP278" i="3"/>
  <c r="AQ278" i="3" a="1"/>
  <c r="AR278" i="3" a="1"/>
  <c r="AS278" i="3"/>
  <c r="AT278" i="3" a="1"/>
  <c r="AU278" i="3"/>
  <c r="AV278" i="3" a="1"/>
  <c r="AW278" i="3"/>
  <c r="AX278" i="3"/>
  <c r="AY278" i="3"/>
  <c r="AZ278" i="3"/>
  <c r="BA278" i="3"/>
  <c r="BB278" i="3"/>
  <c r="BC278" i="3"/>
  <c r="BD278" i="3"/>
  <c r="BE278" i="3" a="1"/>
  <c r="BF278" i="3"/>
  <c r="BG278" i="3"/>
  <c r="BH278" i="3" a="1"/>
  <c r="BI278" i="3"/>
  <c r="BJ278" i="3" a="1"/>
  <c r="BK278" i="3" a="1"/>
  <c r="BL278" i="3"/>
  <c r="B279" i="3"/>
  <c r="C279" i="3"/>
  <c r="D279" i="3"/>
  <c r="E279" i="3"/>
  <c r="F279" i="3"/>
  <c r="G279" i="3"/>
  <c r="H279" i="3"/>
  <c r="I279" i="3"/>
  <c r="J279" i="3"/>
  <c r="K279" i="3"/>
  <c r="L279" i="3"/>
  <c r="M279" i="3" a="1"/>
  <c r="N279" i="3"/>
  <c r="O279" i="3"/>
  <c r="P279" i="3"/>
  <c r="Q279" i="3" a="1"/>
  <c r="R279" i="3"/>
  <c r="S279" i="3"/>
  <c r="T279" i="3"/>
  <c r="U279" i="3"/>
  <c r="V279" i="3" a="1"/>
  <c r="W279" i="3" a="1"/>
  <c r="X279" i="3"/>
  <c r="Y279" i="3"/>
  <c r="Z279" i="3"/>
  <c r="AA279" i="3"/>
  <c r="AB279" i="3" a="1"/>
  <c r="AC279" i="3"/>
  <c r="AD279" i="3" a="1"/>
  <c r="AE279" i="3"/>
  <c r="AG279" i="3"/>
  <c r="AH279" i="3"/>
  <c r="AI279" i="3"/>
  <c r="AJ279" i="3"/>
  <c r="AK279" i="3"/>
  <c r="AL279" i="3"/>
  <c r="AM279" i="3"/>
  <c r="AN279" i="3"/>
  <c r="AO279" i="3"/>
  <c r="AP279" i="3"/>
  <c r="AQ279" i="3" a="1"/>
  <c r="AR279" i="3" a="1"/>
  <c r="AS279" i="3"/>
  <c r="AT279" i="3" a="1"/>
  <c r="AU279" i="3"/>
  <c r="AV279" i="3" a="1"/>
  <c r="AW279" i="3"/>
  <c r="AX279" i="3"/>
  <c r="AY279" i="3"/>
  <c r="AZ279" i="3"/>
  <c r="BA279" i="3"/>
  <c r="BB279" i="3"/>
  <c r="BC279" i="3"/>
  <c r="BD279" i="3"/>
  <c r="BE279" i="3" a="1"/>
  <c r="BF279" i="3"/>
  <c r="BG279" i="3"/>
  <c r="BH279" i="3" a="1"/>
  <c r="BI279" i="3"/>
  <c r="BJ279" i="3" a="1"/>
  <c r="BK279" i="3" a="1"/>
  <c r="BL279" i="3"/>
  <c r="B280" i="3"/>
  <c r="C280" i="3"/>
  <c r="D280" i="3"/>
  <c r="E280" i="3"/>
  <c r="F280" i="3"/>
  <c r="G280" i="3"/>
  <c r="H280" i="3"/>
  <c r="I280" i="3"/>
  <c r="J280" i="3"/>
  <c r="K280" i="3"/>
  <c r="L280" i="3"/>
  <c r="M280" i="3" a="1"/>
  <c r="N280" i="3"/>
  <c r="O280" i="3"/>
  <c r="P280" i="3"/>
  <c r="Q280" i="3" a="1"/>
  <c r="R280" i="3"/>
  <c r="S280" i="3"/>
  <c r="T280" i="3"/>
  <c r="U280" i="3"/>
  <c r="V280" i="3" a="1"/>
  <c r="W280" i="3" a="1"/>
  <c r="X280" i="3"/>
  <c r="Y280" i="3"/>
  <c r="Z280" i="3"/>
  <c r="AA280" i="3"/>
  <c r="AB280" i="3" a="1"/>
  <c r="AC280" i="3"/>
  <c r="AD280" i="3" a="1"/>
  <c r="AE280" i="3"/>
  <c r="AG280" i="3"/>
  <c r="AH280" i="3"/>
  <c r="AI280" i="3"/>
  <c r="AJ280" i="3"/>
  <c r="AK280" i="3"/>
  <c r="AL280" i="3"/>
  <c r="AM280" i="3"/>
  <c r="AN280" i="3"/>
  <c r="AO280" i="3"/>
  <c r="AP280" i="3"/>
  <c r="AQ280" i="3" a="1"/>
  <c r="AR280" i="3" a="1"/>
  <c r="AS280" i="3"/>
  <c r="AT280" i="3" a="1"/>
  <c r="AU280" i="3"/>
  <c r="AV280" i="3" a="1"/>
  <c r="AW280" i="3"/>
  <c r="AX280" i="3"/>
  <c r="AY280" i="3"/>
  <c r="AZ280" i="3"/>
  <c r="BA280" i="3"/>
  <c r="BB280" i="3"/>
  <c r="BC280" i="3"/>
  <c r="BD280" i="3"/>
  <c r="BE280" i="3" a="1"/>
  <c r="BF280" i="3"/>
  <c r="BG280" i="3"/>
  <c r="BH280" i="3" a="1"/>
  <c r="BI280" i="3"/>
  <c r="BJ280" i="3" a="1"/>
  <c r="BK280" i="3" a="1"/>
  <c r="BL280" i="3"/>
  <c r="B281" i="3"/>
  <c r="C281" i="3"/>
  <c r="D281" i="3"/>
  <c r="E281" i="3"/>
  <c r="F281" i="3"/>
  <c r="G281" i="3"/>
  <c r="H281" i="3"/>
  <c r="I281" i="3"/>
  <c r="J281" i="3"/>
  <c r="K281" i="3"/>
  <c r="L281" i="3"/>
  <c r="M281" i="3" a="1"/>
  <c r="N281" i="3"/>
  <c r="O281" i="3"/>
  <c r="P281" i="3"/>
  <c r="Q281" i="3" a="1"/>
  <c r="R281" i="3"/>
  <c r="S281" i="3"/>
  <c r="T281" i="3"/>
  <c r="U281" i="3"/>
  <c r="V281" i="3" a="1"/>
  <c r="W281" i="3" a="1"/>
  <c r="X281" i="3"/>
  <c r="Y281" i="3"/>
  <c r="Z281" i="3"/>
  <c r="AA281" i="3"/>
  <c r="AB281" i="3" a="1"/>
  <c r="AC281" i="3"/>
  <c r="AD281" i="3" a="1"/>
  <c r="AE281" i="3"/>
  <c r="AG281" i="3"/>
  <c r="AH281" i="3"/>
  <c r="AI281" i="3"/>
  <c r="AJ281" i="3"/>
  <c r="AK281" i="3"/>
  <c r="AL281" i="3"/>
  <c r="AM281" i="3"/>
  <c r="AN281" i="3"/>
  <c r="AO281" i="3"/>
  <c r="AP281" i="3"/>
  <c r="AQ281" i="3" a="1"/>
  <c r="AR281" i="3" a="1"/>
  <c r="AS281" i="3"/>
  <c r="AT281" i="3" a="1"/>
  <c r="AU281" i="3"/>
  <c r="AV281" i="3" a="1"/>
  <c r="AW281" i="3"/>
  <c r="AX281" i="3"/>
  <c r="AY281" i="3"/>
  <c r="AZ281" i="3"/>
  <c r="BA281" i="3"/>
  <c r="BB281" i="3"/>
  <c r="BC281" i="3"/>
  <c r="BD281" i="3"/>
  <c r="BE281" i="3" a="1"/>
  <c r="BF281" i="3"/>
  <c r="BG281" i="3"/>
  <c r="BH281" i="3" a="1"/>
  <c r="BI281" i="3"/>
  <c r="BJ281" i="3" a="1"/>
  <c r="BK281" i="3" a="1"/>
  <c r="BL281" i="3"/>
  <c r="BM281" i="3"/>
  <c r="B282" i="3"/>
  <c r="C282" i="3"/>
  <c r="D282" i="3"/>
  <c r="E282" i="3"/>
  <c r="F282" i="3"/>
  <c r="G282" i="3"/>
  <c r="H282" i="3"/>
  <c r="I282" i="3"/>
  <c r="J282" i="3"/>
  <c r="K282" i="3"/>
  <c r="L282" i="3"/>
  <c r="M282" i="3" a="1"/>
  <c r="N282" i="3"/>
  <c r="O282" i="3"/>
  <c r="P282" i="3"/>
  <c r="Q282" i="3" a="1"/>
  <c r="R282" i="3"/>
  <c r="S282" i="3"/>
  <c r="T282" i="3"/>
  <c r="U282" i="3"/>
  <c r="V282" i="3" a="1"/>
  <c r="W282" i="3" a="1"/>
  <c r="X282" i="3"/>
  <c r="Y282" i="3"/>
  <c r="Z282" i="3"/>
  <c r="AA282" i="3"/>
  <c r="AB282" i="3" a="1"/>
  <c r="AC282" i="3"/>
  <c r="AD282" i="3" a="1"/>
  <c r="AE282" i="3"/>
  <c r="AG282" i="3"/>
  <c r="AH282" i="3"/>
  <c r="AI282" i="3"/>
  <c r="AJ282" i="3"/>
  <c r="AK282" i="3"/>
  <c r="AL282" i="3"/>
  <c r="AM282" i="3"/>
  <c r="AN282" i="3"/>
  <c r="AO282" i="3"/>
  <c r="AP282" i="3"/>
  <c r="AQ282" i="3" a="1"/>
  <c r="AR282" i="3" a="1"/>
  <c r="AS282" i="3"/>
  <c r="AT282" i="3" a="1"/>
  <c r="AU282" i="3"/>
  <c r="AV282" i="3" a="1"/>
  <c r="AW282" i="3"/>
  <c r="AX282" i="3"/>
  <c r="AY282" i="3"/>
  <c r="AZ282" i="3"/>
  <c r="BA282" i="3"/>
  <c r="BB282" i="3"/>
  <c r="BC282" i="3"/>
  <c r="BD282" i="3"/>
  <c r="BE282" i="3" a="1"/>
  <c r="BF282" i="3"/>
  <c r="BG282" i="3"/>
  <c r="BH282" i="3" a="1"/>
  <c r="BI282" i="3"/>
  <c r="BJ282" i="3" a="1"/>
  <c r="BK282" i="3" a="1"/>
  <c r="BL282" i="3"/>
  <c r="BM282" i="3"/>
  <c r="B283" i="3"/>
  <c r="C283" i="3"/>
  <c r="D283" i="3"/>
  <c r="E283" i="3"/>
  <c r="F283" i="3"/>
  <c r="G283" i="3"/>
  <c r="H283" i="3"/>
  <c r="I283" i="3"/>
  <c r="J283" i="3"/>
  <c r="K283" i="3"/>
  <c r="L283" i="3"/>
  <c r="M283" i="3" a="1"/>
  <c r="N283" i="3"/>
  <c r="O283" i="3"/>
  <c r="P283" i="3"/>
  <c r="Q283" i="3" a="1"/>
  <c r="R283" i="3"/>
  <c r="S283" i="3"/>
  <c r="T283" i="3"/>
  <c r="U283" i="3"/>
  <c r="V283" i="3" a="1"/>
  <c r="W283" i="3" a="1"/>
  <c r="X283" i="3"/>
  <c r="Y283" i="3"/>
  <c r="Z283" i="3"/>
  <c r="AA283" i="3"/>
  <c r="AB283" i="3" a="1"/>
  <c r="AC283" i="3"/>
  <c r="AD283" i="3" a="1"/>
  <c r="AE283" i="3"/>
  <c r="AG283" i="3"/>
  <c r="AH283" i="3"/>
  <c r="AI283" i="3"/>
  <c r="AJ283" i="3"/>
  <c r="AK283" i="3"/>
  <c r="AL283" i="3"/>
  <c r="AM283" i="3"/>
  <c r="AN283" i="3"/>
  <c r="AO283" i="3"/>
  <c r="AP283" i="3"/>
  <c r="AQ283" i="3" a="1"/>
  <c r="AR283" i="3" a="1"/>
  <c r="AS283" i="3"/>
  <c r="AT283" i="3" a="1"/>
  <c r="AU283" i="3"/>
  <c r="AV283" i="3" a="1"/>
  <c r="AW283" i="3"/>
  <c r="AX283" i="3"/>
  <c r="AY283" i="3"/>
  <c r="AZ283" i="3"/>
  <c r="BA283" i="3"/>
  <c r="BB283" i="3"/>
  <c r="BC283" i="3"/>
  <c r="BD283" i="3"/>
  <c r="BE283" i="3" a="1"/>
  <c r="BF283" i="3"/>
  <c r="BG283" i="3"/>
  <c r="BH283" i="3" a="1"/>
  <c r="BI283" i="3"/>
  <c r="BJ283" i="3" a="1"/>
  <c r="BK283" i="3" a="1"/>
  <c r="BL283" i="3"/>
  <c r="BM283" i="3"/>
  <c r="B284" i="3"/>
  <c r="C284" i="3"/>
  <c r="D284" i="3"/>
  <c r="E284" i="3"/>
  <c r="F284" i="3"/>
  <c r="G284" i="3"/>
  <c r="H284" i="3"/>
  <c r="I284" i="3"/>
  <c r="J284" i="3"/>
  <c r="K284" i="3"/>
  <c r="L284" i="3"/>
  <c r="M284" i="3" a="1"/>
  <c r="N284" i="3"/>
  <c r="O284" i="3"/>
  <c r="P284" i="3"/>
  <c r="Q284" i="3" a="1"/>
  <c r="R284" i="3"/>
  <c r="S284" i="3"/>
  <c r="T284" i="3"/>
  <c r="U284" i="3"/>
  <c r="V284" i="3" a="1"/>
  <c r="W284" i="3" a="1"/>
  <c r="X284" i="3"/>
  <c r="Y284" i="3"/>
  <c r="Z284" i="3"/>
  <c r="AA284" i="3"/>
  <c r="AB284" i="3" a="1"/>
  <c r="AC284" i="3"/>
  <c r="AD284" i="3" a="1"/>
  <c r="AE284" i="3"/>
  <c r="AG284" i="3"/>
  <c r="AH284" i="3"/>
  <c r="AI284" i="3"/>
  <c r="AJ284" i="3"/>
  <c r="AK284" i="3"/>
  <c r="AL284" i="3"/>
  <c r="AM284" i="3"/>
  <c r="AN284" i="3"/>
  <c r="AO284" i="3"/>
  <c r="AP284" i="3"/>
  <c r="AQ284" i="3" a="1"/>
  <c r="AR284" i="3" a="1"/>
  <c r="AS284" i="3"/>
  <c r="AT284" i="3" a="1"/>
  <c r="AU284" i="3"/>
  <c r="AV284" i="3" a="1"/>
  <c r="AW284" i="3"/>
  <c r="AX284" i="3"/>
  <c r="AY284" i="3"/>
  <c r="AZ284" i="3"/>
  <c r="BA284" i="3"/>
  <c r="BB284" i="3"/>
  <c r="BC284" i="3"/>
  <c r="BD284" i="3"/>
  <c r="BE284" i="3" a="1"/>
  <c r="BF284" i="3"/>
  <c r="BG284" i="3"/>
  <c r="BH284" i="3" a="1"/>
  <c r="BI284" i="3"/>
  <c r="BJ284" i="3" a="1"/>
  <c r="BK284" i="3" a="1"/>
  <c r="BL284" i="3"/>
  <c r="BM284" i="3"/>
  <c r="B285" i="3"/>
  <c r="C285" i="3"/>
  <c r="D285" i="3"/>
  <c r="E285" i="3"/>
  <c r="F285" i="3"/>
  <c r="G285" i="3"/>
  <c r="H285" i="3"/>
  <c r="I285" i="3"/>
  <c r="J285" i="3"/>
  <c r="K285" i="3"/>
  <c r="L285" i="3"/>
  <c r="M285" i="3" a="1"/>
  <c r="N285" i="3"/>
  <c r="O285" i="3"/>
  <c r="P285" i="3"/>
  <c r="Q285" i="3" a="1"/>
  <c r="R285" i="3"/>
  <c r="S285" i="3"/>
  <c r="T285" i="3"/>
  <c r="U285" i="3"/>
  <c r="V285" i="3" a="1"/>
  <c r="W285" i="3" a="1"/>
  <c r="X285" i="3"/>
  <c r="Y285" i="3"/>
  <c r="Z285" i="3"/>
  <c r="AA285" i="3"/>
  <c r="AB285" i="3" a="1"/>
  <c r="AC285" i="3"/>
  <c r="AD285" i="3" a="1"/>
  <c r="AE285" i="3"/>
  <c r="AG285" i="3"/>
  <c r="AH285" i="3"/>
  <c r="AI285" i="3"/>
  <c r="AJ285" i="3"/>
  <c r="AK285" i="3"/>
  <c r="AL285" i="3"/>
  <c r="AM285" i="3"/>
  <c r="AN285" i="3"/>
  <c r="AO285" i="3"/>
  <c r="AP285" i="3"/>
  <c r="AQ285" i="3" a="1"/>
  <c r="AR285" i="3" a="1"/>
  <c r="AS285" i="3"/>
  <c r="AT285" i="3" a="1"/>
  <c r="AU285" i="3"/>
  <c r="AV285" i="3" a="1"/>
  <c r="AW285" i="3"/>
  <c r="AX285" i="3"/>
  <c r="AY285" i="3"/>
  <c r="AZ285" i="3"/>
  <c r="BA285" i="3"/>
  <c r="BB285" i="3"/>
  <c r="BC285" i="3"/>
  <c r="BD285" i="3"/>
  <c r="BE285" i="3" a="1"/>
  <c r="BF285" i="3"/>
  <c r="BG285" i="3"/>
  <c r="BH285" i="3" a="1"/>
  <c r="BI285" i="3"/>
  <c r="BJ285" i="3" a="1"/>
  <c r="BK285" i="3" a="1"/>
  <c r="BL285" i="3"/>
  <c r="BM285" i="3"/>
  <c r="B286" i="3"/>
  <c r="C286" i="3"/>
  <c r="D286" i="3"/>
  <c r="E286" i="3"/>
  <c r="F286" i="3"/>
  <c r="G286" i="3"/>
  <c r="H286" i="3"/>
  <c r="I286" i="3"/>
  <c r="J286" i="3"/>
  <c r="K286" i="3"/>
  <c r="L286" i="3"/>
  <c r="M286" i="3" a="1"/>
  <c r="N286" i="3"/>
  <c r="O286" i="3"/>
  <c r="P286" i="3"/>
  <c r="Q286" i="3" a="1"/>
  <c r="R286" i="3"/>
  <c r="S286" i="3"/>
  <c r="T286" i="3"/>
  <c r="U286" i="3"/>
  <c r="V286" i="3" a="1"/>
  <c r="W286" i="3" a="1"/>
  <c r="X286" i="3"/>
  <c r="Y286" i="3"/>
  <c r="Z286" i="3"/>
  <c r="AA286" i="3"/>
  <c r="AB286" i="3" a="1"/>
  <c r="AC286" i="3"/>
  <c r="AD286" i="3" a="1"/>
  <c r="AE286" i="3"/>
  <c r="AG286" i="3"/>
  <c r="AH286" i="3"/>
  <c r="AI286" i="3"/>
  <c r="AJ286" i="3"/>
  <c r="AK286" i="3"/>
  <c r="AL286" i="3"/>
  <c r="AM286" i="3"/>
  <c r="AN286" i="3"/>
  <c r="AO286" i="3"/>
  <c r="AP286" i="3"/>
  <c r="AQ286" i="3" a="1"/>
  <c r="AR286" i="3" a="1"/>
  <c r="AS286" i="3"/>
  <c r="AT286" i="3" a="1"/>
  <c r="AU286" i="3"/>
  <c r="AV286" i="3" a="1"/>
  <c r="AW286" i="3"/>
  <c r="AX286" i="3"/>
  <c r="AY286" i="3"/>
  <c r="AZ286" i="3"/>
  <c r="BA286" i="3"/>
  <c r="BB286" i="3"/>
  <c r="BC286" i="3"/>
  <c r="BD286" i="3"/>
  <c r="BE286" i="3" a="1"/>
  <c r="BF286" i="3"/>
  <c r="BG286" i="3"/>
  <c r="BH286" i="3" a="1"/>
  <c r="BI286" i="3"/>
  <c r="BJ286" i="3" a="1"/>
  <c r="BK286" i="3" a="1"/>
  <c r="BL286" i="3"/>
  <c r="BM286" i="3"/>
  <c r="B287" i="3"/>
  <c r="C287" i="3"/>
  <c r="D287" i="3"/>
  <c r="E287" i="3"/>
  <c r="F287" i="3"/>
  <c r="G287" i="3"/>
  <c r="H287" i="3"/>
  <c r="I287" i="3"/>
  <c r="J287" i="3"/>
  <c r="K287" i="3"/>
  <c r="L287" i="3"/>
  <c r="M287" i="3" a="1"/>
  <c r="N287" i="3"/>
  <c r="O287" i="3"/>
  <c r="P287" i="3"/>
  <c r="Q287" i="3" a="1"/>
  <c r="R287" i="3"/>
  <c r="S287" i="3"/>
  <c r="T287" i="3"/>
  <c r="U287" i="3"/>
  <c r="V287" i="3" a="1"/>
  <c r="W287" i="3" a="1"/>
  <c r="X287" i="3"/>
  <c r="Y287" i="3"/>
  <c r="Z287" i="3"/>
  <c r="AA287" i="3"/>
  <c r="AB287" i="3" a="1"/>
  <c r="AC287" i="3"/>
  <c r="AD287" i="3" a="1"/>
  <c r="AE287" i="3"/>
  <c r="AG287" i="3"/>
  <c r="AH287" i="3"/>
  <c r="AI287" i="3"/>
  <c r="AJ287" i="3"/>
  <c r="AK287" i="3"/>
  <c r="AL287" i="3"/>
  <c r="AM287" i="3"/>
  <c r="AN287" i="3"/>
  <c r="AO287" i="3"/>
  <c r="AP287" i="3"/>
  <c r="AQ287" i="3" a="1"/>
  <c r="AR287" i="3" a="1"/>
  <c r="AS287" i="3"/>
  <c r="AT287" i="3" a="1"/>
  <c r="AU287" i="3"/>
  <c r="AV287" i="3" a="1"/>
  <c r="AW287" i="3"/>
  <c r="AX287" i="3"/>
  <c r="AY287" i="3"/>
  <c r="AZ287" i="3"/>
  <c r="BA287" i="3"/>
  <c r="BB287" i="3"/>
  <c r="BC287" i="3"/>
  <c r="BD287" i="3"/>
  <c r="BE287" i="3" a="1"/>
  <c r="BF287" i="3"/>
  <c r="BG287" i="3"/>
  <c r="BH287" i="3" a="1"/>
  <c r="BI287" i="3"/>
  <c r="BJ287" i="3" a="1"/>
  <c r="BK287" i="3" a="1"/>
  <c r="BL287" i="3"/>
  <c r="BM287" i="3"/>
  <c r="B288" i="3"/>
  <c r="C288" i="3"/>
  <c r="D288" i="3"/>
  <c r="E288" i="3"/>
  <c r="F288" i="3"/>
  <c r="G288" i="3"/>
  <c r="H288" i="3"/>
  <c r="I288" i="3"/>
  <c r="J288" i="3"/>
  <c r="K288" i="3"/>
  <c r="L288" i="3"/>
  <c r="M288" i="3" a="1"/>
  <c r="N288" i="3"/>
  <c r="O288" i="3"/>
  <c r="P288" i="3"/>
  <c r="Q288" i="3" a="1"/>
  <c r="R288" i="3"/>
  <c r="S288" i="3"/>
  <c r="T288" i="3"/>
  <c r="U288" i="3"/>
  <c r="V288" i="3" a="1"/>
  <c r="W288" i="3" a="1"/>
  <c r="X288" i="3"/>
  <c r="Y288" i="3"/>
  <c r="Z288" i="3"/>
  <c r="AA288" i="3"/>
  <c r="AB288" i="3" a="1"/>
  <c r="AC288" i="3"/>
  <c r="AD288" i="3" a="1"/>
  <c r="AE288" i="3"/>
  <c r="AG288" i="3"/>
  <c r="AH288" i="3"/>
  <c r="AI288" i="3"/>
  <c r="AJ288" i="3"/>
  <c r="AK288" i="3"/>
  <c r="AL288" i="3"/>
  <c r="AM288" i="3"/>
  <c r="AN288" i="3"/>
  <c r="AO288" i="3"/>
  <c r="AP288" i="3"/>
  <c r="AQ288" i="3" a="1"/>
  <c r="AR288" i="3" a="1"/>
  <c r="AS288" i="3"/>
  <c r="AT288" i="3" a="1"/>
  <c r="AU288" i="3"/>
  <c r="AV288" i="3" a="1"/>
  <c r="AW288" i="3"/>
  <c r="AX288" i="3"/>
  <c r="AY288" i="3"/>
  <c r="AZ288" i="3"/>
  <c r="BA288" i="3"/>
  <c r="BB288" i="3"/>
  <c r="BC288" i="3"/>
  <c r="BD288" i="3"/>
  <c r="BE288" i="3" a="1"/>
  <c r="BF288" i="3"/>
  <c r="BG288" i="3"/>
  <c r="BH288" i="3" a="1"/>
  <c r="BI288" i="3"/>
  <c r="BJ288" i="3" a="1"/>
  <c r="BK288" i="3" a="1"/>
  <c r="BL288" i="3"/>
  <c r="BM288" i="3"/>
  <c r="B289" i="3"/>
  <c r="C289" i="3"/>
  <c r="D289" i="3"/>
  <c r="E289" i="3"/>
  <c r="F289" i="3"/>
  <c r="G289" i="3"/>
  <c r="H289" i="3"/>
  <c r="I289" i="3"/>
  <c r="J289" i="3"/>
  <c r="K289" i="3"/>
  <c r="L289" i="3"/>
  <c r="M289" i="3" a="1"/>
  <c r="N289" i="3"/>
  <c r="O289" i="3"/>
  <c r="P289" i="3"/>
  <c r="Q289" i="3" a="1"/>
  <c r="R289" i="3"/>
  <c r="S289" i="3"/>
  <c r="T289" i="3"/>
  <c r="U289" i="3"/>
  <c r="V289" i="3" a="1"/>
  <c r="W289" i="3" a="1"/>
  <c r="X289" i="3"/>
  <c r="Y289" i="3"/>
  <c r="Z289" i="3"/>
  <c r="AA289" i="3"/>
  <c r="AB289" i="3" a="1"/>
  <c r="AC289" i="3"/>
  <c r="AD289" i="3" a="1"/>
  <c r="AE289" i="3"/>
  <c r="AG289" i="3"/>
  <c r="AH289" i="3"/>
  <c r="AI289" i="3"/>
  <c r="AJ289" i="3"/>
  <c r="AK289" i="3"/>
  <c r="AL289" i="3"/>
  <c r="AM289" i="3"/>
  <c r="AN289" i="3"/>
  <c r="AO289" i="3"/>
  <c r="AP289" i="3"/>
  <c r="AQ289" i="3" a="1"/>
  <c r="AR289" i="3" a="1"/>
  <c r="AS289" i="3"/>
  <c r="AT289" i="3" a="1"/>
  <c r="AU289" i="3"/>
  <c r="AV289" i="3" a="1"/>
  <c r="AW289" i="3"/>
  <c r="AX289" i="3"/>
  <c r="AY289" i="3"/>
  <c r="AZ289" i="3"/>
  <c r="BA289" i="3"/>
  <c r="BB289" i="3"/>
  <c r="BC289" i="3"/>
  <c r="BD289" i="3"/>
  <c r="BE289" i="3" a="1"/>
  <c r="BF289" i="3"/>
  <c r="BG289" i="3"/>
  <c r="BH289" i="3" a="1"/>
  <c r="BI289" i="3"/>
  <c r="BJ289" i="3" a="1"/>
  <c r="BK289" i="3" a="1"/>
  <c r="BL289" i="3"/>
  <c r="BM289" i="3"/>
  <c r="B290" i="3"/>
  <c r="C290" i="3"/>
  <c r="D290" i="3"/>
  <c r="E290" i="3"/>
  <c r="F290" i="3"/>
  <c r="G290" i="3"/>
  <c r="H290" i="3"/>
  <c r="I290" i="3"/>
  <c r="J290" i="3"/>
  <c r="K290" i="3"/>
  <c r="L290" i="3"/>
  <c r="M290" i="3" a="1"/>
  <c r="N290" i="3"/>
  <c r="O290" i="3"/>
  <c r="P290" i="3"/>
  <c r="Q290" i="3" a="1"/>
  <c r="R290" i="3"/>
  <c r="S290" i="3"/>
  <c r="T290" i="3"/>
  <c r="U290" i="3"/>
  <c r="V290" i="3" a="1"/>
  <c r="W290" i="3" a="1"/>
  <c r="X290" i="3"/>
  <c r="Y290" i="3"/>
  <c r="Z290" i="3"/>
  <c r="AA290" i="3"/>
  <c r="AB290" i="3" a="1"/>
  <c r="AC290" i="3"/>
  <c r="AD290" i="3" a="1"/>
  <c r="AE290" i="3"/>
  <c r="AG290" i="3"/>
  <c r="AH290" i="3"/>
  <c r="AI290" i="3"/>
  <c r="AJ290" i="3"/>
  <c r="AK290" i="3"/>
  <c r="AL290" i="3"/>
  <c r="AM290" i="3"/>
  <c r="AN290" i="3"/>
  <c r="AO290" i="3"/>
  <c r="AP290" i="3"/>
  <c r="AQ290" i="3" a="1"/>
  <c r="AR290" i="3" a="1"/>
  <c r="AS290" i="3"/>
  <c r="AT290" i="3" a="1"/>
  <c r="AU290" i="3"/>
  <c r="AV290" i="3" a="1"/>
  <c r="AW290" i="3"/>
  <c r="AX290" i="3"/>
  <c r="AY290" i="3"/>
  <c r="AZ290" i="3"/>
  <c r="BA290" i="3"/>
  <c r="BB290" i="3"/>
  <c r="BC290" i="3"/>
  <c r="BD290" i="3"/>
  <c r="BE290" i="3" a="1"/>
  <c r="BF290" i="3"/>
  <c r="BG290" i="3"/>
  <c r="BH290" i="3" a="1"/>
  <c r="BI290" i="3"/>
  <c r="BJ290" i="3" a="1"/>
  <c r="BK290" i="3" a="1"/>
  <c r="BL290" i="3"/>
  <c r="BM290" i="3"/>
  <c r="B291" i="3"/>
  <c r="C291" i="3"/>
  <c r="D291" i="3"/>
  <c r="E291" i="3"/>
  <c r="F291" i="3"/>
  <c r="G291" i="3"/>
  <c r="H291" i="3"/>
  <c r="I291" i="3"/>
  <c r="J291" i="3"/>
  <c r="K291" i="3"/>
  <c r="L291" i="3"/>
  <c r="M291" i="3" a="1"/>
  <c r="N291" i="3"/>
  <c r="O291" i="3"/>
  <c r="P291" i="3"/>
  <c r="Q291" i="3" a="1"/>
  <c r="R291" i="3"/>
  <c r="S291" i="3"/>
  <c r="T291" i="3"/>
  <c r="U291" i="3"/>
  <c r="V291" i="3" a="1"/>
  <c r="W291" i="3" a="1"/>
  <c r="X291" i="3"/>
  <c r="Y291" i="3"/>
  <c r="Z291" i="3"/>
  <c r="AA291" i="3"/>
  <c r="AB291" i="3" a="1"/>
  <c r="AC291" i="3"/>
  <c r="AD291" i="3" a="1"/>
  <c r="AE291" i="3"/>
  <c r="AG291" i="3"/>
  <c r="AH291" i="3"/>
  <c r="AI291" i="3"/>
  <c r="AJ291" i="3"/>
  <c r="AK291" i="3"/>
  <c r="AL291" i="3"/>
  <c r="AM291" i="3"/>
  <c r="AN291" i="3"/>
  <c r="AO291" i="3"/>
  <c r="AP291" i="3"/>
  <c r="AQ291" i="3" a="1"/>
  <c r="AR291" i="3" a="1"/>
  <c r="AS291" i="3"/>
  <c r="AT291" i="3" a="1"/>
  <c r="AU291" i="3"/>
  <c r="AV291" i="3" a="1"/>
  <c r="AW291" i="3"/>
  <c r="AX291" i="3"/>
  <c r="AY291" i="3"/>
  <c r="AZ291" i="3"/>
  <c r="BA291" i="3"/>
  <c r="BB291" i="3"/>
  <c r="BC291" i="3"/>
  <c r="BD291" i="3"/>
  <c r="BE291" i="3" a="1"/>
  <c r="BF291" i="3"/>
  <c r="BG291" i="3"/>
  <c r="BH291" i="3" a="1"/>
  <c r="BI291" i="3"/>
  <c r="BJ291" i="3" a="1"/>
  <c r="BK291" i="3" a="1"/>
  <c r="BL291" i="3"/>
  <c r="BM291" i="3"/>
  <c r="B292" i="3"/>
  <c r="C292" i="3"/>
  <c r="D292" i="3"/>
  <c r="E292" i="3"/>
  <c r="F292" i="3"/>
  <c r="G292" i="3"/>
  <c r="H292" i="3"/>
  <c r="I292" i="3"/>
  <c r="J292" i="3"/>
  <c r="K292" i="3"/>
  <c r="L292" i="3"/>
  <c r="M292" i="3" a="1"/>
  <c r="N292" i="3"/>
  <c r="O292" i="3"/>
  <c r="P292" i="3"/>
  <c r="Q292" i="3" a="1"/>
  <c r="R292" i="3"/>
  <c r="S292" i="3"/>
  <c r="T292" i="3"/>
  <c r="U292" i="3"/>
  <c r="V292" i="3" a="1"/>
  <c r="W292" i="3" a="1"/>
  <c r="X292" i="3"/>
  <c r="Y292" i="3"/>
  <c r="Z292" i="3"/>
  <c r="AA292" i="3"/>
  <c r="AB292" i="3" a="1"/>
  <c r="AC292" i="3"/>
  <c r="AD292" i="3" a="1"/>
  <c r="AE292" i="3"/>
  <c r="AG292" i="3"/>
  <c r="AH292" i="3"/>
  <c r="AI292" i="3"/>
  <c r="AJ292" i="3"/>
  <c r="AK292" i="3"/>
  <c r="AL292" i="3"/>
  <c r="AM292" i="3"/>
  <c r="AN292" i="3"/>
  <c r="AO292" i="3"/>
  <c r="AP292" i="3"/>
  <c r="AQ292" i="3" a="1"/>
  <c r="AR292" i="3" a="1"/>
  <c r="AS292" i="3"/>
  <c r="AT292" i="3" a="1"/>
  <c r="AU292" i="3"/>
  <c r="AV292" i="3" a="1"/>
  <c r="AW292" i="3"/>
  <c r="AX292" i="3"/>
  <c r="AY292" i="3"/>
  <c r="AZ292" i="3"/>
  <c r="BA292" i="3"/>
  <c r="BB292" i="3"/>
  <c r="BC292" i="3"/>
  <c r="BD292" i="3"/>
  <c r="BE292" i="3" a="1"/>
  <c r="BF292" i="3"/>
  <c r="BG292" i="3"/>
  <c r="BH292" i="3" a="1"/>
  <c r="BI292" i="3"/>
  <c r="BJ292" i="3" a="1"/>
  <c r="BK292" i="3" a="1"/>
  <c r="BL292" i="3"/>
  <c r="BM292" i="3"/>
  <c r="B293" i="3"/>
  <c r="C293" i="3"/>
  <c r="D293" i="3"/>
  <c r="E293" i="3"/>
  <c r="F293" i="3"/>
  <c r="G293" i="3"/>
  <c r="H293" i="3"/>
  <c r="I293" i="3"/>
  <c r="J293" i="3"/>
  <c r="K293" i="3"/>
  <c r="L293" i="3"/>
  <c r="M293" i="3" a="1"/>
  <c r="N293" i="3"/>
  <c r="O293" i="3"/>
  <c r="P293" i="3"/>
  <c r="Q293" i="3" a="1"/>
  <c r="R293" i="3"/>
  <c r="S293" i="3"/>
  <c r="T293" i="3"/>
  <c r="U293" i="3"/>
  <c r="V293" i="3" a="1"/>
  <c r="W293" i="3" a="1"/>
  <c r="X293" i="3"/>
  <c r="Y293" i="3"/>
  <c r="Z293" i="3"/>
  <c r="AA293" i="3"/>
  <c r="AB293" i="3" a="1"/>
  <c r="AC293" i="3"/>
  <c r="AD293" i="3" a="1"/>
  <c r="AE293" i="3"/>
  <c r="AG293" i="3"/>
  <c r="AH293" i="3"/>
  <c r="AI293" i="3"/>
  <c r="AJ293" i="3"/>
  <c r="AK293" i="3"/>
  <c r="AL293" i="3"/>
  <c r="AM293" i="3"/>
  <c r="AN293" i="3"/>
  <c r="AO293" i="3"/>
  <c r="AP293" i="3"/>
  <c r="AQ293" i="3" a="1"/>
  <c r="AR293" i="3" a="1"/>
  <c r="AS293" i="3"/>
  <c r="AT293" i="3" a="1"/>
  <c r="AU293" i="3"/>
  <c r="AV293" i="3" a="1"/>
  <c r="AW293" i="3"/>
  <c r="AX293" i="3"/>
  <c r="AY293" i="3"/>
  <c r="AZ293" i="3"/>
  <c r="BA293" i="3"/>
  <c r="BB293" i="3"/>
  <c r="BC293" i="3"/>
  <c r="BD293" i="3"/>
  <c r="BE293" i="3" a="1"/>
  <c r="BF293" i="3"/>
  <c r="BG293" i="3"/>
  <c r="BH293" i="3" a="1"/>
  <c r="BI293" i="3"/>
  <c r="BJ293" i="3" a="1"/>
  <c r="BK293" i="3" a="1"/>
  <c r="BL293" i="3"/>
  <c r="BM293" i="3"/>
  <c r="B294" i="3"/>
  <c r="C294" i="3"/>
  <c r="D294" i="3"/>
  <c r="E294" i="3"/>
  <c r="F294" i="3"/>
  <c r="G294" i="3"/>
  <c r="H294" i="3"/>
  <c r="I294" i="3"/>
  <c r="J294" i="3"/>
  <c r="K294" i="3"/>
  <c r="L294" i="3"/>
  <c r="M294" i="3" a="1"/>
  <c r="N294" i="3"/>
  <c r="O294" i="3"/>
  <c r="P294" i="3"/>
  <c r="Q294" i="3" a="1"/>
  <c r="R294" i="3"/>
  <c r="S294" i="3"/>
  <c r="T294" i="3"/>
  <c r="U294" i="3"/>
  <c r="V294" i="3" a="1"/>
  <c r="W294" i="3" a="1"/>
  <c r="X294" i="3"/>
  <c r="Y294" i="3"/>
  <c r="Z294" i="3"/>
  <c r="AA294" i="3"/>
  <c r="AB294" i="3" a="1"/>
  <c r="AC294" i="3"/>
  <c r="AD294" i="3" a="1"/>
  <c r="AE294" i="3"/>
  <c r="AG294" i="3"/>
  <c r="AH294" i="3"/>
  <c r="AI294" i="3"/>
  <c r="AJ294" i="3"/>
  <c r="AK294" i="3"/>
  <c r="AL294" i="3"/>
  <c r="AM294" i="3"/>
  <c r="AN294" i="3"/>
  <c r="AO294" i="3"/>
  <c r="AP294" i="3"/>
  <c r="AQ294" i="3" a="1"/>
  <c r="AR294" i="3" a="1"/>
  <c r="AS294" i="3"/>
  <c r="AT294" i="3" a="1"/>
  <c r="AU294" i="3"/>
  <c r="AV294" i="3" a="1"/>
  <c r="AW294" i="3"/>
  <c r="AX294" i="3"/>
  <c r="AY294" i="3"/>
  <c r="AZ294" i="3"/>
  <c r="BA294" i="3"/>
  <c r="BB294" i="3"/>
  <c r="BC294" i="3"/>
  <c r="BD294" i="3"/>
  <c r="BE294" i="3" a="1"/>
  <c r="BF294" i="3"/>
  <c r="BG294" i="3"/>
  <c r="BH294" i="3" a="1"/>
  <c r="BI294" i="3"/>
  <c r="BJ294" i="3" a="1"/>
  <c r="BK294" i="3" a="1"/>
  <c r="BL294" i="3"/>
  <c r="BM294" i="3"/>
  <c r="B295" i="3"/>
  <c r="C295" i="3"/>
  <c r="D295" i="3"/>
  <c r="E295" i="3"/>
  <c r="F295" i="3"/>
  <c r="G295" i="3"/>
  <c r="H295" i="3"/>
  <c r="I295" i="3"/>
  <c r="J295" i="3"/>
  <c r="K295" i="3"/>
  <c r="L295" i="3"/>
  <c r="M295" i="3" a="1"/>
  <c r="N295" i="3"/>
  <c r="O295" i="3"/>
  <c r="P295" i="3"/>
  <c r="Q295" i="3" a="1"/>
  <c r="R295" i="3"/>
  <c r="S295" i="3"/>
  <c r="T295" i="3"/>
  <c r="U295" i="3"/>
  <c r="V295" i="3" a="1"/>
  <c r="W295" i="3" a="1"/>
  <c r="X295" i="3"/>
  <c r="Y295" i="3"/>
  <c r="Z295" i="3"/>
  <c r="AA295" i="3"/>
  <c r="AB295" i="3" a="1"/>
  <c r="AC295" i="3"/>
  <c r="AD295" i="3" a="1"/>
  <c r="AE295" i="3"/>
  <c r="AG295" i="3"/>
  <c r="AH295" i="3"/>
  <c r="AI295" i="3"/>
  <c r="AJ295" i="3"/>
  <c r="AK295" i="3"/>
  <c r="AL295" i="3"/>
  <c r="AM295" i="3"/>
  <c r="AN295" i="3"/>
  <c r="AO295" i="3"/>
  <c r="AP295" i="3"/>
  <c r="AQ295" i="3" a="1"/>
  <c r="AR295" i="3" a="1"/>
  <c r="AS295" i="3"/>
  <c r="AT295" i="3" a="1"/>
  <c r="AU295" i="3"/>
  <c r="AV295" i="3" a="1"/>
  <c r="AW295" i="3"/>
  <c r="AX295" i="3"/>
  <c r="AY295" i="3"/>
  <c r="AZ295" i="3"/>
  <c r="BA295" i="3"/>
  <c r="BB295" i="3"/>
  <c r="BC295" i="3"/>
  <c r="BD295" i="3"/>
  <c r="BE295" i="3" a="1"/>
  <c r="BF295" i="3"/>
  <c r="BG295" i="3"/>
  <c r="BH295" i="3" a="1"/>
  <c r="BI295" i="3"/>
  <c r="BJ295" i="3" a="1"/>
  <c r="BK295" i="3" a="1"/>
  <c r="BL295" i="3"/>
  <c r="BM295" i="3"/>
  <c r="B296" i="3"/>
  <c r="C296" i="3"/>
  <c r="D296" i="3"/>
  <c r="E296" i="3"/>
  <c r="F296" i="3"/>
  <c r="G296" i="3"/>
  <c r="H296" i="3"/>
  <c r="I296" i="3"/>
  <c r="J296" i="3"/>
  <c r="K296" i="3"/>
  <c r="L296" i="3"/>
  <c r="M296" i="3" a="1"/>
  <c r="N296" i="3"/>
  <c r="O296" i="3"/>
  <c r="P296" i="3"/>
  <c r="Q296" i="3" a="1"/>
  <c r="R296" i="3"/>
  <c r="S296" i="3"/>
  <c r="T296" i="3"/>
  <c r="U296" i="3"/>
  <c r="V296" i="3" a="1"/>
  <c r="W296" i="3" a="1"/>
  <c r="X296" i="3"/>
  <c r="Y296" i="3"/>
  <c r="Z296" i="3"/>
  <c r="AA296" i="3"/>
  <c r="AB296" i="3" a="1"/>
  <c r="AC296" i="3"/>
  <c r="AD296" i="3" a="1"/>
  <c r="AE296" i="3"/>
  <c r="AG296" i="3"/>
  <c r="AH296" i="3"/>
  <c r="AI296" i="3"/>
  <c r="AJ296" i="3"/>
  <c r="AK296" i="3"/>
  <c r="AL296" i="3"/>
  <c r="AM296" i="3"/>
  <c r="AN296" i="3"/>
  <c r="AO296" i="3"/>
  <c r="AP296" i="3"/>
  <c r="AQ296" i="3" a="1"/>
  <c r="AR296" i="3" a="1"/>
  <c r="AS296" i="3"/>
  <c r="AT296" i="3" a="1"/>
  <c r="AU296" i="3"/>
  <c r="AV296" i="3" a="1"/>
  <c r="AW296" i="3"/>
  <c r="AX296" i="3"/>
  <c r="AY296" i="3"/>
  <c r="AZ296" i="3"/>
  <c r="BA296" i="3"/>
  <c r="BB296" i="3"/>
  <c r="BC296" i="3"/>
  <c r="BD296" i="3"/>
  <c r="BE296" i="3" a="1"/>
  <c r="BF296" i="3"/>
  <c r="BG296" i="3"/>
  <c r="BH296" i="3" a="1"/>
  <c r="BI296" i="3"/>
  <c r="BJ296" i="3" a="1"/>
  <c r="BK296" i="3" a="1"/>
  <c r="BL296" i="3"/>
  <c r="BM296" i="3"/>
  <c r="B297" i="3"/>
  <c r="C297" i="3"/>
  <c r="D297" i="3"/>
  <c r="E297" i="3"/>
  <c r="F297" i="3"/>
  <c r="G297" i="3"/>
  <c r="H297" i="3"/>
  <c r="I297" i="3"/>
  <c r="J297" i="3"/>
  <c r="K297" i="3"/>
  <c r="L297" i="3"/>
  <c r="M297" i="3" a="1"/>
  <c r="N297" i="3"/>
  <c r="O297" i="3"/>
  <c r="P297" i="3"/>
  <c r="Q297" i="3" a="1"/>
  <c r="R297" i="3"/>
  <c r="S297" i="3"/>
  <c r="T297" i="3"/>
  <c r="U297" i="3"/>
  <c r="V297" i="3" a="1"/>
  <c r="W297" i="3" a="1"/>
  <c r="X297" i="3"/>
  <c r="Y297" i="3"/>
  <c r="Z297" i="3"/>
  <c r="AA297" i="3"/>
  <c r="AB297" i="3" a="1"/>
  <c r="AC297" i="3"/>
  <c r="AD297" i="3" a="1"/>
  <c r="AE297" i="3"/>
  <c r="AG297" i="3"/>
  <c r="AH297" i="3"/>
  <c r="AI297" i="3"/>
  <c r="AJ297" i="3"/>
  <c r="AK297" i="3"/>
  <c r="AL297" i="3"/>
  <c r="AM297" i="3"/>
  <c r="AN297" i="3"/>
  <c r="AO297" i="3"/>
  <c r="AP297" i="3"/>
  <c r="AQ297" i="3" a="1"/>
  <c r="AR297" i="3" a="1"/>
  <c r="AS297" i="3"/>
  <c r="AT297" i="3" a="1"/>
  <c r="AU297" i="3"/>
  <c r="AV297" i="3" a="1"/>
  <c r="AW297" i="3"/>
  <c r="AX297" i="3"/>
  <c r="AY297" i="3"/>
  <c r="AZ297" i="3"/>
  <c r="BA297" i="3"/>
  <c r="BB297" i="3"/>
  <c r="BC297" i="3"/>
  <c r="BD297" i="3"/>
  <c r="BE297" i="3" a="1"/>
  <c r="BF297" i="3"/>
  <c r="BG297" i="3"/>
  <c r="BH297" i="3" a="1"/>
  <c r="BI297" i="3"/>
  <c r="BJ297" i="3" a="1"/>
  <c r="BK297" i="3" a="1"/>
  <c r="BL297" i="3"/>
  <c r="BM297" i="3"/>
  <c r="B298" i="3"/>
  <c r="C298" i="3"/>
  <c r="D298" i="3"/>
  <c r="E298" i="3"/>
  <c r="F298" i="3"/>
  <c r="G298" i="3"/>
  <c r="H298" i="3"/>
  <c r="I298" i="3"/>
  <c r="J298" i="3"/>
  <c r="K298" i="3"/>
  <c r="L298" i="3"/>
  <c r="M298" i="3" a="1"/>
  <c r="N298" i="3"/>
  <c r="O298" i="3"/>
  <c r="P298" i="3"/>
  <c r="Q298" i="3" a="1"/>
  <c r="R298" i="3"/>
  <c r="S298" i="3"/>
  <c r="T298" i="3"/>
  <c r="U298" i="3"/>
  <c r="V298" i="3" a="1"/>
  <c r="W298" i="3" a="1"/>
  <c r="X298" i="3"/>
  <c r="Y298" i="3"/>
  <c r="Z298" i="3"/>
  <c r="AA298" i="3"/>
  <c r="AB298" i="3" a="1"/>
  <c r="AC298" i="3"/>
  <c r="AD298" i="3" a="1"/>
  <c r="AE298" i="3"/>
  <c r="AG298" i="3"/>
  <c r="AH298" i="3"/>
  <c r="AI298" i="3"/>
  <c r="AJ298" i="3"/>
  <c r="AK298" i="3"/>
  <c r="AL298" i="3"/>
  <c r="AM298" i="3"/>
  <c r="AN298" i="3"/>
  <c r="AO298" i="3"/>
  <c r="AP298" i="3"/>
  <c r="AQ298" i="3" a="1"/>
  <c r="AR298" i="3" a="1"/>
  <c r="AS298" i="3"/>
  <c r="AT298" i="3" a="1"/>
  <c r="AU298" i="3"/>
  <c r="AV298" i="3" a="1"/>
  <c r="AW298" i="3"/>
  <c r="AX298" i="3"/>
  <c r="AY298" i="3"/>
  <c r="AZ298" i="3"/>
  <c r="BA298" i="3"/>
  <c r="BB298" i="3"/>
  <c r="BC298" i="3"/>
  <c r="BD298" i="3"/>
  <c r="BE298" i="3" a="1"/>
  <c r="BF298" i="3"/>
  <c r="BG298" i="3"/>
  <c r="BH298" i="3" a="1"/>
  <c r="BI298" i="3"/>
  <c r="BJ298" i="3" a="1"/>
  <c r="BK298" i="3" a="1"/>
  <c r="BL298" i="3"/>
  <c r="BM298" i="3"/>
  <c r="B299" i="3"/>
  <c r="C299" i="3"/>
  <c r="D299" i="3"/>
  <c r="E299" i="3"/>
  <c r="F299" i="3"/>
  <c r="G299" i="3"/>
  <c r="H299" i="3"/>
  <c r="I299" i="3"/>
  <c r="J299" i="3"/>
  <c r="K299" i="3"/>
  <c r="L299" i="3"/>
  <c r="M299" i="3" a="1"/>
  <c r="N299" i="3"/>
  <c r="O299" i="3"/>
  <c r="P299" i="3"/>
  <c r="Q299" i="3" a="1"/>
  <c r="R299" i="3"/>
  <c r="S299" i="3"/>
  <c r="T299" i="3"/>
  <c r="U299" i="3"/>
  <c r="V299" i="3" a="1"/>
  <c r="W299" i="3" a="1"/>
  <c r="X299" i="3"/>
  <c r="Y299" i="3"/>
  <c r="Z299" i="3"/>
  <c r="AA299" i="3"/>
  <c r="AB299" i="3" a="1"/>
  <c r="AC299" i="3"/>
  <c r="AD299" i="3" a="1"/>
  <c r="AE299" i="3"/>
  <c r="AG299" i="3"/>
  <c r="AH299" i="3"/>
  <c r="AI299" i="3"/>
  <c r="AJ299" i="3"/>
  <c r="AK299" i="3"/>
  <c r="AL299" i="3"/>
  <c r="AM299" i="3"/>
  <c r="AN299" i="3"/>
  <c r="AO299" i="3"/>
  <c r="AP299" i="3"/>
  <c r="AQ299" i="3" a="1"/>
  <c r="AR299" i="3" a="1"/>
  <c r="AS299" i="3"/>
  <c r="AT299" i="3" a="1"/>
  <c r="AU299" i="3"/>
  <c r="AV299" i="3" a="1"/>
  <c r="AW299" i="3"/>
  <c r="AX299" i="3"/>
  <c r="AY299" i="3"/>
  <c r="AZ299" i="3"/>
  <c r="BA299" i="3"/>
  <c r="BB299" i="3"/>
  <c r="BC299" i="3"/>
  <c r="BD299" i="3"/>
  <c r="BE299" i="3" a="1"/>
  <c r="BF299" i="3"/>
  <c r="BG299" i="3"/>
  <c r="BH299" i="3" a="1"/>
  <c r="BI299" i="3"/>
  <c r="BJ299" i="3" a="1"/>
  <c r="BK299" i="3" a="1"/>
  <c r="BL299" i="3"/>
  <c r="BM299" i="3"/>
  <c r="B300" i="3"/>
  <c r="C300" i="3"/>
  <c r="D300" i="3"/>
  <c r="E300" i="3"/>
  <c r="F300" i="3"/>
  <c r="G300" i="3"/>
  <c r="H300" i="3"/>
  <c r="I300" i="3"/>
  <c r="J300" i="3"/>
  <c r="K300" i="3"/>
  <c r="L300" i="3"/>
  <c r="M300" i="3" a="1"/>
  <c r="N300" i="3"/>
  <c r="O300" i="3"/>
  <c r="P300" i="3"/>
  <c r="Q300" i="3" a="1"/>
  <c r="R300" i="3"/>
  <c r="S300" i="3"/>
  <c r="T300" i="3"/>
  <c r="U300" i="3"/>
  <c r="V300" i="3" a="1"/>
  <c r="W300" i="3" a="1"/>
  <c r="X300" i="3"/>
  <c r="Y300" i="3"/>
  <c r="Z300" i="3"/>
  <c r="AA300" i="3"/>
  <c r="AB300" i="3" a="1"/>
  <c r="AC300" i="3"/>
  <c r="AD300" i="3" a="1"/>
  <c r="AE300" i="3"/>
  <c r="AG300" i="3"/>
  <c r="AH300" i="3"/>
  <c r="AI300" i="3"/>
  <c r="AJ300" i="3"/>
  <c r="AK300" i="3"/>
  <c r="AL300" i="3"/>
  <c r="AM300" i="3"/>
  <c r="AN300" i="3"/>
  <c r="AO300" i="3"/>
  <c r="AP300" i="3"/>
  <c r="AQ300" i="3" a="1"/>
  <c r="AR300" i="3" a="1"/>
  <c r="AS300" i="3"/>
  <c r="AT300" i="3" a="1"/>
  <c r="AU300" i="3"/>
  <c r="AV300" i="3" a="1"/>
  <c r="AW300" i="3"/>
  <c r="AX300" i="3"/>
  <c r="AY300" i="3"/>
  <c r="AZ300" i="3"/>
  <c r="BA300" i="3"/>
  <c r="BB300" i="3"/>
  <c r="BC300" i="3"/>
  <c r="BD300" i="3"/>
  <c r="BE300" i="3" a="1"/>
  <c r="BF300" i="3"/>
  <c r="BG300" i="3"/>
  <c r="BH300" i="3" a="1"/>
  <c r="BI300" i="3"/>
  <c r="BJ300" i="3" a="1"/>
  <c r="BK300" i="3" a="1"/>
  <c r="BL300" i="3"/>
  <c r="BM300" i="3"/>
  <c r="B301" i="3"/>
  <c r="C301" i="3"/>
  <c r="D301" i="3"/>
  <c r="E301" i="3"/>
  <c r="F301" i="3"/>
  <c r="G301" i="3"/>
  <c r="H301" i="3"/>
  <c r="I301" i="3"/>
  <c r="J301" i="3"/>
  <c r="K301" i="3"/>
  <c r="L301" i="3"/>
  <c r="M301" i="3" a="1"/>
  <c r="N301" i="3"/>
  <c r="O301" i="3"/>
  <c r="P301" i="3"/>
  <c r="Q301" i="3" a="1"/>
  <c r="R301" i="3"/>
  <c r="S301" i="3"/>
  <c r="T301" i="3"/>
  <c r="U301" i="3"/>
  <c r="V301" i="3" a="1"/>
  <c r="W301" i="3" a="1"/>
  <c r="X301" i="3"/>
  <c r="Y301" i="3"/>
  <c r="Z301" i="3"/>
  <c r="AA301" i="3"/>
  <c r="AB301" i="3" a="1"/>
  <c r="AC301" i="3"/>
  <c r="AD301" i="3" a="1"/>
  <c r="AE301" i="3"/>
  <c r="AG301" i="3"/>
  <c r="AH301" i="3"/>
  <c r="AI301" i="3"/>
  <c r="AJ301" i="3"/>
  <c r="AK301" i="3"/>
  <c r="AL301" i="3"/>
  <c r="AM301" i="3"/>
  <c r="AN301" i="3"/>
  <c r="AO301" i="3"/>
  <c r="AP301" i="3"/>
  <c r="AQ301" i="3" a="1"/>
  <c r="AR301" i="3" a="1"/>
  <c r="AS301" i="3"/>
  <c r="AT301" i="3" a="1"/>
  <c r="AU301" i="3"/>
  <c r="AV301" i="3" a="1"/>
  <c r="AW301" i="3"/>
  <c r="AX301" i="3"/>
  <c r="AY301" i="3"/>
  <c r="AZ301" i="3"/>
  <c r="BA301" i="3"/>
  <c r="BB301" i="3"/>
  <c r="BC301" i="3"/>
  <c r="BD301" i="3"/>
  <c r="BE301" i="3" a="1"/>
  <c r="BF301" i="3"/>
  <c r="BG301" i="3"/>
  <c r="BH301" i="3" a="1"/>
  <c r="BI301" i="3"/>
  <c r="BJ301" i="3" a="1"/>
  <c r="BK301" i="3" a="1"/>
  <c r="BL301" i="3"/>
  <c r="BM301" i="3"/>
  <c r="B302" i="3"/>
  <c r="C302" i="3"/>
  <c r="D302" i="3"/>
  <c r="E302" i="3"/>
  <c r="F302" i="3"/>
  <c r="G302" i="3"/>
  <c r="H302" i="3"/>
  <c r="I302" i="3"/>
  <c r="J302" i="3"/>
  <c r="K302" i="3"/>
  <c r="L302" i="3"/>
  <c r="M302" i="3" a="1"/>
  <c r="N302" i="3"/>
  <c r="O302" i="3"/>
  <c r="P302" i="3"/>
  <c r="Q302" i="3" a="1"/>
  <c r="R302" i="3"/>
  <c r="S302" i="3"/>
  <c r="T302" i="3"/>
  <c r="U302" i="3"/>
  <c r="V302" i="3" a="1"/>
  <c r="W302" i="3" a="1"/>
  <c r="X302" i="3"/>
  <c r="Y302" i="3"/>
  <c r="Z302" i="3"/>
  <c r="AA302" i="3"/>
  <c r="AB302" i="3" a="1"/>
  <c r="AC302" i="3"/>
  <c r="AD302" i="3" a="1"/>
  <c r="AE302" i="3"/>
  <c r="AG302" i="3"/>
  <c r="AH302" i="3"/>
  <c r="AI302" i="3"/>
  <c r="AJ302" i="3"/>
  <c r="AK302" i="3"/>
  <c r="AL302" i="3"/>
  <c r="AM302" i="3"/>
  <c r="AN302" i="3"/>
  <c r="AO302" i="3"/>
  <c r="AP302" i="3"/>
  <c r="AQ302" i="3" a="1"/>
  <c r="AR302" i="3" a="1"/>
  <c r="AS302" i="3"/>
  <c r="AT302" i="3" a="1"/>
  <c r="AU302" i="3"/>
  <c r="AV302" i="3" a="1"/>
  <c r="AW302" i="3"/>
  <c r="AX302" i="3"/>
  <c r="AY302" i="3"/>
  <c r="AZ302" i="3"/>
  <c r="BA302" i="3"/>
  <c r="BB302" i="3"/>
  <c r="BC302" i="3"/>
  <c r="BD302" i="3"/>
  <c r="BE302" i="3" a="1"/>
  <c r="BF302" i="3"/>
  <c r="BG302" i="3"/>
  <c r="BH302" i="3" a="1"/>
  <c r="BI302" i="3"/>
  <c r="BJ302" i="3" a="1"/>
  <c r="BK302" i="3" a="1"/>
  <c r="BL302" i="3"/>
  <c r="BM302" i="3"/>
  <c r="B303" i="3"/>
  <c r="C303" i="3"/>
  <c r="D303" i="3"/>
  <c r="E303" i="3"/>
  <c r="F303" i="3"/>
  <c r="G303" i="3"/>
  <c r="H303" i="3"/>
  <c r="I303" i="3"/>
  <c r="J303" i="3"/>
  <c r="K303" i="3"/>
  <c r="L303" i="3"/>
  <c r="M303" i="3" a="1"/>
  <c r="N303" i="3"/>
  <c r="O303" i="3"/>
  <c r="P303" i="3"/>
  <c r="Q303" i="3" a="1"/>
  <c r="R303" i="3"/>
  <c r="S303" i="3"/>
  <c r="T303" i="3"/>
  <c r="U303" i="3"/>
  <c r="V303" i="3" a="1"/>
  <c r="W303" i="3" a="1"/>
  <c r="X303" i="3"/>
  <c r="Y303" i="3"/>
  <c r="Z303" i="3"/>
  <c r="AA303" i="3"/>
  <c r="AB303" i="3" a="1"/>
  <c r="AC303" i="3"/>
  <c r="AD303" i="3" a="1"/>
  <c r="AE303" i="3"/>
  <c r="AG303" i="3"/>
  <c r="AH303" i="3"/>
  <c r="AI303" i="3"/>
  <c r="AJ303" i="3"/>
  <c r="AK303" i="3"/>
  <c r="AL303" i="3"/>
  <c r="AM303" i="3"/>
  <c r="AN303" i="3"/>
  <c r="AO303" i="3"/>
  <c r="AP303" i="3"/>
  <c r="AQ303" i="3" a="1"/>
  <c r="AR303" i="3" a="1"/>
  <c r="AS303" i="3"/>
  <c r="AT303" i="3" a="1"/>
  <c r="AU303" i="3"/>
  <c r="AV303" i="3" a="1"/>
  <c r="AW303" i="3"/>
  <c r="AX303" i="3"/>
  <c r="AY303" i="3"/>
  <c r="AZ303" i="3"/>
  <c r="BA303" i="3"/>
  <c r="BB303" i="3"/>
  <c r="BC303" i="3"/>
  <c r="BD303" i="3"/>
  <c r="BE303" i="3" a="1"/>
  <c r="BF303" i="3"/>
  <c r="BG303" i="3"/>
  <c r="BH303" i="3" a="1"/>
  <c r="BI303" i="3"/>
  <c r="BJ303" i="3" a="1"/>
  <c r="BK303" i="3" a="1"/>
  <c r="BL303" i="3"/>
  <c r="BM303" i="3"/>
  <c r="B304" i="3"/>
  <c r="C304" i="3"/>
  <c r="D304" i="3"/>
  <c r="E304" i="3"/>
  <c r="F304" i="3"/>
  <c r="G304" i="3"/>
  <c r="H304" i="3"/>
  <c r="I304" i="3"/>
  <c r="J304" i="3"/>
  <c r="K304" i="3"/>
  <c r="L304" i="3"/>
  <c r="M304" i="3" a="1"/>
  <c r="N304" i="3"/>
  <c r="O304" i="3"/>
  <c r="P304" i="3"/>
  <c r="Q304" i="3" a="1"/>
  <c r="R304" i="3"/>
  <c r="S304" i="3"/>
  <c r="T304" i="3"/>
  <c r="U304" i="3"/>
  <c r="V304" i="3" a="1"/>
  <c r="W304" i="3" a="1"/>
  <c r="X304" i="3"/>
  <c r="Y304" i="3"/>
  <c r="Z304" i="3"/>
  <c r="AA304" i="3"/>
  <c r="AB304" i="3" a="1"/>
  <c r="AC304" i="3"/>
  <c r="AD304" i="3" a="1"/>
  <c r="AE304" i="3"/>
  <c r="AG304" i="3"/>
  <c r="AH304" i="3"/>
  <c r="AI304" i="3"/>
  <c r="AJ304" i="3"/>
  <c r="AK304" i="3"/>
  <c r="AL304" i="3"/>
  <c r="AM304" i="3"/>
  <c r="AN304" i="3"/>
  <c r="AO304" i="3"/>
  <c r="AP304" i="3"/>
  <c r="AQ304" i="3" a="1"/>
  <c r="AR304" i="3" a="1"/>
  <c r="AS304" i="3"/>
  <c r="AT304" i="3" a="1"/>
  <c r="AU304" i="3"/>
  <c r="AV304" i="3" a="1"/>
  <c r="AW304" i="3"/>
  <c r="AX304" i="3"/>
  <c r="AY304" i="3"/>
  <c r="AZ304" i="3"/>
  <c r="BA304" i="3"/>
  <c r="BB304" i="3"/>
  <c r="BC304" i="3"/>
  <c r="BD304" i="3"/>
  <c r="BE304" i="3" a="1"/>
  <c r="BF304" i="3"/>
  <c r="BG304" i="3"/>
  <c r="BH304" i="3" a="1"/>
  <c r="BI304" i="3"/>
  <c r="BJ304" i="3" a="1"/>
  <c r="BK304" i="3" a="1"/>
  <c r="BL304" i="3"/>
  <c r="BM304" i="3"/>
  <c r="B305" i="3"/>
  <c r="C305" i="3"/>
  <c r="D305" i="3"/>
  <c r="E305" i="3"/>
  <c r="F305" i="3"/>
  <c r="G305" i="3"/>
  <c r="H305" i="3"/>
  <c r="I305" i="3"/>
  <c r="J305" i="3"/>
  <c r="K305" i="3"/>
  <c r="L305" i="3"/>
  <c r="M305" i="3" a="1"/>
  <c r="N305" i="3"/>
  <c r="O305" i="3"/>
  <c r="P305" i="3"/>
  <c r="Q305" i="3" a="1"/>
  <c r="R305" i="3"/>
  <c r="S305" i="3"/>
  <c r="T305" i="3"/>
  <c r="U305" i="3"/>
  <c r="V305" i="3" a="1"/>
  <c r="W305" i="3" a="1"/>
  <c r="X305" i="3"/>
  <c r="Y305" i="3"/>
  <c r="Z305" i="3"/>
  <c r="AA305" i="3"/>
  <c r="AB305" i="3" a="1"/>
  <c r="AC305" i="3"/>
  <c r="AD305" i="3" a="1"/>
  <c r="AE305" i="3"/>
  <c r="AG305" i="3"/>
  <c r="AH305" i="3"/>
  <c r="AI305" i="3"/>
  <c r="AJ305" i="3"/>
  <c r="AK305" i="3"/>
  <c r="AL305" i="3"/>
  <c r="AM305" i="3"/>
  <c r="AN305" i="3"/>
  <c r="AO305" i="3"/>
  <c r="AP305" i="3"/>
  <c r="AQ305" i="3" a="1"/>
  <c r="AR305" i="3" a="1"/>
  <c r="AS305" i="3"/>
  <c r="AT305" i="3" a="1"/>
  <c r="AU305" i="3"/>
  <c r="AV305" i="3" a="1"/>
  <c r="AW305" i="3"/>
  <c r="AX305" i="3"/>
  <c r="AY305" i="3"/>
  <c r="AZ305" i="3"/>
  <c r="BA305" i="3"/>
  <c r="BB305" i="3"/>
  <c r="BC305" i="3"/>
  <c r="BD305" i="3"/>
  <c r="BE305" i="3" a="1"/>
  <c r="BF305" i="3"/>
  <c r="BG305" i="3"/>
  <c r="BH305" i="3" a="1"/>
  <c r="BI305" i="3"/>
  <c r="BJ305" i="3" a="1"/>
  <c r="BK305" i="3" a="1"/>
  <c r="BL305" i="3"/>
  <c r="BM305" i="3"/>
  <c r="B306" i="3"/>
  <c r="C306" i="3"/>
  <c r="D306" i="3"/>
  <c r="E306" i="3"/>
  <c r="F306" i="3"/>
  <c r="G306" i="3"/>
  <c r="H306" i="3"/>
  <c r="I306" i="3"/>
  <c r="J306" i="3"/>
  <c r="K306" i="3"/>
  <c r="L306" i="3"/>
  <c r="M306" i="3" a="1"/>
  <c r="N306" i="3"/>
  <c r="O306" i="3"/>
  <c r="P306" i="3"/>
  <c r="Q306" i="3" a="1"/>
  <c r="R306" i="3"/>
  <c r="S306" i="3"/>
  <c r="T306" i="3"/>
  <c r="U306" i="3"/>
  <c r="V306" i="3" a="1"/>
  <c r="W306" i="3" a="1"/>
  <c r="X306" i="3"/>
  <c r="Y306" i="3"/>
  <c r="Z306" i="3"/>
  <c r="AA306" i="3"/>
  <c r="AB306" i="3" a="1"/>
  <c r="AC306" i="3"/>
  <c r="AD306" i="3" a="1"/>
  <c r="AE306" i="3"/>
  <c r="AG306" i="3"/>
  <c r="AH306" i="3"/>
  <c r="AI306" i="3"/>
  <c r="AJ306" i="3"/>
  <c r="AK306" i="3"/>
  <c r="AL306" i="3"/>
  <c r="AM306" i="3"/>
  <c r="AN306" i="3"/>
  <c r="AO306" i="3"/>
  <c r="AP306" i="3"/>
  <c r="AQ306" i="3" a="1"/>
  <c r="AR306" i="3" a="1"/>
  <c r="AS306" i="3"/>
  <c r="AT306" i="3" a="1"/>
  <c r="AU306" i="3"/>
  <c r="AV306" i="3" a="1"/>
  <c r="AW306" i="3"/>
  <c r="AX306" i="3"/>
  <c r="AY306" i="3"/>
  <c r="AZ306" i="3"/>
  <c r="BA306" i="3"/>
  <c r="BB306" i="3"/>
  <c r="BC306" i="3"/>
  <c r="BD306" i="3"/>
  <c r="BE306" i="3" a="1"/>
  <c r="BF306" i="3"/>
  <c r="BG306" i="3"/>
  <c r="BH306" i="3" a="1"/>
  <c r="BI306" i="3"/>
  <c r="BJ306" i="3" a="1"/>
  <c r="BK306" i="3" a="1"/>
  <c r="BL306" i="3"/>
  <c r="BM306" i="3"/>
  <c r="B307" i="3"/>
  <c r="C307" i="3"/>
  <c r="D307" i="3"/>
  <c r="E307" i="3"/>
  <c r="F307" i="3"/>
  <c r="G307" i="3"/>
  <c r="H307" i="3"/>
  <c r="I307" i="3"/>
  <c r="J307" i="3"/>
  <c r="K307" i="3"/>
  <c r="L307" i="3"/>
  <c r="M307" i="3" a="1"/>
  <c r="N307" i="3"/>
  <c r="O307" i="3"/>
  <c r="P307" i="3"/>
  <c r="Q307" i="3" a="1"/>
  <c r="R307" i="3"/>
  <c r="S307" i="3"/>
  <c r="T307" i="3"/>
  <c r="U307" i="3"/>
  <c r="V307" i="3" a="1"/>
  <c r="W307" i="3" a="1"/>
  <c r="X307" i="3"/>
  <c r="Y307" i="3"/>
  <c r="Z307" i="3"/>
  <c r="AA307" i="3"/>
  <c r="AB307" i="3" a="1"/>
  <c r="AC307" i="3"/>
  <c r="AD307" i="3" a="1"/>
  <c r="AE307" i="3"/>
  <c r="AG307" i="3"/>
  <c r="AH307" i="3"/>
  <c r="AI307" i="3"/>
  <c r="AJ307" i="3"/>
  <c r="AK307" i="3"/>
  <c r="AL307" i="3"/>
  <c r="AM307" i="3"/>
  <c r="AN307" i="3"/>
  <c r="AO307" i="3"/>
  <c r="AP307" i="3"/>
  <c r="AQ307" i="3" a="1"/>
  <c r="AR307" i="3" a="1"/>
  <c r="AS307" i="3"/>
  <c r="AT307" i="3" a="1"/>
  <c r="AU307" i="3"/>
  <c r="AV307" i="3" a="1"/>
  <c r="AW307" i="3"/>
  <c r="AX307" i="3"/>
  <c r="AY307" i="3"/>
  <c r="AZ307" i="3"/>
  <c r="BA307" i="3"/>
  <c r="BB307" i="3"/>
  <c r="BC307" i="3"/>
  <c r="BD307" i="3"/>
  <c r="BE307" i="3" a="1"/>
  <c r="BF307" i="3"/>
  <c r="BG307" i="3"/>
  <c r="BH307" i="3" a="1"/>
  <c r="BI307" i="3"/>
  <c r="BJ307" i="3" a="1"/>
  <c r="BK307" i="3" a="1"/>
  <c r="BL307" i="3"/>
  <c r="BM307" i="3"/>
  <c r="B308" i="3"/>
  <c r="C308" i="3"/>
  <c r="D308" i="3"/>
  <c r="E308" i="3"/>
  <c r="F308" i="3"/>
  <c r="G308" i="3"/>
  <c r="H308" i="3"/>
  <c r="I308" i="3"/>
  <c r="J308" i="3"/>
  <c r="K308" i="3"/>
  <c r="L308" i="3"/>
  <c r="M308" i="3" a="1"/>
  <c r="N308" i="3"/>
  <c r="O308" i="3"/>
  <c r="P308" i="3"/>
  <c r="Q308" i="3" a="1"/>
  <c r="R308" i="3"/>
  <c r="S308" i="3"/>
  <c r="T308" i="3"/>
  <c r="U308" i="3"/>
  <c r="V308" i="3" a="1"/>
  <c r="W308" i="3" a="1"/>
  <c r="X308" i="3"/>
  <c r="Y308" i="3"/>
  <c r="Z308" i="3"/>
  <c r="AA308" i="3"/>
  <c r="AB308" i="3" a="1"/>
  <c r="AC308" i="3"/>
  <c r="AD308" i="3" a="1"/>
  <c r="AE308" i="3"/>
  <c r="AG308" i="3"/>
  <c r="AH308" i="3"/>
  <c r="AI308" i="3"/>
  <c r="AJ308" i="3"/>
  <c r="AK308" i="3"/>
  <c r="AL308" i="3"/>
  <c r="AM308" i="3"/>
  <c r="AN308" i="3"/>
  <c r="AO308" i="3"/>
  <c r="AP308" i="3"/>
  <c r="AQ308" i="3" a="1"/>
  <c r="AR308" i="3" a="1"/>
  <c r="AS308" i="3"/>
  <c r="AT308" i="3" a="1"/>
  <c r="AU308" i="3"/>
  <c r="AV308" i="3" a="1"/>
  <c r="AW308" i="3"/>
  <c r="AX308" i="3"/>
  <c r="AY308" i="3"/>
  <c r="AZ308" i="3"/>
  <c r="BA308" i="3"/>
  <c r="BB308" i="3"/>
  <c r="BC308" i="3"/>
  <c r="BD308" i="3"/>
  <c r="BE308" i="3" a="1"/>
  <c r="BF308" i="3"/>
  <c r="BG308" i="3"/>
  <c r="BH308" i="3" a="1"/>
  <c r="BI308" i="3"/>
  <c r="BJ308" i="3" a="1"/>
  <c r="BK308" i="3" a="1"/>
  <c r="BL308" i="3"/>
  <c r="BM308" i="3"/>
  <c r="B309" i="3"/>
  <c r="C309" i="3"/>
  <c r="D309" i="3"/>
  <c r="E309" i="3"/>
  <c r="F309" i="3"/>
  <c r="G309" i="3"/>
  <c r="H309" i="3"/>
  <c r="I309" i="3"/>
  <c r="J309" i="3"/>
  <c r="K309" i="3"/>
  <c r="L309" i="3"/>
  <c r="M309" i="3" a="1"/>
  <c r="N309" i="3"/>
  <c r="O309" i="3"/>
  <c r="P309" i="3"/>
  <c r="Q309" i="3" a="1"/>
  <c r="R309" i="3"/>
  <c r="S309" i="3"/>
  <c r="T309" i="3"/>
  <c r="U309" i="3"/>
  <c r="V309" i="3" a="1"/>
  <c r="W309" i="3" a="1"/>
  <c r="X309" i="3"/>
  <c r="Y309" i="3"/>
  <c r="Z309" i="3"/>
  <c r="AA309" i="3"/>
  <c r="AB309" i="3" a="1"/>
  <c r="AC309" i="3"/>
  <c r="AD309" i="3" a="1"/>
  <c r="AE309" i="3"/>
  <c r="AG309" i="3"/>
  <c r="AH309" i="3"/>
  <c r="AI309" i="3"/>
  <c r="AJ309" i="3"/>
  <c r="AK309" i="3"/>
  <c r="AL309" i="3"/>
  <c r="AM309" i="3"/>
  <c r="AN309" i="3"/>
  <c r="AO309" i="3"/>
  <c r="AP309" i="3"/>
  <c r="AQ309" i="3" a="1"/>
  <c r="AR309" i="3" a="1"/>
  <c r="AS309" i="3"/>
  <c r="AT309" i="3" a="1"/>
  <c r="AU309" i="3"/>
  <c r="AV309" i="3" a="1"/>
  <c r="AW309" i="3"/>
  <c r="AX309" i="3"/>
  <c r="AY309" i="3"/>
  <c r="AZ309" i="3"/>
  <c r="BA309" i="3"/>
  <c r="BB309" i="3"/>
  <c r="BC309" i="3"/>
  <c r="BD309" i="3"/>
  <c r="BE309" i="3" a="1"/>
  <c r="BF309" i="3"/>
  <c r="BG309" i="3"/>
  <c r="BH309" i="3" a="1"/>
  <c r="BI309" i="3"/>
  <c r="BJ309" i="3" a="1"/>
  <c r="BK309" i="3" a="1"/>
  <c r="BL309" i="3"/>
  <c r="BM309" i="3"/>
  <c r="B310" i="3"/>
  <c r="C310" i="3"/>
  <c r="D310" i="3"/>
  <c r="E310" i="3"/>
  <c r="F310" i="3"/>
  <c r="G310" i="3"/>
  <c r="H310" i="3"/>
  <c r="I310" i="3"/>
  <c r="J310" i="3"/>
  <c r="K310" i="3"/>
  <c r="L310" i="3"/>
  <c r="M310" i="3" a="1"/>
  <c r="N310" i="3"/>
  <c r="O310" i="3"/>
  <c r="P310" i="3"/>
  <c r="Q310" i="3" a="1"/>
  <c r="R310" i="3"/>
  <c r="S310" i="3"/>
  <c r="T310" i="3"/>
  <c r="U310" i="3"/>
  <c r="V310" i="3" a="1"/>
  <c r="W310" i="3" a="1"/>
  <c r="X310" i="3"/>
  <c r="Y310" i="3"/>
  <c r="Z310" i="3"/>
  <c r="AA310" i="3"/>
  <c r="AB310" i="3" a="1"/>
  <c r="AC310" i="3"/>
  <c r="AD310" i="3" a="1"/>
  <c r="AE310" i="3"/>
  <c r="AG310" i="3"/>
  <c r="AH310" i="3"/>
  <c r="AI310" i="3"/>
  <c r="AJ310" i="3"/>
  <c r="AK310" i="3"/>
  <c r="AL310" i="3"/>
  <c r="AM310" i="3"/>
  <c r="AN310" i="3"/>
  <c r="AO310" i="3"/>
  <c r="AP310" i="3"/>
  <c r="AQ310" i="3" a="1"/>
  <c r="AR310" i="3" a="1"/>
  <c r="AS310" i="3"/>
  <c r="AT310" i="3" a="1"/>
  <c r="AU310" i="3"/>
  <c r="AV310" i="3" a="1"/>
  <c r="AW310" i="3"/>
  <c r="AX310" i="3"/>
  <c r="AY310" i="3"/>
  <c r="AZ310" i="3"/>
  <c r="BA310" i="3"/>
  <c r="BB310" i="3"/>
  <c r="BC310" i="3"/>
  <c r="BD310" i="3"/>
  <c r="BE310" i="3" a="1"/>
  <c r="BF310" i="3"/>
  <c r="BG310" i="3"/>
  <c r="BH310" i="3" a="1"/>
  <c r="BI310" i="3"/>
  <c r="BJ310" i="3" a="1"/>
  <c r="BK310" i="3" a="1"/>
  <c r="BL310" i="3"/>
  <c r="BM310" i="3"/>
  <c r="B311" i="3"/>
  <c r="C311" i="3"/>
  <c r="D311" i="3"/>
  <c r="E311" i="3"/>
  <c r="F311" i="3"/>
  <c r="G311" i="3"/>
  <c r="H311" i="3"/>
  <c r="I311" i="3"/>
  <c r="J311" i="3"/>
  <c r="K311" i="3"/>
  <c r="L311" i="3"/>
  <c r="M311" i="3" a="1"/>
  <c r="N311" i="3"/>
  <c r="O311" i="3"/>
  <c r="P311" i="3"/>
  <c r="Q311" i="3" a="1"/>
  <c r="R311" i="3"/>
  <c r="S311" i="3"/>
  <c r="T311" i="3"/>
  <c r="U311" i="3"/>
  <c r="V311" i="3" a="1"/>
  <c r="W311" i="3" a="1"/>
  <c r="X311" i="3"/>
  <c r="Y311" i="3"/>
  <c r="Z311" i="3"/>
  <c r="AA311" i="3"/>
  <c r="AB311" i="3" a="1"/>
  <c r="AC311" i="3"/>
  <c r="AD311" i="3" a="1"/>
  <c r="AE311" i="3"/>
  <c r="AG311" i="3"/>
  <c r="AH311" i="3"/>
  <c r="AI311" i="3"/>
  <c r="AJ311" i="3"/>
  <c r="AK311" i="3"/>
  <c r="AL311" i="3"/>
  <c r="AM311" i="3"/>
  <c r="AN311" i="3"/>
  <c r="AO311" i="3"/>
  <c r="AP311" i="3"/>
  <c r="AQ311" i="3" a="1"/>
  <c r="AR311" i="3" a="1"/>
  <c r="AS311" i="3"/>
  <c r="AT311" i="3" a="1"/>
  <c r="AU311" i="3"/>
  <c r="AV311" i="3" a="1"/>
  <c r="AW311" i="3"/>
  <c r="AX311" i="3"/>
  <c r="AY311" i="3"/>
  <c r="AZ311" i="3"/>
  <c r="BA311" i="3"/>
  <c r="BB311" i="3"/>
  <c r="BC311" i="3"/>
  <c r="BD311" i="3"/>
  <c r="BE311" i="3" a="1"/>
  <c r="BF311" i="3"/>
  <c r="BG311" i="3"/>
  <c r="BH311" i="3" a="1"/>
  <c r="BI311" i="3"/>
  <c r="BJ311" i="3" a="1"/>
  <c r="BK311" i="3" a="1"/>
  <c r="BL311" i="3"/>
  <c r="BM311" i="3"/>
  <c r="B312" i="3"/>
  <c r="C312" i="3"/>
  <c r="D312" i="3"/>
  <c r="E312" i="3"/>
  <c r="F312" i="3"/>
  <c r="G312" i="3"/>
  <c r="H312" i="3"/>
  <c r="I312" i="3"/>
  <c r="J312" i="3"/>
  <c r="K312" i="3"/>
  <c r="L312" i="3"/>
  <c r="M312" i="3" a="1"/>
  <c r="N312" i="3"/>
  <c r="O312" i="3"/>
  <c r="P312" i="3"/>
  <c r="Q312" i="3" a="1"/>
  <c r="R312" i="3"/>
  <c r="S312" i="3"/>
  <c r="T312" i="3"/>
  <c r="U312" i="3"/>
  <c r="V312" i="3" a="1"/>
  <c r="W312" i="3" a="1"/>
  <c r="X312" i="3"/>
  <c r="Y312" i="3"/>
  <c r="Z312" i="3"/>
  <c r="AA312" i="3"/>
  <c r="AB312" i="3" a="1"/>
  <c r="AC312" i="3"/>
  <c r="AD312" i="3" a="1"/>
  <c r="AE312" i="3"/>
  <c r="AG312" i="3"/>
  <c r="AH312" i="3"/>
  <c r="AI312" i="3"/>
  <c r="AJ312" i="3"/>
  <c r="AK312" i="3"/>
  <c r="AL312" i="3"/>
  <c r="AM312" i="3"/>
  <c r="AN312" i="3"/>
  <c r="AO312" i="3"/>
  <c r="AP312" i="3"/>
  <c r="AQ312" i="3" a="1"/>
  <c r="AR312" i="3" a="1"/>
  <c r="AS312" i="3"/>
  <c r="AT312" i="3" a="1"/>
  <c r="AU312" i="3"/>
  <c r="AV312" i="3" a="1"/>
  <c r="AW312" i="3"/>
  <c r="AX312" i="3"/>
  <c r="AY312" i="3"/>
  <c r="AZ312" i="3"/>
  <c r="BA312" i="3"/>
  <c r="BB312" i="3"/>
  <c r="BC312" i="3"/>
  <c r="BD312" i="3"/>
  <c r="BE312" i="3" a="1"/>
  <c r="BF312" i="3"/>
  <c r="BG312" i="3"/>
  <c r="BH312" i="3" a="1"/>
  <c r="BI312" i="3"/>
  <c r="BJ312" i="3" a="1"/>
  <c r="BK312" i="3" a="1"/>
  <c r="BL312" i="3"/>
  <c r="BM312" i="3"/>
  <c r="B313" i="3"/>
  <c r="C313" i="3"/>
  <c r="D313" i="3"/>
  <c r="E313" i="3"/>
  <c r="F313" i="3"/>
  <c r="G313" i="3"/>
  <c r="H313" i="3"/>
  <c r="I313" i="3"/>
  <c r="J313" i="3"/>
  <c r="K313" i="3"/>
  <c r="L313" i="3"/>
  <c r="M313" i="3" a="1"/>
  <c r="N313" i="3"/>
  <c r="O313" i="3"/>
  <c r="P313" i="3"/>
  <c r="Q313" i="3" a="1"/>
  <c r="R313" i="3"/>
  <c r="S313" i="3"/>
  <c r="T313" i="3"/>
  <c r="U313" i="3"/>
  <c r="V313" i="3" a="1"/>
  <c r="W313" i="3" a="1"/>
  <c r="X313" i="3"/>
  <c r="Y313" i="3"/>
  <c r="Z313" i="3"/>
  <c r="AA313" i="3"/>
  <c r="AB313" i="3" a="1"/>
  <c r="AC313" i="3"/>
  <c r="AD313" i="3" a="1"/>
  <c r="AE313" i="3"/>
  <c r="AG313" i="3"/>
  <c r="AH313" i="3"/>
  <c r="AI313" i="3"/>
  <c r="AJ313" i="3"/>
  <c r="AK313" i="3"/>
  <c r="AL313" i="3"/>
  <c r="AM313" i="3"/>
  <c r="AN313" i="3"/>
  <c r="AO313" i="3"/>
  <c r="AP313" i="3"/>
  <c r="AQ313" i="3" a="1"/>
  <c r="AR313" i="3" a="1"/>
  <c r="AS313" i="3"/>
  <c r="AT313" i="3" a="1"/>
  <c r="AU313" i="3"/>
  <c r="AV313" i="3" a="1"/>
  <c r="AW313" i="3"/>
  <c r="AX313" i="3"/>
  <c r="AY313" i="3"/>
  <c r="AZ313" i="3"/>
  <c r="BA313" i="3"/>
  <c r="BB313" i="3"/>
  <c r="BC313" i="3"/>
  <c r="BD313" i="3"/>
  <c r="BE313" i="3" a="1"/>
  <c r="BF313" i="3"/>
  <c r="BG313" i="3"/>
  <c r="BH313" i="3" a="1"/>
  <c r="BI313" i="3"/>
  <c r="BJ313" i="3" a="1"/>
  <c r="BK313" i="3" a="1"/>
  <c r="BL313" i="3"/>
  <c r="BM313" i="3"/>
  <c r="B314" i="3"/>
  <c r="C314" i="3"/>
  <c r="D314" i="3"/>
  <c r="E314" i="3"/>
  <c r="F314" i="3"/>
  <c r="G314" i="3"/>
  <c r="H314" i="3"/>
  <c r="I314" i="3"/>
  <c r="J314" i="3"/>
  <c r="K314" i="3"/>
  <c r="L314" i="3"/>
  <c r="M314" i="3" a="1"/>
  <c r="N314" i="3"/>
  <c r="O314" i="3"/>
  <c r="P314" i="3"/>
  <c r="Q314" i="3" a="1"/>
  <c r="R314" i="3"/>
  <c r="S314" i="3"/>
  <c r="T314" i="3"/>
  <c r="U314" i="3"/>
  <c r="V314" i="3" a="1"/>
  <c r="W314" i="3" a="1"/>
  <c r="X314" i="3"/>
  <c r="Y314" i="3"/>
  <c r="Z314" i="3"/>
  <c r="AA314" i="3"/>
  <c r="AB314" i="3" a="1"/>
  <c r="AC314" i="3"/>
  <c r="AD314" i="3" a="1"/>
  <c r="AE314" i="3"/>
  <c r="AG314" i="3"/>
  <c r="AH314" i="3"/>
  <c r="AI314" i="3"/>
  <c r="AJ314" i="3"/>
  <c r="AK314" i="3"/>
  <c r="AL314" i="3"/>
  <c r="AM314" i="3"/>
  <c r="AN314" i="3"/>
  <c r="AO314" i="3"/>
  <c r="AP314" i="3"/>
  <c r="AQ314" i="3" a="1"/>
  <c r="AR314" i="3" a="1"/>
  <c r="AS314" i="3"/>
  <c r="AT314" i="3" a="1"/>
  <c r="AU314" i="3"/>
  <c r="AV314" i="3" a="1"/>
  <c r="AW314" i="3"/>
  <c r="AX314" i="3"/>
  <c r="AY314" i="3"/>
  <c r="AZ314" i="3"/>
  <c r="BA314" i="3"/>
  <c r="BB314" i="3"/>
  <c r="BC314" i="3"/>
  <c r="BD314" i="3"/>
  <c r="BE314" i="3" a="1"/>
  <c r="BF314" i="3"/>
  <c r="BG314" i="3"/>
  <c r="BH314" i="3" a="1"/>
  <c r="BI314" i="3"/>
  <c r="BJ314" i="3" a="1"/>
  <c r="BK314" i="3" a="1"/>
  <c r="BL314" i="3"/>
  <c r="BM314" i="3"/>
  <c r="B315" i="3"/>
  <c r="C315" i="3"/>
  <c r="D315" i="3"/>
  <c r="E315" i="3"/>
  <c r="F315" i="3"/>
  <c r="G315" i="3"/>
  <c r="H315" i="3"/>
  <c r="I315" i="3"/>
  <c r="J315" i="3"/>
  <c r="K315" i="3"/>
  <c r="L315" i="3"/>
  <c r="M315" i="3" a="1"/>
  <c r="N315" i="3"/>
  <c r="O315" i="3"/>
  <c r="P315" i="3"/>
  <c r="Q315" i="3" a="1"/>
  <c r="R315" i="3"/>
  <c r="S315" i="3"/>
  <c r="T315" i="3"/>
  <c r="U315" i="3"/>
  <c r="V315" i="3" a="1"/>
  <c r="W315" i="3" a="1"/>
  <c r="X315" i="3"/>
  <c r="Y315" i="3"/>
  <c r="Z315" i="3"/>
  <c r="AA315" i="3"/>
  <c r="AB315" i="3" a="1"/>
  <c r="AC315" i="3"/>
  <c r="AD315" i="3" a="1"/>
  <c r="AE315" i="3"/>
  <c r="AG315" i="3"/>
  <c r="AH315" i="3"/>
  <c r="AI315" i="3"/>
  <c r="AJ315" i="3"/>
  <c r="AK315" i="3"/>
  <c r="AL315" i="3"/>
  <c r="AM315" i="3"/>
  <c r="AN315" i="3"/>
  <c r="AO315" i="3"/>
  <c r="AP315" i="3"/>
  <c r="AQ315" i="3" a="1"/>
  <c r="AR315" i="3" a="1"/>
  <c r="AS315" i="3"/>
  <c r="AT315" i="3" a="1"/>
  <c r="AU315" i="3"/>
  <c r="AV315" i="3" a="1"/>
  <c r="AW315" i="3"/>
  <c r="AX315" i="3"/>
  <c r="AY315" i="3"/>
  <c r="AZ315" i="3"/>
  <c r="BA315" i="3"/>
  <c r="BB315" i="3"/>
  <c r="BC315" i="3"/>
  <c r="BD315" i="3"/>
  <c r="BE315" i="3" a="1"/>
  <c r="BF315" i="3"/>
  <c r="BG315" i="3"/>
  <c r="BH315" i="3" a="1"/>
  <c r="BI315" i="3"/>
  <c r="BJ315" i="3" a="1"/>
  <c r="BK315" i="3" a="1"/>
  <c r="BL315" i="3"/>
  <c r="BM315" i="3"/>
  <c r="B316" i="3"/>
  <c r="C316" i="3"/>
  <c r="D316" i="3"/>
  <c r="E316" i="3"/>
  <c r="F316" i="3"/>
  <c r="G316" i="3"/>
  <c r="H316" i="3"/>
  <c r="I316" i="3"/>
  <c r="J316" i="3"/>
  <c r="K316" i="3"/>
  <c r="L316" i="3"/>
  <c r="M316" i="3" a="1"/>
  <c r="N316" i="3"/>
  <c r="O316" i="3"/>
  <c r="P316" i="3"/>
  <c r="Q316" i="3" a="1"/>
  <c r="R316" i="3"/>
  <c r="S316" i="3"/>
  <c r="T316" i="3"/>
  <c r="U316" i="3"/>
  <c r="V316" i="3" a="1"/>
  <c r="W316" i="3" a="1"/>
  <c r="X316" i="3"/>
  <c r="Y316" i="3"/>
  <c r="Z316" i="3"/>
  <c r="AA316" i="3"/>
  <c r="AB316" i="3" a="1"/>
  <c r="AC316" i="3"/>
  <c r="AD316" i="3" a="1"/>
  <c r="AE316" i="3"/>
  <c r="AG316" i="3"/>
  <c r="AH316" i="3"/>
  <c r="AI316" i="3"/>
  <c r="AJ316" i="3"/>
  <c r="AK316" i="3"/>
  <c r="AL316" i="3"/>
  <c r="AM316" i="3"/>
  <c r="AN316" i="3"/>
  <c r="AO316" i="3"/>
  <c r="AP316" i="3"/>
  <c r="AQ316" i="3" a="1"/>
  <c r="AR316" i="3" a="1"/>
  <c r="AS316" i="3"/>
  <c r="AT316" i="3" a="1"/>
  <c r="AU316" i="3"/>
  <c r="AV316" i="3" a="1"/>
  <c r="AW316" i="3"/>
  <c r="AX316" i="3"/>
  <c r="AY316" i="3"/>
  <c r="AZ316" i="3"/>
  <c r="BA316" i="3"/>
  <c r="BB316" i="3"/>
  <c r="BC316" i="3"/>
  <c r="BD316" i="3"/>
  <c r="BE316" i="3" a="1"/>
  <c r="BF316" i="3"/>
  <c r="BG316" i="3"/>
  <c r="BH316" i="3" a="1"/>
  <c r="BI316" i="3"/>
  <c r="BJ316" i="3" a="1"/>
  <c r="BK316" i="3" a="1"/>
  <c r="BL316" i="3"/>
  <c r="BM316" i="3"/>
  <c r="B317" i="3"/>
  <c r="C317" i="3"/>
  <c r="D317" i="3"/>
  <c r="E317" i="3"/>
  <c r="F317" i="3"/>
  <c r="G317" i="3"/>
  <c r="H317" i="3"/>
  <c r="I317" i="3"/>
  <c r="J317" i="3"/>
  <c r="K317" i="3"/>
  <c r="L317" i="3"/>
  <c r="M317" i="3" a="1"/>
  <c r="N317" i="3"/>
  <c r="O317" i="3"/>
  <c r="P317" i="3"/>
  <c r="Q317" i="3" a="1"/>
  <c r="R317" i="3"/>
  <c r="S317" i="3"/>
  <c r="T317" i="3"/>
  <c r="U317" i="3"/>
  <c r="V317" i="3" a="1"/>
  <c r="W317" i="3" a="1"/>
  <c r="X317" i="3"/>
  <c r="Y317" i="3"/>
  <c r="Z317" i="3"/>
  <c r="AA317" i="3"/>
  <c r="AB317" i="3" a="1"/>
  <c r="AC317" i="3"/>
  <c r="AD317" i="3" a="1"/>
  <c r="AE317" i="3"/>
  <c r="AG317" i="3"/>
  <c r="AH317" i="3"/>
  <c r="AI317" i="3"/>
  <c r="AJ317" i="3"/>
  <c r="AK317" i="3"/>
  <c r="AL317" i="3"/>
  <c r="AM317" i="3"/>
  <c r="AN317" i="3"/>
  <c r="AO317" i="3"/>
  <c r="AP317" i="3"/>
  <c r="AQ317" i="3" a="1"/>
  <c r="AR317" i="3" a="1"/>
  <c r="AS317" i="3"/>
  <c r="AT317" i="3" a="1"/>
  <c r="AU317" i="3"/>
  <c r="AV317" i="3" a="1"/>
  <c r="AW317" i="3"/>
  <c r="AX317" i="3"/>
  <c r="AY317" i="3"/>
  <c r="AZ317" i="3"/>
  <c r="BA317" i="3"/>
  <c r="BB317" i="3"/>
  <c r="BC317" i="3"/>
  <c r="BD317" i="3"/>
  <c r="BE317" i="3" a="1"/>
  <c r="BF317" i="3"/>
  <c r="BG317" i="3"/>
  <c r="BH317" i="3" a="1"/>
  <c r="BI317" i="3"/>
  <c r="BJ317" i="3" a="1"/>
  <c r="BK317" i="3" a="1"/>
  <c r="BL317" i="3"/>
  <c r="BM317" i="3"/>
  <c r="B318" i="3"/>
  <c r="C318" i="3"/>
  <c r="D318" i="3"/>
  <c r="E318" i="3"/>
  <c r="F318" i="3"/>
  <c r="G318" i="3"/>
  <c r="H318" i="3"/>
  <c r="I318" i="3"/>
  <c r="J318" i="3"/>
  <c r="K318" i="3"/>
  <c r="L318" i="3"/>
  <c r="M318" i="3" a="1"/>
  <c r="N318" i="3"/>
  <c r="O318" i="3"/>
  <c r="P318" i="3"/>
  <c r="Q318" i="3" a="1"/>
  <c r="R318" i="3"/>
  <c r="S318" i="3"/>
  <c r="T318" i="3"/>
  <c r="U318" i="3"/>
  <c r="V318" i="3" a="1"/>
  <c r="W318" i="3" a="1"/>
  <c r="X318" i="3"/>
  <c r="Y318" i="3"/>
  <c r="Z318" i="3"/>
  <c r="AA318" i="3"/>
  <c r="AB318" i="3" a="1"/>
  <c r="AC318" i="3"/>
  <c r="AD318" i="3" a="1"/>
  <c r="AE318" i="3"/>
  <c r="AG318" i="3"/>
  <c r="AH318" i="3"/>
  <c r="AI318" i="3"/>
  <c r="AJ318" i="3"/>
  <c r="AK318" i="3"/>
  <c r="AL318" i="3"/>
  <c r="AM318" i="3"/>
  <c r="AN318" i="3"/>
  <c r="AO318" i="3"/>
  <c r="AP318" i="3"/>
  <c r="AQ318" i="3" a="1"/>
  <c r="AR318" i="3" a="1"/>
  <c r="AS318" i="3"/>
  <c r="AT318" i="3" a="1"/>
  <c r="AU318" i="3"/>
  <c r="AV318" i="3" a="1"/>
  <c r="AW318" i="3"/>
  <c r="AX318" i="3"/>
  <c r="AY318" i="3"/>
  <c r="AZ318" i="3"/>
  <c r="BA318" i="3"/>
  <c r="BB318" i="3"/>
  <c r="BC318" i="3"/>
  <c r="BD318" i="3"/>
  <c r="BE318" i="3" a="1"/>
  <c r="BF318" i="3"/>
  <c r="BG318" i="3"/>
  <c r="BH318" i="3" a="1"/>
  <c r="BI318" i="3"/>
  <c r="BJ318" i="3" a="1"/>
  <c r="BK318" i="3" a="1"/>
  <c r="BL318" i="3"/>
  <c r="BM318" i="3"/>
  <c r="B319" i="3"/>
  <c r="C319" i="3"/>
  <c r="D319" i="3"/>
  <c r="E319" i="3"/>
  <c r="F319" i="3"/>
  <c r="G319" i="3"/>
  <c r="H319" i="3"/>
  <c r="I319" i="3"/>
  <c r="J319" i="3"/>
  <c r="K319" i="3"/>
  <c r="L319" i="3"/>
  <c r="M319" i="3" a="1"/>
  <c r="N319" i="3"/>
  <c r="O319" i="3"/>
  <c r="P319" i="3"/>
  <c r="Q319" i="3" a="1"/>
  <c r="R319" i="3"/>
  <c r="S319" i="3"/>
  <c r="T319" i="3"/>
  <c r="U319" i="3"/>
  <c r="V319" i="3" a="1"/>
  <c r="W319" i="3" a="1"/>
  <c r="X319" i="3"/>
  <c r="Y319" i="3"/>
  <c r="Z319" i="3"/>
  <c r="AA319" i="3"/>
  <c r="AB319" i="3" a="1"/>
  <c r="AC319" i="3"/>
  <c r="AD319" i="3" a="1"/>
  <c r="AE319" i="3"/>
  <c r="AG319" i="3"/>
  <c r="AH319" i="3"/>
  <c r="AI319" i="3"/>
  <c r="AJ319" i="3"/>
  <c r="AK319" i="3"/>
  <c r="AL319" i="3"/>
  <c r="AM319" i="3"/>
  <c r="AN319" i="3"/>
  <c r="AO319" i="3"/>
  <c r="AP319" i="3"/>
  <c r="AQ319" i="3" a="1"/>
  <c r="AR319" i="3" a="1"/>
  <c r="AS319" i="3"/>
  <c r="AT319" i="3" a="1"/>
  <c r="AU319" i="3"/>
  <c r="AV319" i="3" a="1"/>
  <c r="AW319" i="3"/>
  <c r="AX319" i="3"/>
  <c r="AY319" i="3"/>
  <c r="AZ319" i="3"/>
  <c r="BA319" i="3"/>
  <c r="BB319" i="3"/>
  <c r="BC319" i="3"/>
  <c r="BD319" i="3"/>
  <c r="BE319" i="3" a="1"/>
  <c r="BF319" i="3"/>
  <c r="BG319" i="3"/>
  <c r="BH319" i="3" a="1"/>
  <c r="BI319" i="3"/>
  <c r="BJ319" i="3" a="1"/>
  <c r="BK319" i="3" a="1"/>
  <c r="BL319" i="3"/>
  <c r="BM319" i="3"/>
  <c r="B320" i="3"/>
  <c r="C320" i="3"/>
  <c r="D320" i="3"/>
  <c r="E320" i="3"/>
  <c r="F320" i="3"/>
  <c r="G320" i="3"/>
  <c r="H320" i="3"/>
  <c r="I320" i="3"/>
  <c r="J320" i="3"/>
  <c r="K320" i="3"/>
  <c r="L320" i="3"/>
  <c r="M320" i="3" a="1"/>
  <c r="N320" i="3"/>
  <c r="O320" i="3"/>
  <c r="P320" i="3"/>
  <c r="Q320" i="3" a="1"/>
  <c r="R320" i="3"/>
  <c r="S320" i="3"/>
  <c r="T320" i="3"/>
  <c r="U320" i="3"/>
  <c r="V320" i="3" a="1"/>
  <c r="W320" i="3" a="1"/>
  <c r="X320" i="3"/>
  <c r="Y320" i="3"/>
  <c r="Z320" i="3"/>
  <c r="AA320" i="3"/>
  <c r="AB320" i="3" a="1"/>
  <c r="AC320" i="3"/>
  <c r="AD320" i="3" a="1"/>
  <c r="AE320" i="3"/>
  <c r="AG320" i="3"/>
  <c r="AH320" i="3"/>
  <c r="AI320" i="3"/>
  <c r="AJ320" i="3"/>
  <c r="AK320" i="3"/>
  <c r="AL320" i="3"/>
  <c r="AM320" i="3"/>
  <c r="AN320" i="3"/>
  <c r="AO320" i="3"/>
  <c r="AP320" i="3"/>
  <c r="AQ320" i="3" a="1"/>
  <c r="AR320" i="3" a="1"/>
  <c r="AS320" i="3"/>
  <c r="AT320" i="3" a="1"/>
  <c r="AU320" i="3"/>
  <c r="AV320" i="3" a="1"/>
  <c r="AW320" i="3"/>
  <c r="AX320" i="3"/>
  <c r="AY320" i="3"/>
  <c r="AZ320" i="3"/>
  <c r="BA320" i="3"/>
  <c r="BB320" i="3"/>
  <c r="BC320" i="3"/>
  <c r="BD320" i="3"/>
  <c r="BE320" i="3" a="1"/>
  <c r="BF320" i="3"/>
  <c r="BG320" i="3"/>
  <c r="BH320" i="3" a="1"/>
  <c r="BI320" i="3"/>
  <c r="BJ320" i="3" a="1"/>
  <c r="BK320" i="3" a="1"/>
  <c r="BL320" i="3"/>
  <c r="BM320" i="3"/>
  <c r="B321" i="3"/>
  <c r="C321" i="3"/>
  <c r="D321" i="3"/>
  <c r="E321" i="3"/>
  <c r="F321" i="3"/>
  <c r="G321" i="3"/>
  <c r="H321" i="3"/>
  <c r="I321" i="3"/>
  <c r="J321" i="3"/>
  <c r="K321" i="3"/>
  <c r="L321" i="3"/>
  <c r="M321" i="3" a="1"/>
  <c r="N321" i="3"/>
  <c r="O321" i="3"/>
  <c r="P321" i="3"/>
  <c r="Q321" i="3" a="1"/>
  <c r="R321" i="3"/>
  <c r="S321" i="3"/>
  <c r="T321" i="3"/>
  <c r="U321" i="3"/>
  <c r="V321" i="3" a="1"/>
  <c r="W321" i="3" a="1"/>
  <c r="X321" i="3"/>
  <c r="Y321" i="3"/>
  <c r="Z321" i="3"/>
  <c r="AA321" i="3"/>
  <c r="AB321" i="3" a="1"/>
  <c r="AC321" i="3"/>
  <c r="AD321" i="3" a="1"/>
  <c r="AE321" i="3"/>
  <c r="AG321" i="3"/>
  <c r="AH321" i="3"/>
  <c r="AI321" i="3"/>
  <c r="AJ321" i="3"/>
  <c r="AK321" i="3"/>
  <c r="AL321" i="3"/>
  <c r="AM321" i="3"/>
  <c r="AN321" i="3"/>
  <c r="AO321" i="3"/>
  <c r="AP321" i="3"/>
  <c r="AQ321" i="3" a="1"/>
  <c r="AR321" i="3" a="1"/>
  <c r="AS321" i="3"/>
  <c r="AT321" i="3" a="1"/>
  <c r="AU321" i="3"/>
  <c r="AV321" i="3" a="1"/>
  <c r="AW321" i="3"/>
  <c r="AX321" i="3"/>
  <c r="AY321" i="3"/>
  <c r="AZ321" i="3"/>
  <c r="BA321" i="3"/>
  <c r="BB321" i="3"/>
  <c r="BC321" i="3"/>
  <c r="BD321" i="3"/>
  <c r="BE321" i="3" a="1"/>
  <c r="BF321" i="3"/>
  <c r="BG321" i="3"/>
  <c r="BH321" i="3" a="1"/>
  <c r="BI321" i="3"/>
  <c r="BJ321" i="3" a="1"/>
  <c r="BK321" i="3" a="1"/>
  <c r="BL321" i="3"/>
  <c r="BM321" i="3"/>
  <c r="B322" i="3"/>
  <c r="C322" i="3"/>
  <c r="D322" i="3"/>
  <c r="E322" i="3"/>
  <c r="F322" i="3"/>
  <c r="G322" i="3"/>
  <c r="H322" i="3"/>
  <c r="I322" i="3"/>
  <c r="J322" i="3"/>
  <c r="K322" i="3"/>
  <c r="L322" i="3"/>
  <c r="M322" i="3" a="1"/>
  <c r="N322" i="3"/>
  <c r="O322" i="3"/>
  <c r="P322" i="3"/>
  <c r="Q322" i="3" a="1"/>
  <c r="R322" i="3"/>
  <c r="S322" i="3"/>
  <c r="T322" i="3"/>
  <c r="U322" i="3"/>
  <c r="V322" i="3" a="1"/>
  <c r="W322" i="3" a="1"/>
  <c r="X322" i="3"/>
  <c r="Y322" i="3"/>
  <c r="Z322" i="3"/>
  <c r="AA322" i="3"/>
  <c r="AB322" i="3" a="1"/>
  <c r="AC322" i="3"/>
  <c r="AD322" i="3" a="1"/>
  <c r="AE322" i="3"/>
  <c r="AG322" i="3"/>
  <c r="AH322" i="3"/>
  <c r="AI322" i="3"/>
  <c r="AJ322" i="3"/>
  <c r="AK322" i="3"/>
  <c r="AL322" i="3"/>
  <c r="AM322" i="3"/>
  <c r="AN322" i="3"/>
  <c r="AO322" i="3"/>
  <c r="AP322" i="3"/>
  <c r="AQ322" i="3" a="1"/>
  <c r="AR322" i="3" a="1"/>
  <c r="AS322" i="3"/>
  <c r="AT322" i="3" a="1"/>
  <c r="AU322" i="3"/>
  <c r="AV322" i="3" a="1"/>
  <c r="AW322" i="3"/>
  <c r="AX322" i="3"/>
  <c r="AY322" i="3"/>
  <c r="AZ322" i="3"/>
  <c r="BA322" i="3"/>
  <c r="BB322" i="3"/>
  <c r="BC322" i="3"/>
  <c r="BD322" i="3"/>
  <c r="BE322" i="3" a="1"/>
  <c r="BF322" i="3"/>
  <c r="BG322" i="3"/>
  <c r="BH322" i="3" a="1"/>
  <c r="BI322" i="3"/>
  <c r="BJ322" i="3" a="1"/>
  <c r="BK322" i="3" a="1"/>
  <c r="BL322" i="3"/>
  <c r="BM322" i="3"/>
  <c r="B323" i="3"/>
  <c r="C323" i="3"/>
  <c r="D323" i="3"/>
  <c r="E323" i="3"/>
  <c r="F323" i="3"/>
  <c r="G323" i="3"/>
  <c r="H323" i="3"/>
  <c r="I323" i="3"/>
  <c r="J323" i="3"/>
  <c r="K323" i="3"/>
  <c r="L323" i="3"/>
  <c r="M323" i="3" a="1"/>
  <c r="N323" i="3"/>
  <c r="O323" i="3"/>
  <c r="P323" i="3"/>
  <c r="Q323" i="3" a="1"/>
  <c r="R323" i="3"/>
  <c r="S323" i="3"/>
  <c r="T323" i="3"/>
  <c r="U323" i="3"/>
  <c r="V323" i="3" a="1"/>
  <c r="W323" i="3" a="1"/>
  <c r="X323" i="3"/>
  <c r="Y323" i="3"/>
  <c r="Z323" i="3"/>
  <c r="AA323" i="3"/>
  <c r="AB323" i="3" a="1"/>
  <c r="AC323" i="3"/>
  <c r="AD323" i="3" a="1"/>
  <c r="AE323" i="3"/>
  <c r="AG323" i="3"/>
  <c r="AH323" i="3"/>
  <c r="AI323" i="3"/>
  <c r="AJ323" i="3"/>
  <c r="AK323" i="3"/>
  <c r="AL323" i="3"/>
  <c r="AM323" i="3"/>
  <c r="AN323" i="3"/>
  <c r="AO323" i="3"/>
  <c r="AP323" i="3"/>
  <c r="AQ323" i="3" a="1"/>
  <c r="AR323" i="3" a="1"/>
  <c r="AS323" i="3"/>
  <c r="AT323" i="3" a="1"/>
  <c r="AU323" i="3"/>
  <c r="AV323" i="3" a="1"/>
  <c r="AW323" i="3"/>
  <c r="AX323" i="3"/>
  <c r="AY323" i="3"/>
  <c r="AZ323" i="3"/>
  <c r="BA323" i="3"/>
  <c r="BB323" i="3"/>
  <c r="BC323" i="3"/>
  <c r="BD323" i="3"/>
  <c r="BE323" i="3" a="1"/>
  <c r="BF323" i="3"/>
  <c r="BG323" i="3"/>
  <c r="BH323" i="3" a="1"/>
  <c r="BI323" i="3"/>
  <c r="BJ323" i="3" a="1"/>
  <c r="BK323" i="3" a="1"/>
  <c r="BL323" i="3"/>
  <c r="BM323" i="3"/>
  <c r="B324" i="3"/>
  <c r="C324" i="3"/>
  <c r="D324" i="3"/>
  <c r="E324" i="3"/>
  <c r="F324" i="3"/>
  <c r="G324" i="3"/>
  <c r="H324" i="3"/>
  <c r="I324" i="3"/>
  <c r="J324" i="3"/>
  <c r="K324" i="3"/>
  <c r="L324" i="3"/>
  <c r="M324" i="3" a="1"/>
  <c r="N324" i="3"/>
  <c r="O324" i="3"/>
  <c r="P324" i="3"/>
  <c r="Q324" i="3" a="1"/>
  <c r="R324" i="3"/>
  <c r="S324" i="3"/>
  <c r="T324" i="3"/>
  <c r="U324" i="3"/>
  <c r="V324" i="3" a="1"/>
  <c r="W324" i="3" a="1"/>
  <c r="X324" i="3"/>
  <c r="Y324" i="3"/>
  <c r="Z324" i="3"/>
  <c r="AA324" i="3"/>
  <c r="AB324" i="3" a="1"/>
  <c r="AC324" i="3"/>
  <c r="AD324" i="3" a="1"/>
  <c r="AE324" i="3"/>
  <c r="AG324" i="3"/>
  <c r="AH324" i="3"/>
  <c r="AI324" i="3"/>
  <c r="AJ324" i="3"/>
  <c r="AK324" i="3"/>
  <c r="AL324" i="3"/>
  <c r="AM324" i="3"/>
  <c r="AN324" i="3"/>
  <c r="AO324" i="3"/>
  <c r="AP324" i="3"/>
  <c r="AQ324" i="3" a="1"/>
  <c r="AR324" i="3" a="1"/>
  <c r="AS324" i="3"/>
  <c r="AT324" i="3" a="1"/>
  <c r="AU324" i="3"/>
  <c r="AV324" i="3" a="1"/>
  <c r="AW324" i="3"/>
  <c r="AX324" i="3"/>
  <c r="AY324" i="3"/>
  <c r="AZ324" i="3"/>
  <c r="BA324" i="3"/>
  <c r="BB324" i="3"/>
  <c r="BC324" i="3"/>
  <c r="BD324" i="3"/>
  <c r="BE324" i="3" a="1"/>
  <c r="BF324" i="3"/>
  <c r="BG324" i="3"/>
  <c r="BH324" i="3" a="1"/>
  <c r="BI324" i="3"/>
  <c r="BJ324" i="3" a="1"/>
  <c r="BK324" i="3" a="1"/>
  <c r="BL324" i="3"/>
  <c r="BM324" i="3"/>
  <c r="B325" i="3"/>
  <c r="C325" i="3"/>
  <c r="D325" i="3"/>
  <c r="E325" i="3"/>
  <c r="F325" i="3"/>
  <c r="G325" i="3"/>
  <c r="H325" i="3"/>
  <c r="I325" i="3"/>
  <c r="J325" i="3"/>
  <c r="K325" i="3"/>
  <c r="L325" i="3"/>
  <c r="M325" i="3" a="1"/>
  <c r="N325" i="3"/>
  <c r="O325" i="3"/>
  <c r="P325" i="3"/>
  <c r="Q325" i="3" a="1"/>
  <c r="R325" i="3"/>
  <c r="S325" i="3"/>
  <c r="T325" i="3"/>
  <c r="U325" i="3"/>
  <c r="V325" i="3" a="1"/>
  <c r="W325" i="3" a="1"/>
  <c r="X325" i="3"/>
  <c r="Y325" i="3"/>
  <c r="Z325" i="3"/>
  <c r="AA325" i="3"/>
  <c r="AB325" i="3" a="1"/>
  <c r="AC325" i="3"/>
  <c r="AD325" i="3" a="1"/>
  <c r="AE325" i="3"/>
  <c r="AG325" i="3"/>
  <c r="AH325" i="3"/>
  <c r="AI325" i="3"/>
  <c r="AJ325" i="3"/>
  <c r="AK325" i="3"/>
  <c r="AL325" i="3"/>
  <c r="AM325" i="3"/>
  <c r="AN325" i="3"/>
  <c r="AO325" i="3"/>
  <c r="AP325" i="3"/>
  <c r="AQ325" i="3" a="1"/>
  <c r="AR325" i="3" a="1"/>
  <c r="AS325" i="3"/>
  <c r="AT325" i="3" a="1"/>
  <c r="AU325" i="3"/>
  <c r="AV325" i="3" a="1"/>
  <c r="AW325" i="3"/>
  <c r="AX325" i="3"/>
  <c r="AY325" i="3"/>
  <c r="AZ325" i="3"/>
  <c r="BA325" i="3"/>
  <c r="BB325" i="3"/>
  <c r="BC325" i="3"/>
  <c r="BD325" i="3"/>
  <c r="BE325" i="3" a="1"/>
  <c r="BF325" i="3"/>
  <c r="BG325" i="3"/>
  <c r="BH325" i="3" a="1"/>
  <c r="BI325" i="3"/>
  <c r="BJ325" i="3" a="1"/>
  <c r="BK325" i="3" a="1"/>
  <c r="BL325" i="3"/>
  <c r="BM325" i="3"/>
  <c r="B326" i="3"/>
  <c r="C326" i="3"/>
  <c r="D326" i="3"/>
  <c r="E326" i="3"/>
  <c r="F326" i="3"/>
  <c r="G326" i="3"/>
  <c r="H326" i="3"/>
  <c r="I326" i="3"/>
  <c r="J326" i="3"/>
  <c r="K326" i="3"/>
  <c r="L326" i="3"/>
  <c r="M326" i="3" a="1"/>
  <c r="N326" i="3"/>
  <c r="O326" i="3"/>
  <c r="P326" i="3"/>
  <c r="Q326" i="3" a="1"/>
  <c r="R326" i="3"/>
  <c r="S326" i="3"/>
  <c r="T326" i="3"/>
  <c r="U326" i="3"/>
  <c r="V326" i="3" a="1"/>
  <c r="W326" i="3" a="1"/>
  <c r="X326" i="3"/>
  <c r="Y326" i="3"/>
  <c r="Z326" i="3"/>
  <c r="AA326" i="3"/>
  <c r="AB326" i="3" a="1"/>
  <c r="AC326" i="3"/>
  <c r="AD326" i="3" a="1"/>
  <c r="AE326" i="3"/>
  <c r="AG326" i="3"/>
  <c r="AH326" i="3"/>
  <c r="AI326" i="3"/>
  <c r="AJ326" i="3"/>
  <c r="AK326" i="3"/>
  <c r="AL326" i="3"/>
  <c r="AM326" i="3"/>
  <c r="AN326" i="3"/>
  <c r="AO326" i="3"/>
  <c r="AP326" i="3"/>
  <c r="AQ326" i="3" a="1"/>
  <c r="AR326" i="3" a="1"/>
  <c r="AS326" i="3"/>
  <c r="AT326" i="3" a="1"/>
  <c r="AU326" i="3"/>
  <c r="AV326" i="3" a="1"/>
  <c r="AW326" i="3"/>
  <c r="AX326" i="3"/>
  <c r="AY326" i="3"/>
  <c r="AZ326" i="3"/>
  <c r="BA326" i="3"/>
  <c r="BB326" i="3"/>
  <c r="BC326" i="3"/>
  <c r="BD326" i="3"/>
  <c r="BE326" i="3" a="1"/>
  <c r="BF326" i="3"/>
  <c r="BG326" i="3"/>
  <c r="BH326" i="3" a="1"/>
  <c r="BI326" i="3"/>
  <c r="BJ326" i="3" a="1"/>
  <c r="BK326" i="3" a="1"/>
  <c r="BL326" i="3"/>
  <c r="BM326" i="3"/>
  <c r="B327" i="3"/>
  <c r="C327" i="3"/>
  <c r="D327" i="3"/>
  <c r="E327" i="3"/>
  <c r="F327" i="3"/>
  <c r="G327" i="3"/>
  <c r="H327" i="3"/>
  <c r="I327" i="3"/>
  <c r="J327" i="3"/>
  <c r="K327" i="3"/>
  <c r="L327" i="3"/>
  <c r="M327" i="3" a="1"/>
  <c r="N327" i="3"/>
  <c r="O327" i="3"/>
  <c r="P327" i="3"/>
  <c r="Q327" i="3" a="1"/>
  <c r="R327" i="3"/>
  <c r="S327" i="3"/>
  <c r="T327" i="3"/>
  <c r="U327" i="3"/>
  <c r="V327" i="3" a="1"/>
  <c r="W327" i="3" a="1"/>
  <c r="X327" i="3"/>
  <c r="Y327" i="3"/>
  <c r="Z327" i="3"/>
  <c r="AA327" i="3"/>
  <c r="AB327" i="3" a="1"/>
  <c r="AC327" i="3"/>
  <c r="AD327" i="3" a="1"/>
  <c r="AE327" i="3"/>
  <c r="AG327" i="3"/>
  <c r="AH327" i="3"/>
  <c r="AI327" i="3"/>
  <c r="AJ327" i="3"/>
  <c r="AK327" i="3"/>
  <c r="AL327" i="3"/>
  <c r="AM327" i="3"/>
  <c r="AN327" i="3"/>
  <c r="AO327" i="3"/>
  <c r="AP327" i="3"/>
  <c r="AQ327" i="3" a="1"/>
  <c r="AR327" i="3" a="1"/>
  <c r="AS327" i="3"/>
  <c r="AT327" i="3" a="1"/>
  <c r="AU327" i="3"/>
  <c r="AV327" i="3" a="1"/>
  <c r="AW327" i="3"/>
  <c r="AX327" i="3"/>
  <c r="AY327" i="3"/>
  <c r="AZ327" i="3"/>
  <c r="BA327" i="3"/>
  <c r="BB327" i="3"/>
  <c r="BC327" i="3"/>
  <c r="BD327" i="3"/>
  <c r="BE327" i="3" a="1"/>
  <c r="BF327" i="3"/>
  <c r="BG327" i="3"/>
  <c r="BH327" i="3" a="1"/>
  <c r="BI327" i="3"/>
  <c r="BJ327" i="3" a="1"/>
  <c r="BK327" i="3" a="1"/>
  <c r="BL327" i="3"/>
  <c r="BM327" i="3"/>
  <c r="B328" i="3"/>
  <c r="C328" i="3"/>
  <c r="D328" i="3"/>
  <c r="E328" i="3"/>
  <c r="F328" i="3"/>
  <c r="G328" i="3"/>
  <c r="H328" i="3"/>
  <c r="I328" i="3"/>
  <c r="J328" i="3"/>
  <c r="K328" i="3"/>
  <c r="L328" i="3"/>
  <c r="M328" i="3" a="1"/>
  <c r="N328" i="3"/>
  <c r="O328" i="3"/>
  <c r="P328" i="3"/>
  <c r="Q328" i="3" a="1"/>
  <c r="R328" i="3"/>
  <c r="S328" i="3"/>
  <c r="T328" i="3"/>
  <c r="U328" i="3"/>
  <c r="V328" i="3" a="1"/>
  <c r="W328" i="3" a="1"/>
  <c r="X328" i="3"/>
  <c r="Y328" i="3"/>
  <c r="Z328" i="3"/>
  <c r="AA328" i="3"/>
  <c r="AB328" i="3" a="1"/>
  <c r="AC328" i="3"/>
  <c r="AD328" i="3" a="1"/>
  <c r="AE328" i="3"/>
  <c r="AG328" i="3"/>
  <c r="AH328" i="3"/>
  <c r="AI328" i="3"/>
  <c r="AJ328" i="3"/>
  <c r="AK328" i="3"/>
  <c r="AL328" i="3"/>
  <c r="AM328" i="3"/>
  <c r="AN328" i="3"/>
  <c r="AO328" i="3"/>
  <c r="AP328" i="3"/>
  <c r="AQ328" i="3" a="1"/>
  <c r="AR328" i="3" a="1"/>
  <c r="AS328" i="3"/>
  <c r="AT328" i="3" a="1"/>
  <c r="AU328" i="3"/>
  <c r="AV328" i="3" a="1"/>
  <c r="AW328" i="3"/>
  <c r="AX328" i="3"/>
  <c r="AY328" i="3"/>
  <c r="AZ328" i="3"/>
  <c r="BA328" i="3"/>
  <c r="BB328" i="3"/>
  <c r="BC328" i="3"/>
  <c r="BD328" i="3"/>
  <c r="BE328" i="3" a="1"/>
  <c r="BF328" i="3"/>
  <c r="BG328" i="3"/>
  <c r="BH328" i="3" a="1"/>
  <c r="BI328" i="3"/>
  <c r="BJ328" i="3" a="1"/>
  <c r="BK328" i="3" a="1"/>
  <c r="BL328" i="3"/>
  <c r="BM328" i="3"/>
  <c r="B329" i="3"/>
  <c r="C329" i="3"/>
  <c r="D329" i="3"/>
  <c r="E329" i="3"/>
  <c r="F329" i="3"/>
  <c r="G329" i="3"/>
  <c r="H329" i="3"/>
  <c r="I329" i="3"/>
  <c r="J329" i="3"/>
  <c r="K329" i="3"/>
  <c r="L329" i="3"/>
  <c r="M329" i="3" a="1"/>
  <c r="N329" i="3"/>
  <c r="O329" i="3"/>
  <c r="P329" i="3"/>
  <c r="Q329" i="3" a="1"/>
  <c r="R329" i="3"/>
  <c r="S329" i="3"/>
  <c r="T329" i="3"/>
  <c r="U329" i="3"/>
  <c r="V329" i="3" a="1"/>
  <c r="W329" i="3" a="1"/>
  <c r="X329" i="3"/>
  <c r="Y329" i="3"/>
  <c r="Z329" i="3"/>
  <c r="AA329" i="3"/>
  <c r="AB329" i="3" a="1"/>
  <c r="AC329" i="3"/>
  <c r="AD329" i="3" a="1"/>
  <c r="AE329" i="3"/>
  <c r="AG329" i="3"/>
  <c r="AH329" i="3"/>
  <c r="AI329" i="3"/>
  <c r="AJ329" i="3"/>
  <c r="AK329" i="3"/>
  <c r="AL329" i="3"/>
  <c r="AM329" i="3"/>
  <c r="AN329" i="3"/>
  <c r="AO329" i="3"/>
  <c r="AP329" i="3"/>
  <c r="AQ329" i="3" a="1"/>
  <c r="AR329" i="3" a="1"/>
  <c r="AS329" i="3"/>
  <c r="AT329" i="3" a="1"/>
  <c r="AU329" i="3"/>
  <c r="AV329" i="3" a="1"/>
  <c r="AW329" i="3"/>
  <c r="AX329" i="3"/>
  <c r="AY329" i="3"/>
  <c r="AZ329" i="3"/>
  <c r="BA329" i="3"/>
  <c r="BB329" i="3"/>
  <c r="BC329" i="3"/>
  <c r="BD329" i="3"/>
  <c r="BE329" i="3" a="1"/>
  <c r="BF329" i="3"/>
  <c r="BG329" i="3"/>
  <c r="BH329" i="3" a="1"/>
  <c r="BI329" i="3"/>
  <c r="BJ329" i="3" a="1"/>
  <c r="BK329" i="3" a="1"/>
  <c r="BL329" i="3"/>
  <c r="BM329" i="3"/>
  <c r="B330" i="3"/>
  <c r="C330" i="3"/>
  <c r="D330" i="3"/>
  <c r="E330" i="3"/>
  <c r="F330" i="3"/>
  <c r="G330" i="3"/>
  <c r="H330" i="3"/>
  <c r="I330" i="3"/>
  <c r="J330" i="3"/>
  <c r="K330" i="3"/>
  <c r="L330" i="3"/>
  <c r="M330" i="3" a="1"/>
  <c r="N330" i="3"/>
  <c r="O330" i="3"/>
  <c r="P330" i="3"/>
  <c r="Q330" i="3" a="1"/>
  <c r="R330" i="3"/>
  <c r="S330" i="3"/>
  <c r="T330" i="3"/>
  <c r="U330" i="3"/>
  <c r="V330" i="3" a="1"/>
  <c r="W330" i="3" a="1"/>
  <c r="X330" i="3"/>
  <c r="Y330" i="3"/>
  <c r="Z330" i="3"/>
  <c r="AA330" i="3"/>
  <c r="AB330" i="3" a="1"/>
  <c r="AC330" i="3"/>
  <c r="AD330" i="3" a="1"/>
  <c r="AE330" i="3"/>
  <c r="AG330" i="3"/>
  <c r="AH330" i="3"/>
  <c r="AI330" i="3"/>
  <c r="AJ330" i="3"/>
  <c r="AK330" i="3"/>
  <c r="AL330" i="3"/>
  <c r="AM330" i="3"/>
  <c r="AN330" i="3"/>
  <c r="AO330" i="3"/>
  <c r="AP330" i="3"/>
  <c r="AQ330" i="3" a="1"/>
  <c r="AR330" i="3" a="1"/>
  <c r="AS330" i="3"/>
  <c r="AT330" i="3" a="1"/>
  <c r="AU330" i="3"/>
  <c r="AV330" i="3" a="1"/>
  <c r="AW330" i="3"/>
  <c r="AX330" i="3"/>
  <c r="AY330" i="3"/>
  <c r="AZ330" i="3"/>
  <c r="BA330" i="3"/>
  <c r="BB330" i="3"/>
  <c r="BC330" i="3"/>
  <c r="BD330" i="3"/>
  <c r="BE330" i="3" a="1"/>
  <c r="BF330" i="3"/>
  <c r="BG330" i="3"/>
  <c r="BH330" i="3" a="1"/>
  <c r="BI330" i="3"/>
  <c r="BJ330" i="3" a="1"/>
  <c r="BK330" i="3" a="1"/>
  <c r="BL330" i="3"/>
  <c r="BM330" i="3"/>
  <c r="B331" i="3"/>
  <c r="C331" i="3"/>
  <c r="D331" i="3"/>
  <c r="E331" i="3"/>
  <c r="F331" i="3"/>
  <c r="G331" i="3"/>
  <c r="H331" i="3"/>
  <c r="I331" i="3"/>
  <c r="J331" i="3"/>
  <c r="K331" i="3"/>
  <c r="L331" i="3"/>
  <c r="M331" i="3" a="1"/>
  <c r="N331" i="3"/>
  <c r="O331" i="3"/>
  <c r="P331" i="3"/>
  <c r="Q331" i="3" a="1"/>
  <c r="R331" i="3"/>
  <c r="S331" i="3"/>
  <c r="T331" i="3"/>
  <c r="U331" i="3"/>
  <c r="V331" i="3" a="1"/>
  <c r="W331" i="3" a="1"/>
  <c r="X331" i="3"/>
  <c r="Y331" i="3"/>
  <c r="Z331" i="3"/>
  <c r="AA331" i="3"/>
  <c r="AB331" i="3" a="1"/>
  <c r="AC331" i="3"/>
  <c r="AD331" i="3" a="1"/>
  <c r="AE331" i="3"/>
  <c r="AG331" i="3"/>
  <c r="AH331" i="3"/>
  <c r="AI331" i="3"/>
  <c r="AJ331" i="3"/>
  <c r="AK331" i="3"/>
  <c r="AL331" i="3"/>
  <c r="AM331" i="3"/>
  <c r="AN331" i="3"/>
  <c r="AO331" i="3"/>
  <c r="AP331" i="3"/>
  <c r="AQ331" i="3" a="1"/>
  <c r="AR331" i="3" a="1"/>
  <c r="AS331" i="3"/>
  <c r="AT331" i="3" a="1"/>
  <c r="AU331" i="3"/>
  <c r="AV331" i="3" a="1"/>
  <c r="AW331" i="3"/>
  <c r="AX331" i="3"/>
  <c r="AY331" i="3"/>
  <c r="AZ331" i="3"/>
  <c r="BA331" i="3"/>
  <c r="BB331" i="3"/>
  <c r="BC331" i="3"/>
  <c r="BD331" i="3"/>
  <c r="BE331" i="3" a="1"/>
  <c r="BF331" i="3"/>
  <c r="BG331" i="3"/>
  <c r="BH331" i="3" a="1"/>
  <c r="BI331" i="3"/>
  <c r="BJ331" i="3" a="1"/>
  <c r="BK331" i="3" a="1"/>
  <c r="BL331" i="3"/>
  <c r="BM331" i="3"/>
  <c r="B332" i="3"/>
  <c r="C332" i="3"/>
  <c r="D332" i="3"/>
  <c r="E332" i="3"/>
  <c r="F332" i="3"/>
  <c r="G332" i="3"/>
  <c r="H332" i="3"/>
  <c r="I332" i="3"/>
  <c r="J332" i="3"/>
  <c r="K332" i="3"/>
  <c r="L332" i="3"/>
  <c r="M332" i="3" a="1"/>
  <c r="N332" i="3"/>
  <c r="O332" i="3"/>
  <c r="P332" i="3"/>
  <c r="Q332" i="3" a="1"/>
  <c r="R332" i="3"/>
  <c r="S332" i="3"/>
  <c r="T332" i="3"/>
  <c r="U332" i="3"/>
  <c r="V332" i="3" a="1"/>
  <c r="W332" i="3" a="1"/>
  <c r="X332" i="3"/>
  <c r="Y332" i="3"/>
  <c r="Z332" i="3"/>
  <c r="AA332" i="3"/>
  <c r="AB332" i="3" a="1"/>
  <c r="AC332" i="3"/>
  <c r="AD332" i="3" a="1"/>
  <c r="AE332" i="3"/>
  <c r="AG332" i="3"/>
  <c r="AH332" i="3"/>
  <c r="AI332" i="3"/>
  <c r="AJ332" i="3"/>
  <c r="AK332" i="3"/>
  <c r="AL332" i="3"/>
  <c r="AM332" i="3"/>
  <c r="AN332" i="3"/>
  <c r="AO332" i="3"/>
  <c r="AP332" i="3"/>
  <c r="AQ332" i="3" a="1"/>
  <c r="AR332" i="3" a="1"/>
  <c r="AS332" i="3"/>
  <c r="AT332" i="3" a="1"/>
  <c r="AU332" i="3"/>
  <c r="AV332" i="3" a="1"/>
  <c r="AW332" i="3"/>
  <c r="AX332" i="3"/>
  <c r="AY332" i="3"/>
  <c r="AZ332" i="3"/>
  <c r="BA332" i="3"/>
  <c r="BB332" i="3"/>
  <c r="BC332" i="3"/>
  <c r="BD332" i="3"/>
  <c r="BE332" i="3" a="1"/>
  <c r="BF332" i="3"/>
  <c r="BG332" i="3"/>
  <c r="BH332" i="3" a="1"/>
  <c r="BI332" i="3"/>
  <c r="BJ332" i="3" a="1"/>
  <c r="BK332" i="3" a="1"/>
  <c r="BL332" i="3"/>
  <c r="BM332" i="3"/>
  <c r="B333" i="3"/>
  <c r="C333" i="3"/>
  <c r="D333" i="3"/>
  <c r="E333" i="3"/>
  <c r="F333" i="3"/>
  <c r="G333" i="3"/>
  <c r="H333" i="3"/>
  <c r="I333" i="3"/>
  <c r="J333" i="3"/>
  <c r="K333" i="3"/>
  <c r="L333" i="3"/>
  <c r="M333" i="3" a="1"/>
  <c r="N333" i="3"/>
  <c r="O333" i="3"/>
  <c r="P333" i="3"/>
  <c r="Q333" i="3" a="1"/>
  <c r="R333" i="3"/>
  <c r="S333" i="3"/>
  <c r="T333" i="3"/>
  <c r="U333" i="3"/>
  <c r="V333" i="3" a="1"/>
  <c r="W333" i="3" a="1"/>
  <c r="X333" i="3"/>
  <c r="Y333" i="3"/>
  <c r="Z333" i="3"/>
  <c r="AA333" i="3"/>
  <c r="AB333" i="3" a="1"/>
  <c r="AC333" i="3"/>
  <c r="AD333" i="3" a="1"/>
  <c r="AE333" i="3"/>
  <c r="AG333" i="3"/>
  <c r="AH333" i="3"/>
  <c r="AI333" i="3"/>
  <c r="AJ333" i="3"/>
  <c r="AK333" i="3"/>
  <c r="AL333" i="3"/>
  <c r="AM333" i="3"/>
  <c r="AN333" i="3"/>
  <c r="AO333" i="3"/>
  <c r="AP333" i="3"/>
  <c r="AQ333" i="3" a="1"/>
  <c r="AR333" i="3" a="1"/>
  <c r="AS333" i="3"/>
  <c r="AT333" i="3" a="1"/>
  <c r="AU333" i="3"/>
  <c r="AV333" i="3" a="1"/>
  <c r="AW333" i="3"/>
  <c r="AX333" i="3"/>
  <c r="AY333" i="3"/>
  <c r="AZ333" i="3"/>
  <c r="BA333" i="3"/>
  <c r="BB333" i="3"/>
  <c r="BC333" i="3"/>
  <c r="BD333" i="3"/>
  <c r="BE333" i="3" a="1"/>
  <c r="BF333" i="3"/>
  <c r="BG333" i="3"/>
  <c r="BH333" i="3" a="1"/>
  <c r="BI333" i="3"/>
  <c r="BJ333" i="3" a="1"/>
  <c r="BK333" i="3" a="1"/>
  <c r="BL333" i="3"/>
  <c r="BM333" i="3"/>
  <c r="B334" i="3"/>
  <c r="C334" i="3"/>
  <c r="D334" i="3"/>
  <c r="E334" i="3"/>
  <c r="F334" i="3"/>
  <c r="G334" i="3"/>
  <c r="H334" i="3"/>
  <c r="I334" i="3"/>
  <c r="J334" i="3"/>
  <c r="K334" i="3"/>
  <c r="L334" i="3"/>
  <c r="M334" i="3" a="1"/>
  <c r="N334" i="3"/>
  <c r="O334" i="3"/>
  <c r="P334" i="3"/>
  <c r="Q334" i="3" a="1"/>
  <c r="R334" i="3"/>
  <c r="S334" i="3"/>
  <c r="T334" i="3"/>
  <c r="U334" i="3"/>
  <c r="V334" i="3" a="1"/>
  <c r="W334" i="3" a="1"/>
  <c r="X334" i="3"/>
  <c r="Y334" i="3"/>
  <c r="Z334" i="3"/>
  <c r="AA334" i="3"/>
  <c r="AB334" i="3" a="1"/>
  <c r="AC334" i="3"/>
  <c r="AD334" i="3" a="1"/>
  <c r="AE334" i="3"/>
  <c r="AG334" i="3"/>
  <c r="AH334" i="3"/>
  <c r="AI334" i="3"/>
  <c r="AJ334" i="3"/>
  <c r="AK334" i="3"/>
  <c r="AL334" i="3"/>
  <c r="AM334" i="3"/>
  <c r="AN334" i="3"/>
  <c r="AO334" i="3"/>
  <c r="AP334" i="3"/>
  <c r="AQ334" i="3" a="1"/>
  <c r="AR334" i="3" a="1"/>
  <c r="AS334" i="3"/>
  <c r="AT334" i="3" a="1"/>
  <c r="AU334" i="3"/>
  <c r="AV334" i="3" a="1"/>
  <c r="AW334" i="3"/>
  <c r="AX334" i="3"/>
  <c r="AY334" i="3"/>
  <c r="AZ334" i="3"/>
  <c r="BA334" i="3"/>
  <c r="BB334" i="3"/>
  <c r="BC334" i="3"/>
  <c r="BD334" i="3"/>
  <c r="BE334" i="3" a="1"/>
  <c r="BF334" i="3"/>
  <c r="BG334" i="3"/>
  <c r="BH334" i="3" a="1"/>
  <c r="BI334" i="3"/>
  <c r="BJ334" i="3" a="1"/>
  <c r="BK334" i="3" a="1"/>
  <c r="BL334" i="3"/>
  <c r="BM334" i="3"/>
  <c r="B335" i="3"/>
  <c r="C335" i="3"/>
  <c r="D335" i="3"/>
  <c r="E335" i="3"/>
  <c r="F335" i="3"/>
  <c r="G335" i="3"/>
  <c r="H335" i="3"/>
  <c r="I335" i="3"/>
  <c r="J335" i="3"/>
  <c r="K335" i="3"/>
  <c r="L335" i="3"/>
  <c r="M335" i="3" a="1"/>
  <c r="N335" i="3"/>
  <c r="O335" i="3"/>
  <c r="P335" i="3"/>
  <c r="Q335" i="3" a="1"/>
  <c r="R335" i="3"/>
  <c r="S335" i="3"/>
  <c r="T335" i="3"/>
  <c r="U335" i="3"/>
  <c r="V335" i="3" a="1"/>
  <c r="W335" i="3" a="1"/>
  <c r="X335" i="3"/>
  <c r="Y335" i="3"/>
  <c r="Z335" i="3"/>
  <c r="AA335" i="3"/>
  <c r="AB335" i="3" a="1"/>
  <c r="AC335" i="3"/>
  <c r="AD335" i="3" a="1"/>
  <c r="AE335" i="3"/>
  <c r="AG335" i="3"/>
  <c r="AH335" i="3"/>
  <c r="AI335" i="3"/>
  <c r="AJ335" i="3"/>
  <c r="AK335" i="3"/>
  <c r="AL335" i="3"/>
  <c r="AM335" i="3"/>
  <c r="AN335" i="3"/>
  <c r="AO335" i="3"/>
  <c r="AP335" i="3"/>
  <c r="AQ335" i="3" a="1"/>
  <c r="AR335" i="3" a="1"/>
  <c r="AS335" i="3"/>
  <c r="AT335" i="3" a="1"/>
  <c r="AU335" i="3"/>
  <c r="AV335" i="3" a="1"/>
  <c r="AW335" i="3"/>
  <c r="AX335" i="3"/>
  <c r="AY335" i="3"/>
  <c r="AZ335" i="3"/>
  <c r="BA335" i="3"/>
  <c r="BB335" i="3"/>
  <c r="BC335" i="3"/>
  <c r="BD335" i="3"/>
  <c r="BE335" i="3" a="1"/>
  <c r="BF335" i="3"/>
  <c r="BG335" i="3"/>
  <c r="BH335" i="3" a="1"/>
  <c r="BI335" i="3"/>
  <c r="BJ335" i="3" a="1"/>
  <c r="BK335" i="3" a="1"/>
  <c r="BL335" i="3"/>
  <c r="BM335" i="3"/>
  <c r="B336" i="3"/>
  <c r="C336" i="3"/>
  <c r="D336" i="3"/>
  <c r="E336" i="3"/>
  <c r="F336" i="3"/>
  <c r="G336" i="3"/>
  <c r="H336" i="3"/>
  <c r="I336" i="3"/>
  <c r="J336" i="3"/>
  <c r="K336" i="3"/>
  <c r="L336" i="3"/>
  <c r="M336" i="3" a="1"/>
  <c r="N336" i="3"/>
  <c r="O336" i="3"/>
  <c r="P336" i="3"/>
  <c r="Q336" i="3" a="1"/>
  <c r="R336" i="3"/>
  <c r="S336" i="3"/>
  <c r="T336" i="3"/>
  <c r="U336" i="3"/>
  <c r="V336" i="3" a="1"/>
  <c r="W336" i="3" a="1"/>
  <c r="X336" i="3"/>
  <c r="Y336" i="3"/>
  <c r="Z336" i="3"/>
  <c r="AA336" i="3"/>
  <c r="AB336" i="3" a="1"/>
  <c r="AC336" i="3"/>
  <c r="AD336" i="3" a="1"/>
  <c r="AE336" i="3"/>
  <c r="AG336" i="3"/>
  <c r="AH336" i="3"/>
  <c r="AI336" i="3"/>
  <c r="AJ336" i="3"/>
  <c r="AK336" i="3"/>
  <c r="AL336" i="3"/>
  <c r="AM336" i="3"/>
  <c r="AN336" i="3"/>
  <c r="AO336" i="3"/>
  <c r="AP336" i="3"/>
  <c r="AQ336" i="3" a="1"/>
  <c r="AR336" i="3" a="1"/>
  <c r="AS336" i="3"/>
  <c r="AT336" i="3" a="1"/>
  <c r="AU336" i="3"/>
  <c r="AV336" i="3" a="1"/>
  <c r="AW336" i="3"/>
  <c r="AX336" i="3"/>
  <c r="AY336" i="3"/>
  <c r="AZ336" i="3"/>
  <c r="BA336" i="3"/>
  <c r="BB336" i="3"/>
  <c r="BC336" i="3"/>
  <c r="BD336" i="3"/>
  <c r="BE336" i="3" a="1"/>
  <c r="BF336" i="3"/>
  <c r="BG336" i="3"/>
  <c r="BH336" i="3" a="1"/>
  <c r="BI336" i="3"/>
  <c r="BJ336" i="3" a="1"/>
  <c r="BK336" i="3" a="1"/>
  <c r="BL336" i="3"/>
  <c r="BM336" i="3"/>
  <c r="B337" i="3"/>
  <c r="C337" i="3"/>
  <c r="D337" i="3"/>
  <c r="E337" i="3"/>
  <c r="F337" i="3"/>
  <c r="G337" i="3"/>
  <c r="H337" i="3"/>
  <c r="I337" i="3"/>
  <c r="J337" i="3"/>
  <c r="K337" i="3"/>
  <c r="L337" i="3"/>
  <c r="M337" i="3" a="1"/>
  <c r="N337" i="3"/>
  <c r="O337" i="3"/>
  <c r="P337" i="3"/>
  <c r="Q337" i="3" a="1"/>
  <c r="R337" i="3"/>
  <c r="S337" i="3"/>
  <c r="T337" i="3"/>
  <c r="U337" i="3"/>
  <c r="V337" i="3" a="1"/>
  <c r="W337" i="3" a="1"/>
  <c r="X337" i="3"/>
  <c r="Y337" i="3"/>
  <c r="Z337" i="3"/>
  <c r="AA337" i="3"/>
  <c r="AB337" i="3" a="1"/>
  <c r="AC337" i="3"/>
  <c r="AD337" i="3" a="1"/>
  <c r="AE337" i="3"/>
  <c r="AG337" i="3"/>
  <c r="AH337" i="3"/>
  <c r="AI337" i="3"/>
  <c r="AJ337" i="3"/>
  <c r="AK337" i="3"/>
  <c r="AL337" i="3"/>
  <c r="AM337" i="3"/>
  <c r="AN337" i="3"/>
  <c r="AO337" i="3"/>
  <c r="AP337" i="3"/>
  <c r="AQ337" i="3" a="1"/>
  <c r="AR337" i="3" a="1"/>
  <c r="AS337" i="3"/>
  <c r="AT337" i="3" a="1"/>
  <c r="AU337" i="3"/>
  <c r="AV337" i="3" a="1"/>
  <c r="AW337" i="3"/>
  <c r="AX337" i="3"/>
  <c r="AY337" i="3"/>
  <c r="AZ337" i="3"/>
  <c r="BA337" i="3"/>
  <c r="BB337" i="3"/>
  <c r="BC337" i="3"/>
  <c r="BD337" i="3"/>
  <c r="BE337" i="3" a="1"/>
  <c r="BF337" i="3"/>
  <c r="BG337" i="3"/>
  <c r="BH337" i="3" a="1"/>
  <c r="BI337" i="3"/>
  <c r="BJ337" i="3" a="1"/>
  <c r="BK337" i="3" a="1"/>
  <c r="BL337" i="3"/>
  <c r="BM337" i="3"/>
  <c r="B338" i="3"/>
  <c r="C338" i="3"/>
  <c r="D338" i="3"/>
  <c r="E338" i="3"/>
  <c r="F338" i="3"/>
  <c r="G338" i="3"/>
  <c r="H338" i="3"/>
  <c r="I338" i="3"/>
  <c r="J338" i="3"/>
  <c r="K338" i="3"/>
  <c r="L338" i="3"/>
  <c r="M338" i="3" a="1"/>
  <c r="N338" i="3"/>
  <c r="O338" i="3"/>
  <c r="P338" i="3"/>
  <c r="Q338" i="3" a="1"/>
  <c r="R338" i="3"/>
  <c r="S338" i="3"/>
  <c r="T338" i="3"/>
  <c r="U338" i="3"/>
  <c r="V338" i="3" a="1"/>
  <c r="W338" i="3" a="1"/>
  <c r="X338" i="3"/>
  <c r="Y338" i="3"/>
  <c r="Z338" i="3"/>
  <c r="AA338" i="3"/>
  <c r="AB338" i="3" a="1"/>
  <c r="AC338" i="3"/>
  <c r="AD338" i="3" a="1"/>
  <c r="AE338" i="3"/>
  <c r="AG338" i="3"/>
  <c r="AH338" i="3"/>
  <c r="AI338" i="3"/>
  <c r="AJ338" i="3"/>
  <c r="AK338" i="3"/>
  <c r="AL338" i="3"/>
  <c r="AM338" i="3"/>
  <c r="AN338" i="3"/>
  <c r="AO338" i="3"/>
  <c r="AP338" i="3"/>
  <c r="AQ338" i="3" a="1"/>
  <c r="AR338" i="3" a="1"/>
  <c r="AS338" i="3"/>
  <c r="AT338" i="3" a="1"/>
  <c r="AU338" i="3"/>
  <c r="AV338" i="3" a="1"/>
  <c r="AW338" i="3"/>
  <c r="AX338" i="3"/>
  <c r="AY338" i="3"/>
  <c r="AZ338" i="3"/>
  <c r="BA338" i="3"/>
  <c r="BB338" i="3"/>
  <c r="BC338" i="3"/>
  <c r="BD338" i="3"/>
  <c r="BE338" i="3" a="1"/>
  <c r="BF338" i="3"/>
  <c r="BG338" i="3"/>
  <c r="BH338" i="3" a="1"/>
  <c r="BI338" i="3"/>
  <c r="BJ338" i="3" a="1"/>
  <c r="BK338" i="3" a="1"/>
  <c r="BL338" i="3"/>
  <c r="BM338" i="3"/>
  <c r="B339" i="3"/>
  <c r="C339" i="3"/>
  <c r="D339" i="3"/>
  <c r="E339" i="3"/>
  <c r="F339" i="3"/>
  <c r="G339" i="3"/>
  <c r="H339" i="3"/>
  <c r="I339" i="3"/>
  <c r="J339" i="3"/>
  <c r="K339" i="3"/>
  <c r="L339" i="3"/>
  <c r="M339" i="3" a="1"/>
  <c r="N339" i="3"/>
  <c r="O339" i="3"/>
  <c r="P339" i="3"/>
  <c r="Q339" i="3" a="1"/>
  <c r="R339" i="3"/>
  <c r="S339" i="3"/>
  <c r="T339" i="3"/>
  <c r="U339" i="3"/>
  <c r="V339" i="3" a="1"/>
  <c r="W339" i="3" a="1"/>
  <c r="X339" i="3"/>
  <c r="Y339" i="3"/>
  <c r="Z339" i="3"/>
  <c r="AA339" i="3"/>
  <c r="AB339" i="3" a="1"/>
  <c r="AC339" i="3"/>
  <c r="AD339" i="3" a="1"/>
  <c r="AE339" i="3"/>
  <c r="AG339" i="3"/>
  <c r="AH339" i="3"/>
  <c r="AI339" i="3"/>
  <c r="AJ339" i="3"/>
  <c r="AK339" i="3"/>
  <c r="AL339" i="3"/>
  <c r="AM339" i="3"/>
  <c r="AN339" i="3"/>
  <c r="AO339" i="3"/>
  <c r="AP339" i="3"/>
  <c r="AQ339" i="3" a="1"/>
  <c r="AR339" i="3" a="1"/>
  <c r="AS339" i="3"/>
  <c r="AT339" i="3" a="1"/>
  <c r="AU339" i="3"/>
  <c r="AV339" i="3" a="1"/>
  <c r="AW339" i="3"/>
  <c r="AX339" i="3"/>
  <c r="AY339" i="3"/>
  <c r="AZ339" i="3"/>
  <c r="BA339" i="3"/>
  <c r="BB339" i="3"/>
  <c r="BC339" i="3"/>
  <c r="BD339" i="3"/>
  <c r="BE339" i="3" a="1"/>
  <c r="BF339" i="3"/>
  <c r="BG339" i="3"/>
  <c r="BH339" i="3" a="1"/>
  <c r="BI339" i="3"/>
  <c r="BJ339" i="3" a="1"/>
  <c r="BK339" i="3" a="1"/>
  <c r="BL339" i="3"/>
  <c r="BM339" i="3"/>
  <c r="B340" i="3"/>
  <c r="C340" i="3"/>
  <c r="D340" i="3"/>
  <c r="E340" i="3"/>
  <c r="F340" i="3"/>
  <c r="G340" i="3"/>
  <c r="H340" i="3"/>
  <c r="I340" i="3"/>
  <c r="J340" i="3"/>
  <c r="K340" i="3"/>
  <c r="L340" i="3"/>
  <c r="M340" i="3" a="1"/>
  <c r="N340" i="3"/>
  <c r="O340" i="3"/>
  <c r="P340" i="3"/>
  <c r="Q340" i="3" a="1"/>
  <c r="R340" i="3"/>
  <c r="S340" i="3"/>
  <c r="T340" i="3"/>
  <c r="U340" i="3"/>
  <c r="V340" i="3" a="1"/>
  <c r="W340" i="3" a="1"/>
  <c r="X340" i="3"/>
  <c r="Y340" i="3"/>
  <c r="Z340" i="3"/>
  <c r="AA340" i="3"/>
  <c r="AB340" i="3" a="1"/>
  <c r="AC340" i="3"/>
  <c r="AD340" i="3" a="1"/>
  <c r="AE340" i="3"/>
  <c r="AG340" i="3"/>
  <c r="AH340" i="3"/>
  <c r="AI340" i="3"/>
  <c r="AJ340" i="3"/>
  <c r="AK340" i="3"/>
  <c r="AL340" i="3"/>
  <c r="AM340" i="3"/>
  <c r="AN340" i="3"/>
  <c r="AO340" i="3"/>
  <c r="AP340" i="3"/>
  <c r="AQ340" i="3" a="1"/>
  <c r="AR340" i="3" a="1"/>
  <c r="AS340" i="3"/>
  <c r="AT340" i="3" a="1"/>
  <c r="AU340" i="3"/>
  <c r="AV340" i="3" a="1"/>
  <c r="AW340" i="3"/>
  <c r="AX340" i="3"/>
  <c r="AY340" i="3"/>
  <c r="AZ340" i="3"/>
  <c r="BA340" i="3"/>
  <c r="BB340" i="3"/>
  <c r="BC340" i="3"/>
  <c r="BD340" i="3"/>
  <c r="BE340" i="3" a="1"/>
  <c r="BF340" i="3"/>
  <c r="BG340" i="3"/>
  <c r="BH340" i="3" a="1"/>
  <c r="BI340" i="3"/>
  <c r="BJ340" i="3" a="1"/>
  <c r="BK340" i="3" a="1"/>
  <c r="BL340" i="3"/>
  <c r="BM340" i="3"/>
  <c r="B341" i="3"/>
  <c r="C341" i="3"/>
  <c r="D341" i="3"/>
  <c r="E341" i="3"/>
  <c r="F341" i="3"/>
  <c r="G341" i="3"/>
  <c r="H341" i="3"/>
  <c r="I341" i="3"/>
  <c r="J341" i="3"/>
  <c r="K341" i="3"/>
  <c r="L341" i="3"/>
  <c r="M341" i="3" a="1"/>
  <c r="N341" i="3"/>
  <c r="O341" i="3"/>
  <c r="P341" i="3"/>
  <c r="Q341" i="3" a="1"/>
  <c r="R341" i="3"/>
  <c r="S341" i="3"/>
  <c r="T341" i="3"/>
  <c r="U341" i="3"/>
  <c r="V341" i="3" a="1"/>
  <c r="W341" i="3" a="1"/>
  <c r="X341" i="3"/>
  <c r="Y341" i="3"/>
  <c r="Z341" i="3"/>
  <c r="AA341" i="3"/>
  <c r="AB341" i="3" a="1"/>
  <c r="AC341" i="3"/>
  <c r="AD341" i="3" a="1"/>
  <c r="AE341" i="3"/>
  <c r="AG341" i="3"/>
  <c r="AH341" i="3"/>
  <c r="AI341" i="3"/>
  <c r="AJ341" i="3"/>
  <c r="AK341" i="3"/>
  <c r="AL341" i="3"/>
  <c r="AM341" i="3"/>
  <c r="AN341" i="3"/>
  <c r="AO341" i="3"/>
  <c r="AP341" i="3"/>
  <c r="AQ341" i="3" a="1"/>
  <c r="AR341" i="3" a="1"/>
  <c r="AS341" i="3"/>
  <c r="AT341" i="3" a="1"/>
  <c r="AU341" i="3"/>
  <c r="AV341" i="3" a="1"/>
  <c r="AW341" i="3"/>
  <c r="AX341" i="3"/>
  <c r="AY341" i="3"/>
  <c r="AZ341" i="3"/>
  <c r="BA341" i="3"/>
  <c r="BB341" i="3"/>
  <c r="BC341" i="3"/>
  <c r="BD341" i="3"/>
  <c r="BE341" i="3" a="1"/>
  <c r="BF341" i="3"/>
  <c r="BG341" i="3"/>
  <c r="BH341" i="3" a="1"/>
  <c r="BI341" i="3"/>
  <c r="BJ341" i="3" a="1"/>
  <c r="BK341" i="3" a="1"/>
  <c r="BL341" i="3"/>
  <c r="BM341" i="3"/>
  <c r="B342" i="3"/>
  <c r="C342" i="3"/>
  <c r="D342" i="3"/>
  <c r="E342" i="3"/>
  <c r="F342" i="3"/>
  <c r="G342" i="3"/>
  <c r="H342" i="3"/>
  <c r="I342" i="3"/>
  <c r="J342" i="3"/>
  <c r="K342" i="3"/>
  <c r="L342" i="3"/>
  <c r="M342" i="3" a="1"/>
  <c r="N342" i="3"/>
  <c r="O342" i="3"/>
  <c r="P342" i="3"/>
  <c r="Q342" i="3" a="1"/>
  <c r="R342" i="3"/>
  <c r="S342" i="3"/>
  <c r="T342" i="3"/>
  <c r="U342" i="3"/>
  <c r="V342" i="3" a="1"/>
  <c r="W342" i="3" a="1"/>
  <c r="X342" i="3"/>
  <c r="Y342" i="3"/>
  <c r="Z342" i="3"/>
  <c r="AA342" i="3"/>
  <c r="AB342" i="3" a="1"/>
  <c r="AC342" i="3"/>
  <c r="AD342" i="3" a="1"/>
  <c r="AE342" i="3"/>
  <c r="AG342" i="3"/>
  <c r="AH342" i="3"/>
  <c r="AI342" i="3"/>
  <c r="AJ342" i="3"/>
  <c r="AK342" i="3"/>
  <c r="AL342" i="3"/>
  <c r="AM342" i="3"/>
  <c r="AN342" i="3"/>
  <c r="AO342" i="3"/>
  <c r="AP342" i="3"/>
  <c r="AQ342" i="3" a="1"/>
  <c r="AR342" i="3" a="1"/>
  <c r="AS342" i="3"/>
  <c r="AT342" i="3" a="1"/>
  <c r="AU342" i="3"/>
  <c r="AV342" i="3" a="1"/>
  <c r="AW342" i="3"/>
  <c r="AX342" i="3"/>
  <c r="AY342" i="3"/>
  <c r="AZ342" i="3"/>
  <c r="BA342" i="3"/>
  <c r="BB342" i="3"/>
  <c r="BC342" i="3"/>
  <c r="BD342" i="3"/>
  <c r="BE342" i="3" a="1"/>
  <c r="BF342" i="3"/>
  <c r="BG342" i="3"/>
  <c r="BH342" i="3" a="1"/>
  <c r="BI342" i="3"/>
  <c r="BJ342" i="3" a="1"/>
  <c r="BK342" i="3" a="1"/>
  <c r="BL342" i="3"/>
  <c r="BM342" i="3"/>
  <c r="B343" i="3"/>
  <c r="C343" i="3"/>
  <c r="D343" i="3"/>
  <c r="E343" i="3"/>
  <c r="F343" i="3"/>
  <c r="G343" i="3"/>
  <c r="H343" i="3"/>
  <c r="I343" i="3"/>
  <c r="J343" i="3"/>
  <c r="K343" i="3"/>
  <c r="L343" i="3"/>
  <c r="M343" i="3" a="1"/>
  <c r="N343" i="3"/>
  <c r="O343" i="3"/>
  <c r="P343" i="3"/>
  <c r="Q343" i="3" a="1"/>
  <c r="R343" i="3"/>
  <c r="S343" i="3"/>
  <c r="T343" i="3"/>
  <c r="U343" i="3"/>
  <c r="V343" i="3" a="1"/>
  <c r="W343" i="3" a="1"/>
  <c r="X343" i="3"/>
  <c r="Y343" i="3"/>
  <c r="Z343" i="3"/>
  <c r="AA343" i="3"/>
  <c r="AB343" i="3" a="1"/>
  <c r="AC343" i="3"/>
  <c r="AD343" i="3" a="1"/>
  <c r="AE343" i="3"/>
  <c r="AG343" i="3"/>
  <c r="AH343" i="3"/>
  <c r="AI343" i="3"/>
  <c r="AJ343" i="3"/>
  <c r="AK343" i="3"/>
  <c r="AL343" i="3"/>
  <c r="AM343" i="3"/>
  <c r="AN343" i="3"/>
  <c r="AO343" i="3"/>
  <c r="AP343" i="3"/>
  <c r="AQ343" i="3" a="1"/>
  <c r="AR343" i="3" a="1"/>
  <c r="AS343" i="3"/>
  <c r="AT343" i="3" a="1"/>
  <c r="AU343" i="3"/>
  <c r="AV343" i="3" a="1"/>
  <c r="AW343" i="3"/>
  <c r="AX343" i="3"/>
  <c r="AY343" i="3"/>
  <c r="AZ343" i="3"/>
  <c r="BA343" i="3"/>
  <c r="BB343" i="3"/>
  <c r="BC343" i="3"/>
  <c r="BD343" i="3"/>
  <c r="BE343" i="3" a="1"/>
  <c r="BF343" i="3"/>
  <c r="BG343" i="3"/>
  <c r="BH343" i="3" a="1"/>
  <c r="BI343" i="3"/>
  <c r="BJ343" i="3" a="1"/>
  <c r="BK343" i="3" a="1"/>
  <c r="BL343" i="3"/>
  <c r="BM343" i="3"/>
  <c r="B344" i="3"/>
  <c r="C344" i="3"/>
  <c r="D344" i="3"/>
  <c r="E344" i="3"/>
  <c r="F344" i="3"/>
  <c r="G344" i="3"/>
  <c r="H344" i="3"/>
  <c r="I344" i="3"/>
  <c r="J344" i="3"/>
  <c r="K344" i="3"/>
  <c r="L344" i="3"/>
  <c r="M344" i="3" a="1"/>
  <c r="N344" i="3"/>
  <c r="O344" i="3"/>
  <c r="P344" i="3"/>
  <c r="Q344" i="3" a="1"/>
  <c r="R344" i="3"/>
  <c r="S344" i="3"/>
  <c r="T344" i="3"/>
  <c r="U344" i="3"/>
  <c r="V344" i="3" a="1"/>
  <c r="W344" i="3" a="1"/>
  <c r="X344" i="3"/>
  <c r="Y344" i="3"/>
  <c r="Z344" i="3"/>
  <c r="AA344" i="3"/>
  <c r="AB344" i="3" a="1"/>
  <c r="AC344" i="3"/>
  <c r="AD344" i="3" a="1"/>
  <c r="AE344" i="3"/>
  <c r="AG344" i="3"/>
  <c r="AH344" i="3"/>
  <c r="AI344" i="3"/>
  <c r="AJ344" i="3"/>
  <c r="AK344" i="3"/>
  <c r="AL344" i="3"/>
  <c r="AM344" i="3"/>
  <c r="AN344" i="3"/>
  <c r="AO344" i="3"/>
  <c r="AP344" i="3"/>
  <c r="AQ344" i="3" a="1"/>
  <c r="AR344" i="3" a="1"/>
  <c r="AS344" i="3"/>
  <c r="AT344" i="3" a="1"/>
  <c r="AU344" i="3"/>
  <c r="AV344" i="3" a="1"/>
  <c r="AW344" i="3"/>
  <c r="AX344" i="3"/>
  <c r="AY344" i="3"/>
  <c r="AZ344" i="3"/>
  <c r="BA344" i="3"/>
  <c r="BB344" i="3"/>
  <c r="BC344" i="3"/>
  <c r="BD344" i="3"/>
  <c r="BE344" i="3" a="1"/>
  <c r="BF344" i="3"/>
  <c r="BG344" i="3"/>
  <c r="BH344" i="3" a="1"/>
  <c r="BI344" i="3"/>
  <c r="BJ344" i="3" a="1"/>
  <c r="BK344" i="3" a="1"/>
  <c r="BL344" i="3"/>
  <c r="BM344" i="3"/>
  <c r="B345" i="3"/>
  <c r="C345" i="3"/>
  <c r="D345" i="3"/>
  <c r="E345" i="3"/>
  <c r="F345" i="3"/>
  <c r="G345" i="3"/>
  <c r="H345" i="3"/>
  <c r="I345" i="3"/>
  <c r="J345" i="3"/>
  <c r="K345" i="3"/>
  <c r="L345" i="3"/>
  <c r="M345" i="3" a="1"/>
  <c r="N345" i="3"/>
  <c r="O345" i="3"/>
  <c r="P345" i="3"/>
  <c r="Q345" i="3" a="1"/>
  <c r="R345" i="3"/>
  <c r="S345" i="3"/>
  <c r="T345" i="3"/>
  <c r="U345" i="3"/>
  <c r="V345" i="3" a="1"/>
  <c r="W345" i="3" a="1"/>
  <c r="X345" i="3"/>
  <c r="Y345" i="3"/>
  <c r="Z345" i="3"/>
  <c r="AA345" i="3"/>
  <c r="AB345" i="3" a="1"/>
  <c r="AC345" i="3"/>
  <c r="AD345" i="3" a="1"/>
  <c r="AE345" i="3"/>
  <c r="AG345" i="3"/>
  <c r="AH345" i="3"/>
  <c r="AI345" i="3"/>
  <c r="AJ345" i="3"/>
  <c r="AK345" i="3"/>
  <c r="AL345" i="3"/>
  <c r="AM345" i="3"/>
  <c r="AN345" i="3"/>
  <c r="AO345" i="3"/>
  <c r="AP345" i="3"/>
  <c r="AQ345" i="3" a="1"/>
  <c r="AR345" i="3" a="1"/>
  <c r="AS345" i="3"/>
  <c r="AT345" i="3" a="1"/>
  <c r="AU345" i="3"/>
  <c r="AV345" i="3" a="1"/>
  <c r="AW345" i="3"/>
  <c r="AX345" i="3"/>
  <c r="AY345" i="3"/>
  <c r="AZ345" i="3"/>
  <c r="BA345" i="3"/>
  <c r="BB345" i="3"/>
  <c r="BC345" i="3"/>
  <c r="BD345" i="3"/>
  <c r="BE345" i="3" a="1"/>
  <c r="BF345" i="3"/>
  <c r="BG345" i="3"/>
  <c r="BH345" i="3" a="1"/>
  <c r="BI345" i="3"/>
  <c r="BJ345" i="3" a="1"/>
  <c r="BK345" i="3" a="1"/>
  <c r="BL345" i="3"/>
  <c r="BM345" i="3"/>
  <c r="B346" i="3"/>
  <c r="C346" i="3"/>
  <c r="D346" i="3"/>
  <c r="E346" i="3"/>
  <c r="F346" i="3"/>
  <c r="G346" i="3"/>
  <c r="H346" i="3"/>
  <c r="I346" i="3"/>
  <c r="J346" i="3"/>
  <c r="K346" i="3"/>
  <c r="L346" i="3"/>
  <c r="M346" i="3" a="1"/>
  <c r="N346" i="3"/>
  <c r="O346" i="3"/>
  <c r="P346" i="3"/>
  <c r="Q346" i="3" a="1"/>
  <c r="R346" i="3"/>
  <c r="S346" i="3"/>
  <c r="T346" i="3"/>
  <c r="U346" i="3"/>
  <c r="V346" i="3" a="1"/>
  <c r="W346" i="3" a="1"/>
  <c r="X346" i="3"/>
  <c r="Y346" i="3"/>
  <c r="Z346" i="3"/>
  <c r="AA346" i="3"/>
  <c r="AB346" i="3" a="1"/>
  <c r="AC346" i="3"/>
  <c r="AD346" i="3" a="1"/>
  <c r="AE346" i="3"/>
  <c r="AG346" i="3"/>
  <c r="AH346" i="3"/>
  <c r="AI346" i="3"/>
  <c r="AJ346" i="3"/>
  <c r="AK346" i="3"/>
  <c r="AL346" i="3"/>
  <c r="AM346" i="3"/>
  <c r="AN346" i="3"/>
  <c r="AO346" i="3"/>
  <c r="AP346" i="3"/>
  <c r="AQ346" i="3" a="1"/>
  <c r="AR346" i="3" a="1"/>
  <c r="AS346" i="3"/>
  <c r="AT346" i="3" a="1"/>
  <c r="AU346" i="3"/>
  <c r="AV346" i="3" a="1"/>
  <c r="AW346" i="3"/>
  <c r="AX346" i="3"/>
  <c r="AY346" i="3"/>
  <c r="AZ346" i="3"/>
  <c r="BA346" i="3"/>
  <c r="BB346" i="3"/>
  <c r="BC346" i="3"/>
  <c r="BD346" i="3"/>
  <c r="BE346" i="3" a="1"/>
  <c r="BF346" i="3"/>
  <c r="BG346" i="3"/>
  <c r="BH346" i="3" a="1"/>
  <c r="BI346" i="3"/>
  <c r="BJ346" i="3" a="1"/>
  <c r="BK346" i="3" a="1"/>
  <c r="BL346" i="3"/>
  <c r="BM346" i="3"/>
  <c r="B347" i="3"/>
  <c r="C347" i="3"/>
  <c r="D347" i="3"/>
  <c r="E347" i="3"/>
  <c r="F347" i="3"/>
  <c r="G347" i="3"/>
  <c r="H347" i="3"/>
  <c r="I347" i="3"/>
  <c r="J347" i="3"/>
  <c r="K347" i="3"/>
  <c r="L347" i="3"/>
  <c r="M347" i="3" a="1"/>
  <c r="N347" i="3"/>
  <c r="O347" i="3"/>
  <c r="P347" i="3"/>
  <c r="Q347" i="3" a="1"/>
  <c r="R347" i="3"/>
  <c r="S347" i="3"/>
  <c r="T347" i="3"/>
  <c r="U347" i="3"/>
  <c r="V347" i="3" a="1"/>
  <c r="W347" i="3" a="1"/>
  <c r="X347" i="3"/>
  <c r="Y347" i="3"/>
  <c r="Z347" i="3"/>
  <c r="AA347" i="3"/>
  <c r="AB347" i="3" a="1"/>
  <c r="AC347" i="3"/>
  <c r="AD347" i="3" a="1"/>
  <c r="AE347" i="3"/>
  <c r="AG347" i="3"/>
  <c r="AH347" i="3"/>
  <c r="AI347" i="3"/>
  <c r="AJ347" i="3"/>
  <c r="AK347" i="3"/>
  <c r="AL347" i="3"/>
  <c r="AM347" i="3"/>
  <c r="AN347" i="3"/>
  <c r="AO347" i="3"/>
  <c r="AP347" i="3"/>
  <c r="AQ347" i="3" a="1"/>
  <c r="AR347" i="3" a="1"/>
  <c r="AS347" i="3"/>
  <c r="AT347" i="3" a="1"/>
  <c r="AU347" i="3"/>
  <c r="AV347" i="3" a="1"/>
  <c r="AW347" i="3"/>
  <c r="AX347" i="3"/>
  <c r="AY347" i="3"/>
  <c r="AZ347" i="3"/>
  <c r="BA347" i="3"/>
  <c r="BB347" i="3"/>
  <c r="BC347" i="3"/>
  <c r="BD347" i="3"/>
  <c r="BE347" i="3" a="1"/>
  <c r="BF347" i="3"/>
  <c r="BG347" i="3"/>
  <c r="BH347" i="3" a="1"/>
  <c r="BI347" i="3"/>
  <c r="BJ347" i="3" a="1"/>
  <c r="BK347" i="3" a="1"/>
  <c r="BL347" i="3"/>
  <c r="BM347" i="3"/>
  <c r="B348" i="3"/>
  <c r="C348" i="3"/>
  <c r="D348" i="3"/>
  <c r="E348" i="3"/>
  <c r="F348" i="3"/>
  <c r="G348" i="3"/>
  <c r="H348" i="3"/>
  <c r="I348" i="3"/>
  <c r="J348" i="3"/>
  <c r="K348" i="3"/>
  <c r="L348" i="3"/>
  <c r="M348" i="3" a="1"/>
  <c r="N348" i="3"/>
  <c r="O348" i="3"/>
  <c r="P348" i="3"/>
  <c r="Q348" i="3" a="1"/>
  <c r="R348" i="3"/>
  <c r="S348" i="3"/>
  <c r="T348" i="3"/>
  <c r="U348" i="3"/>
  <c r="V348" i="3" a="1"/>
  <c r="W348" i="3" a="1"/>
  <c r="X348" i="3"/>
  <c r="Y348" i="3"/>
  <c r="Z348" i="3"/>
  <c r="AA348" i="3"/>
  <c r="AB348" i="3" a="1"/>
  <c r="AC348" i="3"/>
  <c r="AD348" i="3" a="1"/>
  <c r="AE348" i="3"/>
  <c r="AG348" i="3"/>
  <c r="AH348" i="3"/>
  <c r="AI348" i="3"/>
  <c r="AJ348" i="3"/>
  <c r="AK348" i="3"/>
  <c r="AL348" i="3"/>
  <c r="AM348" i="3"/>
  <c r="AN348" i="3"/>
  <c r="AO348" i="3"/>
  <c r="AP348" i="3"/>
  <c r="AQ348" i="3" a="1"/>
  <c r="AR348" i="3" a="1"/>
  <c r="AS348" i="3"/>
  <c r="AT348" i="3" a="1"/>
  <c r="AU348" i="3"/>
  <c r="AV348" i="3" a="1"/>
  <c r="AW348" i="3"/>
  <c r="AX348" i="3"/>
  <c r="AY348" i="3"/>
  <c r="AZ348" i="3"/>
  <c r="BA348" i="3"/>
  <c r="BB348" i="3"/>
  <c r="BC348" i="3"/>
  <c r="BD348" i="3"/>
  <c r="BE348" i="3" a="1"/>
  <c r="BF348" i="3"/>
  <c r="BG348" i="3"/>
  <c r="BH348" i="3" a="1"/>
  <c r="BI348" i="3"/>
  <c r="BJ348" i="3" a="1"/>
  <c r="BK348" i="3" a="1"/>
  <c r="BL348" i="3"/>
  <c r="BM348" i="3"/>
  <c r="B349" i="3"/>
  <c r="C349" i="3"/>
  <c r="D349" i="3"/>
  <c r="E349" i="3"/>
  <c r="F349" i="3"/>
  <c r="G349" i="3"/>
  <c r="H349" i="3"/>
  <c r="I349" i="3"/>
  <c r="J349" i="3"/>
  <c r="K349" i="3"/>
  <c r="L349" i="3"/>
  <c r="M349" i="3" a="1"/>
  <c r="N349" i="3"/>
  <c r="O349" i="3"/>
  <c r="P349" i="3"/>
  <c r="Q349" i="3" a="1"/>
  <c r="R349" i="3"/>
  <c r="S349" i="3"/>
  <c r="T349" i="3"/>
  <c r="U349" i="3"/>
  <c r="V349" i="3" a="1"/>
  <c r="W349" i="3" a="1"/>
  <c r="X349" i="3"/>
  <c r="Y349" i="3"/>
  <c r="Z349" i="3"/>
  <c r="AA349" i="3"/>
  <c r="AB349" i="3" a="1"/>
  <c r="AC349" i="3"/>
  <c r="AD349" i="3" a="1"/>
  <c r="AE349" i="3"/>
  <c r="AG349" i="3"/>
  <c r="AH349" i="3"/>
  <c r="AI349" i="3"/>
  <c r="AJ349" i="3"/>
  <c r="AK349" i="3"/>
  <c r="AL349" i="3"/>
  <c r="AM349" i="3"/>
  <c r="AN349" i="3"/>
  <c r="AO349" i="3"/>
  <c r="AP349" i="3"/>
  <c r="AQ349" i="3" a="1"/>
  <c r="AR349" i="3" a="1"/>
  <c r="AS349" i="3"/>
  <c r="AT349" i="3" a="1"/>
  <c r="AU349" i="3"/>
  <c r="AV349" i="3" a="1"/>
  <c r="AW349" i="3"/>
  <c r="AX349" i="3"/>
  <c r="AY349" i="3"/>
  <c r="AZ349" i="3"/>
  <c r="BA349" i="3"/>
  <c r="BB349" i="3"/>
  <c r="BC349" i="3"/>
  <c r="BD349" i="3"/>
  <c r="BE349" i="3" a="1"/>
  <c r="BF349" i="3"/>
  <c r="BG349" i="3"/>
  <c r="BH349" i="3" a="1"/>
  <c r="BI349" i="3"/>
  <c r="BJ349" i="3" a="1"/>
  <c r="BK349" i="3" a="1"/>
  <c r="BL349" i="3"/>
  <c r="BM349" i="3"/>
  <c r="B350" i="3"/>
  <c r="C350" i="3"/>
  <c r="D350" i="3"/>
  <c r="E350" i="3"/>
  <c r="F350" i="3"/>
  <c r="G350" i="3"/>
  <c r="H350" i="3"/>
  <c r="I350" i="3"/>
  <c r="J350" i="3"/>
  <c r="K350" i="3"/>
  <c r="L350" i="3"/>
  <c r="M350" i="3" a="1"/>
  <c r="N350" i="3"/>
  <c r="O350" i="3"/>
  <c r="P350" i="3"/>
  <c r="Q350" i="3" a="1"/>
  <c r="R350" i="3"/>
  <c r="S350" i="3"/>
  <c r="T350" i="3"/>
  <c r="U350" i="3"/>
  <c r="V350" i="3" a="1"/>
  <c r="W350" i="3" a="1"/>
  <c r="X350" i="3"/>
  <c r="Y350" i="3"/>
  <c r="Z350" i="3"/>
  <c r="AA350" i="3"/>
  <c r="AB350" i="3" a="1"/>
  <c r="AC350" i="3"/>
  <c r="AD350" i="3" a="1"/>
  <c r="AE350" i="3"/>
  <c r="AG350" i="3"/>
  <c r="AH350" i="3"/>
  <c r="AI350" i="3"/>
  <c r="AJ350" i="3"/>
  <c r="AK350" i="3"/>
  <c r="AL350" i="3"/>
  <c r="AM350" i="3"/>
  <c r="AN350" i="3"/>
  <c r="AO350" i="3"/>
  <c r="AP350" i="3"/>
  <c r="AQ350" i="3" a="1"/>
  <c r="AR350" i="3" a="1"/>
  <c r="AS350" i="3"/>
  <c r="AT350" i="3" a="1"/>
  <c r="AU350" i="3"/>
  <c r="AV350" i="3" a="1"/>
  <c r="AW350" i="3"/>
  <c r="AX350" i="3"/>
  <c r="AY350" i="3"/>
  <c r="AZ350" i="3"/>
  <c r="BA350" i="3"/>
  <c r="BB350" i="3"/>
  <c r="BC350" i="3"/>
  <c r="BD350" i="3"/>
  <c r="BE350" i="3" a="1"/>
  <c r="BF350" i="3"/>
  <c r="BG350" i="3"/>
  <c r="BH350" i="3" a="1"/>
  <c r="BI350" i="3"/>
  <c r="BJ350" i="3" a="1"/>
  <c r="BK350" i="3" a="1"/>
  <c r="BL350" i="3"/>
  <c r="BM350" i="3"/>
  <c r="B351" i="3"/>
  <c r="C351" i="3"/>
  <c r="D351" i="3"/>
  <c r="E351" i="3"/>
  <c r="F351" i="3"/>
  <c r="G351" i="3"/>
  <c r="H351" i="3"/>
  <c r="I351" i="3"/>
  <c r="J351" i="3"/>
  <c r="K351" i="3"/>
  <c r="L351" i="3"/>
  <c r="M351" i="3" a="1"/>
  <c r="N351" i="3"/>
  <c r="O351" i="3"/>
  <c r="P351" i="3"/>
  <c r="Q351" i="3" a="1"/>
  <c r="R351" i="3"/>
  <c r="S351" i="3"/>
  <c r="T351" i="3"/>
  <c r="U351" i="3"/>
  <c r="V351" i="3" a="1"/>
  <c r="W351" i="3" a="1"/>
  <c r="X351" i="3"/>
  <c r="Y351" i="3"/>
  <c r="Z351" i="3"/>
  <c r="AA351" i="3"/>
  <c r="AB351" i="3" a="1"/>
  <c r="AC351" i="3"/>
  <c r="AD351" i="3" a="1"/>
  <c r="AE351" i="3"/>
  <c r="AG351" i="3"/>
  <c r="AH351" i="3"/>
  <c r="AI351" i="3"/>
  <c r="AJ351" i="3"/>
  <c r="AK351" i="3"/>
  <c r="AL351" i="3"/>
  <c r="AM351" i="3"/>
  <c r="AN351" i="3"/>
  <c r="AO351" i="3"/>
  <c r="AP351" i="3"/>
  <c r="AQ351" i="3" a="1"/>
  <c r="AR351" i="3" a="1"/>
  <c r="AS351" i="3"/>
  <c r="AT351" i="3" a="1"/>
  <c r="AU351" i="3"/>
  <c r="AV351" i="3" a="1"/>
  <c r="AW351" i="3"/>
  <c r="AX351" i="3"/>
  <c r="AY351" i="3"/>
  <c r="AZ351" i="3"/>
  <c r="BA351" i="3"/>
  <c r="BB351" i="3"/>
  <c r="BC351" i="3"/>
  <c r="BD351" i="3"/>
  <c r="BE351" i="3" a="1"/>
  <c r="BF351" i="3"/>
  <c r="BG351" i="3"/>
  <c r="BH351" i="3" a="1"/>
  <c r="BI351" i="3"/>
  <c r="BJ351" i="3" a="1"/>
  <c r="BK351" i="3" a="1"/>
  <c r="BL351" i="3"/>
  <c r="BM351" i="3"/>
  <c r="B352" i="3"/>
  <c r="C352" i="3"/>
  <c r="D352" i="3"/>
  <c r="E352" i="3"/>
  <c r="F352" i="3"/>
  <c r="G352" i="3"/>
  <c r="H352" i="3"/>
  <c r="I352" i="3"/>
  <c r="J352" i="3"/>
  <c r="K352" i="3"/>
  <c r="L352" i="3"/>
  <c r="M352" i="3" a="1"/>
  <c r="N352" i="3"/>
  <c r="O352" i="3"/>
  <c r="P352" i="3"/>
  <c r="Q352" i="3" a="1"/>
  <c r="R352" i="3"/>
  <c r="S352" i="3"/>
  <c r="T352" i="3"/>
  <c r="U352" i="3"/>
  <c r="V352" i="3" a="1"/>
  <c r="W352" i="3" a="1"/>
  <c r="X352" i="3"/>
  <c r="Y352" i="3"/>
  <c r="Z352" i="3"/>
  <c r="AA352" i="3"/>
  <c r="AB352" i="3" a="1"/>
  <c r="AC352" i="3"/>
  <c r="AD352" i="3" a="1"/>
  <c r="AE352" i="3"/>
  <c r="AG352" i="3"/>
  <c r="AH352" i="3"/>
  <c r="AI352" i="3"/>
  <c r="AJ352" i="3"/>
  <c r="AK352" i="3"/>
  <c r="AL352" i="3"/>
  <c r="AM352" i="3"/>
  <c r="AN352" i="3"/>
  <c r="AO352" i="3"/>
  <c r="AP352" i="3"/>
  <c r="AQ352" i="3" a="1"/>
  <c r="AR352" i="3" a="1"/>
  <c r="AS352" i="3"/>
  <c r="AT352" i="3" a="1"/>
  <c r="AU352" i="3"/>
  <c r="AV352" i="3" a="1"/>
  <c r="AW352" i="3"/>
  <c r="AX352" i="3"/>
  <c r="AY352" i="3"/>
  <c r="AZ352" i="3"/>
  <c r="BA352" i="3"/>
  <c r="BB352" i="3"/>
  <c r="BC352" i="3"/>
  <c r="BD352" i="3"/>
  <c r="BE352" i="3" a="1"/>
  <c r="BF352" i="3"/>
  <c r="BG352" i="3"/>
  <c r="BH352" i="3" a="1"/>
  <c r="BI352" i="3"/>
  <c r="BJ352" i="3" a="1"/>
  <c r="BK352" i="3" a="1"/>
  <c r="BL352" i="3"/>
  <c r="BM352" i="3"/>
  <c r="B353" i="3"/>
  <c r="C353" i="3"/>
  <c r="D353" i="3"/>
  <c r="E353" i="3"/>
  <c r="F353" i="3"/>
  <c r="G353" i="3"/>
  <c r="H353" i="3"/>
  <c r="I353" i="3"/>
  <c r="J353" i="3"/>
  <c r="K353" i="3"/>
  <c r="L353" i="3"/>
  <c r="M353" i="3" a="1"/>
  <c r="N353" i="3"/>
  <c r="O353" i="3"/>
  <c r="P353" i="3"/>
  <c r="Q353" i="3" a="1"/>
  <c r="R353" i="3"/>
  <c r="S353" i="3"/>
  <c r="T353" i="3"/>
  <c r="U353" i="3"/>
  <c r="V353" i="3" a="1"/>
  <c r="W353" i="3" a="1"/>
  <c r="X353" i="3"/>
  <c r="Y353" i="3"/>
  <c r="Z353" i="3"/>
  <c r="AA353" i="3"/>
  <c r="AB353" i="3" a="1"/>
  <c r="AC353" i="3"/>
  <c r="AD353" i="3" a="1"/>
  <c r="AE353" i="3"/>
  <c r="AG353" i="3"/>
  <c r="AH353" i="3"/>
  <c r="AI353" i="3"/>
  <c r="AJ353" i="3"/>
  <c r="AK353" i="3"/>
  <c r="AL353" i="3"/>
  <c r="AM353" i="3"/>
  <c r="AN353" i="3"/>
  <c r="AO353" i="3"/>
  <c r="AP353" i="3"/>
  <c r="AQ353" i="3" a="1"/>
  <c r="AR353" i="3" a="1"/>
  <c r="AS353" i="3"/>
  <c r="AT353" i="3" a="1"/>
  <c r="AU353" i="3"/>
  <c r="AV353" i="3" a="1"/>
  <c r="AW353" i="3"/>
  <c r="AX353" i="3"/>
  <c r="AY353" i="3"/>
  <c r="AZ353" i="3"/>
  <c r="BA353" i="3"/>
  <c r="BB353" i="3"/>
  <c r="BC353" i="3"/>
  <c r="BD353" i="3"/>
  <c r="BE353" i="3" a="1"/>
  <c r="BF353" i="3"/>
  <c r="BG353" i="3"/>
  <c r="BH353" i="3" a="1"/>
  <c r="BI353" i="3"/>
  <c r="BJ353" i="3" a="1"/>
  <c r="BK353" i="3" a="1"/>
  <c r="BL353" i="3"/>
  <c r="BM353" i="3"/>
  <c r="B354" i="3"/>
  <c r="C354" i="3"/>
  <c r="D354" i="3"/>
  <c r="E354" i="3"/>
  <c r="F354" i="3"/>
  <c r="G354" i="3"/>
  <c r="H354" i="3"/>
  <c r="I354" i="3"/>
  <c r="J354" i="3"/>
  <c r="K354" i="3"/>
  <c r="L354" i="3"/>
  <c r="M354" i="3" a="1"/>
  <c r="N354" i="3"/>
  <c r="O354" i="3"/>
  <c r="P354" i="3"/>
  <c r="Q354" i="3" a="1"/>
  <c r="R354" i="3"/>
  <c r="S354" i="3"/>
  <c r="T354" i="3"/>
  <c r="U354" i="3"/>
  <c r="V354" i="3" a="1"/>
  <c r="W354" i="3" a="1"/>
  <c r="X354" i="3"/>
  <c r="Y354" i="3"/>
  <c r="Z354" i="3"/>
  <c r="AA354" i="3"/>
  <c r="AB354" i="3" a="1"/>
  <c r="AC354" i="3"/>
  <c r="AD354" i="3" a="1"/>
  <c r="AE354" i="3"/>
  <c r="AG354" i="3"/>
  <c r="AH354" i="3"/>
  <c r="AI354" i="3"/>
  <c r="AJ354" i="3"/>
  <c r="AK354" i="3"/>
  <c r="AL354" i="3"/>
  <c r="AM354" i="3"/>
  <c r="AN354" i="3"/>
  <c r="AO354" i="3"/>
  <c r="AP354" i="3"/>
  <c r="AQ354" i="3" a="1"/>
  <c r="AR354" i="3" a="1"/>
  <c r="AS354" i="3"/>
  <c r="AT354" i="3" a="1"/>
  <c r="AU354" i="3"/>
  <c r="AV354" i="3" a="1"/>
  <c r="AW354" i="3"/>
  <c r="AX354" i="3"/>
  <c r="AY354" i="3"/>
  <c r="AZ354" i="3"/>
  <c r="BA354" i="3"/>
  <c r="BB354" i="3"/>
  <c r="BC354" i="3"/>
  <c r="BD354" i="3"/>
  <c r="BE354" i="3" a="1"/>
  <c r="BF354" i="3"/>
  <c r="BG354" i="3"/>
  <c r="BH354" i="3" a="1"/>
  <c r="BI354" i="3"/>
  <c r="BJ354" i="3" a="1"/>
  <c r="BK354" i="3" a="1"/>
  <c r="BL354" i="3"/>
  <c r="BM354" i="3"/>
  <c r="B355" i="3"/>
  <c r="C355" i="3"/>
  <c r="D355" i="3"/>
  <c r="E355" i="3"/>
  <c r="F355" i="3"/>
  <c r="G355" i="3"/>
  <c r="H355" i="3"/>
  <c r="I355" i="3"/>
  <c r="J355" i="3"/>
  <c r="K355" i="3"/>
  <c r="L355" i="3"/>
  <c r="M355" i="3" a="1"/>
  <c r="N355" i="3"/>
  <c r="O355" i="3"/>
  <c r="P355" i="3"/>
  <c r="Q355" i="3" a="1"/>
  <c r="R355" i="3"/>
  <c r="S355" i="3"/>
  <c r="T355" i="3"/>
  <c r="U355" i="3"/>
  <c r="V355" i="3" a="1"/>
  <c r="W355" i="3" a="1"/>
  <c r="X355" i="3"/>
  <c r="Y355" i="3"/>
  <c r="Z355" i="3"/>
  <c r="AA355" i="3"/>
  <c r="AB355" i="3" a="1"/>
  <c r="AC355" i="3"/>
  <c r="AD355" i="3" a="1"/>
  <c r="AE355" i="3"/>
  <c r="AG355" i="3"/>
  <c r="AH355" i="3"/>
  <c r="AI355" i="3"/>
  <c r="AJ355" i="3"/>
  <c r="AK355" i="3"/>
  <c r="AL355" i="3"/>
  <c r="AM355" i="3"/>
  <c r="AN355" i="3"/>
  <c r="AO355" i="3"/>
  <c r="AP355" i="3"/>
  <c r="AQ355" i="3" a="1"/>
  <c r="AR355" i="3" a="1"/>
  <c r="AS355" i="3"/>
  <c r="AT355" i="3" a="1"/>
  <c r="AU355" i="3"/>
  <c r="AV355" i="3" a="1"/>
  <c r="AW355" i="3"/>
  <c r="AX355" i="3"/>
  <c r="AY355" i="3"/>
  <c r="AZ355" i="3"/>
  <c r="BA355" i="3"/>
  <c r="BB355" i="3"/>
  <c r="BC355" i="3"/>
  <c r="BD355" i="3"/>
  <c r="BE355" i="3" a="1"/>
  <c r="BF355" i="3"/>
  <c r="BG355" i="3"/>
  <c r="BH355" i="3" a="1"/>
  <c r="BI355" i="3"/>
  <c r="BJ355" i="3" a="1"/>
  <c r="BK355" i="3" a="1"/>
  <c r="BL355" i="3"/>
  <c r="BM355" i="3"/>
  <c r="B356" i="3"/>
  <c r="C356" i="3"/>
  <c r="D356" i="3"/>
  <c r="E356" i="3"/>
  <c r="F356" i="3"/>
  <c r="G356" i="3"/>
  <c r="H356" i="3"/>
  <c r="I356" i="3"/>
  <c r="J356" i="3"/>
  <c r="K356" i="3"/>
  <c r="L356" i="3"/>
  <c r="M356" i="3" a="1"/>
  <c r="N356" i="3"/>
  <c r="O356" i="3"/>
  <c r="P356" i="3"/>
  <c r="Q356" i="3" a="1"/>
  <c r="R356" i="3"/>
  <c r="S356" i="3"/>
  <c r="T356" i="3"/>
  <c r="U356" i="3"/>
  <c r="V356" i="3" a="1"/>
  <c r="W356" i="3" a="1"/>
  <c r="X356" i="3"/>
  <c r="Y356" i="3"/>
  <c r="Z356" i="3"/>
  <c r="AA356" i="3"/>
  <c r="AB356" i="3" a="1"/>
  <c r="AC356" i="3"/>
  <c r="AD356" i="3" a="1"/>
  <c r="AE356" i="3"/>
  <c r="AG356" i="3"/>
  <c r="AH356" i="3"/>
  <c r="AI356" i="3"/>
  <c r="AJ356" i="3"/>
  <c r="AK356" i="3"/>
  <c r="AL356" i="3"/>
  <c r="AM356" i="3"/>
  <c r="AN356" i="3"/>
  <c r="AO356" i="3"/>
  <c r="AP356" i="3"/>
  <c r="AQ356" i="3" a="1"/>
  <c r="AR356" i="3" a="1"/>
  <c r="AS356" i="3"/>
  <c r="AT356" i="3" a="1"/>
  <c r="AU356" i="3"/>
  <c r="AV356" i="3" a="1"/>
  <c r="AW356" i="3"/>
  <c r="AX356" i="3"/>
  <c r="AY356" i="3"/>
  <c r="AZ356" i="3"/>
  <c r="BA356" i="3"/>
  <c r="BB356" i="3"/>
  <c r="BC356" i="3"/>
  <c r="BD356" i="3"/>
  <c r="BE356" i="3" a="1"/>
  <c r="BF356" i="3"/>
  <c r="BG356" i="3"/>
  <c r="BH356" i="3" a="1"/>
  <c r="BI356" i="3"/>
  <c r="BJ356" i="3" a="1"/>
  <c r="BK356" i="3" a="1"/>
  <c r="BL356" i="3"/>
  <c r="BM356" i="3"/>
  <c r="B357" i="3"/>
  <c r="C357" i="3"/>
  <c r="D357" i="3"/>
  <c r="E357" i="3"/>
  <c r="F357" i="3"/>
  <c r="G357" i="3"/>
  <c r="H357" i="3"/>
  <c r="I357" i="3"/>
  <c r="J357" i="3"/>
  <c r="K357" i="3"/>
  <c r="L357" i="3"/>
  <c r="M357" i="3" a="1"/>
  <c r="N357" i="3"/>
  <c r="O357" i="3"/>
  <c r="P357" i="3"/>
  <c r="Q357" i="3" a="1"/>
  <c r="R357" i="3"/>
  <c r="S357" i="3"/>
  <c r="T357" i="3"/>
  <c r="U357" i="3"/>
  <c r="V357" i="3" a="1"/>
  <c r="W357" i="3" a="1"/>
  <c r="X357" i="3"/>
  <c r="Y357" i="3"/>
  <c r="Z357" i="3"/>
  <c r="AA357" i="3"/>
  <c r="AB357" i="3" a="1"/>
  <c r="AC357" i="3"/>
  <c r="AD357" i="3" a="1"/>
  <c r="AE357" i="3"/>
  <c r="AG357" i="3"/>
  <c r="AH357" i="3"/>
  <c r="AI357" i="3"/>
  <c r="AJ357" i="3"/>
  <c r="AK357" i="3"/>
  <c r="AL357" i="3"/>
  <c r="AM357" i="3"/>
  <c r="AN357" i="3"/>
  <c r="AO357" i="3"/>
  <c r="AP357" i="3"/>
  <c r="AQ357" i="3" a="1"/>
  <c r="AR357" i="3" a="1"/>
  <c r="AS357" i="3"/>
  <c r="AT357" i="3" a="1"/>
  <c r="AU357" i="3"/>
  <c r="AV357" i="3" a="1"/>
  <c r="AW357" i="3"/>
  <c r="AX357" i="3"/>
  <c r="AY357" i="3"/>
  <c r="AZ357" i="3"/>
  <c r="BA357" i="3"/>
  <c r="BB357" i="3"/>
  <c r="BC357" i="3"/>
  <c r="BD357" i="3"/>
  <c r="BE357" i="3" a="1"/>
  <c r="BF357" i="3"/>
  <c r="BG357" i="3"/>
  <c r="BH357" i="3" a="1"/>
  <c r="BI357" i="3"/>
  <c r="BJ357" i="3" a="1"/>
  <c r="BK357" i="3" a="1"/>
  <c r="BL357" i="3"/>
  <c r="BM357" i="3"/>
  <c r="B358" i="3"/>
  <c r="C358" i="3"/>
  <c r="D358" i="3"/>
  <c r="E358" i="3"/>
  <c r="F358" i="3"/>
  <c r="G358" i="3"/>
  <c r="H358" i="3"/>
  <c r="I358" i="3"/>
  <c r="J358" i="3"/>
  <c r="K358" i="3"/>
  <c r="L358" i="3"/>
  <c r="M358" i="3" a="1"/>
  <c r="N358" i="3"/>
  <c r="O358" i="3"/>
  <c r="P358" i="3"/>
  <c r="Q358" i="3" a="1"/>
  <c r="R358" i="3"/>
  <c r="S358" i="3"/>
  <c r="T358" i="3"/>
  <c r="U358" i="3"/>
  <c r="V358" i="3" a="1"/>
  <c r="W358" i="3" a="1"/>
  <c r="X358" i="3"/>
  <c r="Y358" i="3"/>
  <c r="Z358" i="3"/>
  <c r="AA358" i="3"/>
  <c r="AB358" i="3" a="1"/>
  <c r="AC358" i="3"/>
  <c r="AD358" i="3" a="1"/>
  <c r="AE358" i="3"/>
  <c r="AG358" i="3"/>
  <c r="AH358" i="3"/>
  <c r="AI358" i="3"/>
  <c r="AJ358" i="3"/>
  <c r="AK358" i="3"/>
  <c r="AL358" i="3"/>
  <c r="AM358" i="3"/>
  <c r="AN358" i="3"/>
  <c r="AO358" i="3"/>
  <c r="AP358" i="3"/>
  <c r="AQ358" i="3" a="1"/>
  <c r="AR358" i="3" a="1"/>
  <c r="AS358" i="3"/>
  <c r="AT358" i="3" a="1"/>
  <c r="AU358" i="3"/>
  <c r="AV358" i="3" a="1"/>
  <c r="AW358" i="3"/>
  <c r="AX358" i="3"/>
  <c r="AY358" i="3"/>
  <c r="AZ358" i="3"/>
  <c r="BA358" i="3"/>
  <c r="BB358" i="3"/>
  <c r="BC358" i="3"/>
  <c r="BD358" i="3"/>
  <c r="BE358" i="3" a="1"/>
  <c r="BF358" i="3"/>
  <c r="BG358" i="3"/>
  <c r="BH358" i="3" a="1"/>
  <c r="BI358" i="3"/>
  <c r="BJ358" i="3" a="1"/>
  <c r="BK358" i="3" a="1"/>
  <c r="BL358" i="3"/>
  <c r="BM358" i="3"/>
  <c r="B359" i="3"/>
  <c r="C359" i="3"/>
  <c r="D359" i="3"/>
  <c r="E359" i="3"/>
  <c r="F359" i="3"/>
  <c r="G359" i="3"/>
  <c r="H359" i="3"/>
  <c r="I359" i="3"/>
  <c r="J359" i="3"/>
  <c r="K359" i="3"/>
  <c r="L359" i="3"/>
  <c r="M359" i="3" a="1"/>
  <c r="N359" i="3"/>
  <c r="O359" i="3"/>
  <c r="P359" i="3"/>
  <c r="Q359" i="3" a="1"/>
  <c r="R359" i="3"/>
  <c r="S359" i="3"/>
  <c r="T359" i="3"/>
  <c r="U359" i="3"/>
  <c r="V359" i="3" a="1"/>
  <c r="W359" i="3" a="1"/>
  <c r="X359" i="3"/>
  <c r="Y359" i="3"/>
  <c r="Z359" i="3"/>
  <c r="AA359" i="3"/>
  <c r="AB359" i="3" a="1"/>
  <c r="AC359" i="3"/>
  <c r="AD359" i="3" a="1"/>
  <c r="AE359" i="3"/>
  <c r="AG359" i="3"/>
  <c r="AH359" i="3"/>
  <c r="AI359" i="3"/>
  <c r="AJ359" i="3"/>
  <c r="AK359" i="3"/>
  <c r="AL359" i="3"/>
  <c r="AM359" i="3"/>
  <c r="AN359" i="3"/>
  <c r="AO359" i="3"/>
  <c r="AP359" i="3"/>
  <c r="AQ359" i="3" a="1"/>
  <c r="AR359" i="3" a="1"/>
  <c r="AS359" i="3"/>
  <c r="AT359" i="3" a="1"/>
  <c r="AU359" i="3"/>
  <c r="AV359" i="3" a="1"/>
  <c r="AW359" i="3"/>
  <c r="AX359" i="3"/>
  <c r="AY359" i="3"/>
  <c r="AZ359" i="3"/>
  <c r="BA359" i="3"/>
  <c r="BB359" i="3"/>
  <c r="BC359" i="3"/>
  <c r="BD359" i="3"/>
  <c r="BE359" i="3" a="1"/>
  <c r="BF359" i="3"/>
  <c r="BG359" i="3"/>
  <c r="BH359" i="3" a="1"/>
  <c r="BI359" i="3"/>
  <c r="BJ359" i="3" a="1"/>
  <c r="BK359" i="3" a="1"/>
  <c r="BL359" i="3"/>
  <c r="BM359" i="3"/>
  <c r="B360" i="3"/>
  <c r="C360" i="3"/>
  <c r="D360" i="3"/>
  <c r="E360" i="3"/>
  <c r="F360" i="3"/>
  <c r="G360" i="3"/>
  <c r="H360" i="3"/>
  <c r="I360" i="3"/>
  <c r="J360" i="3"/>
  <c r="K360" i="3"/>
  <c r="L360" i="3"/>
  <c r="M360" i="3" a="1"/>
  <c r="N360" i="3"/>
  <c r="O360" i="3"/>
  <c r="P360" i="3"/>
  <c r="Q360" i="3" a="1"/>
  <c r="R360" i="3"/>
  <c r="S360" i="3"/>
  <c r="T360" i="3"/>
  <c r="U360" i="3"/>
  <c r="V360" i="3" a="1"/>
  <c r="W360" i="3" a="1"/>
  <c r="X360" i="3"/>
  <c r="Y360" i="3"/>
  <c r="Z360" i="3"/>
  <c r="AA360" i="3"/>
  <c r="AB360" i="3" a="1"/>
  <c r="AC360" i="3"/>
  <c r="AD360" i="3" a="1"/>
  <c r="AE360" i="3"/>
  <c r="AG360" i="3"/>
  <c r="AH360" i="3"/>
  <c r="AI360" i="3"/>
  <c r="AJ360" i="3"/>
  <c r="AK360" i="3"/>
  <c r="AL360" i="3"/>
  <c r="AM360" i="3"/>
  <c r="AN360" i="3"/>
  <c r="AO360" i="3"/>
  <c r="AP360" i="3"/>
  <c r="AQ360" i="3" a="1"/>
  <c r="AR360" i="3" a="1"/>
  <c r="AS360" i="3"/>
  <c r="AT360" i="3" a="1"/>
  <c r="AU360" i="3"/>
  <c r="AV360" i="3" a="1"/>
  <c r="AW360" i="3"/>
  <c r="AX360" i="3"/>
  <c r="AY360" i="3"/>
  <c r="AZ360" i="3"/>
  <c r="BA360" i="3"/>
  <c r="BB360" i="3"/>
  <c r="BC360" i="3"/>
  <c r="BD360" i="3"/>
  <c r="BE360" i="3" a="1"/>
  <c r="BF360" i="3"/>
  <c r="BG360" i="3"/>
  <c r="BH360" i="3" a="1"/>
  <c r="BI360" i="3"/>
  <c r="BJ360" i="3" a="1"/>
  <c r="BK360" i="3" a="1"/>
  <c r="BL360" i="3"/>
  <c r="BM360" i="3"/>
  <c r="B361" i="3"/>
  <c r="C361" i="3"/>
  <c r="D361" i="3"/>
  <c r="E361" i="3"/>
  <c r="F361" i="3"/>
  <c r="G361" i="3"/>
  <c r="H361" i="3"/>
  <c r="I361" i="3"/>
  <c r="J361" i="3"/>
  <c r="K361" i="3"/>
  <c r="L361" i="3"/>
  <c r="M361" i="3" a="1"/>
  <c r="N361" i="3"/>
  <c r="O361" i="3"/>
  <c r="P361" i="3"/>
  <c r="Q361" i="3" a="1"/>
  <c r="R361" i="3"/>
  <c r="S361" i="3"/>
  <c r="T361" i="3"/>
  <c r="U361" i="3"/>
  <c r="V361" i="3" a="1"/>
  <c r="W361" i="3" a="1"/>
  <c r="X361" i="3"/>
  <c r="Y361" i="3"/>
  <c r="Z361" i="3"/>
  <c r="AA361" i="3"/>
  <c r="AB361" i="3" a="1"/>
  <c r="AC361" i="3"/>
  <c r="AD361" i="3" a="1"/>
  <c r="AE361" i="3"/>
  <c r="AG361" i="3"/>
  <c r="AH361" i="3"/>
  <c r="AI361" i="3"/>
  <c r="AJ361" i="3"/>
  <c r="AK361" i="3"/>
  <c r="AL361" i="3"/>
  <c r="AM361" i="3"/>
  <c r="AN361" i="3"/>
  <c r="AO361" i="3"/>
  <c r="AP361" i="3"/>
  <c r="AQ361" i="3" a="1"/>
  <c r="AR361" i="3" a="1"/>
  <c r="AS361" i="3"/>
  <c r="AT361" i="3" a="1"/>
  <c r="AU361" i="3"/>
  <c r="AV361" i="3" a="1"/>
  <c r="AW361" i="3"/>
  <c r="AX361" i="3"/>
  <c r="AY361" i="3"/>
  <c r="AZ361" i="3"/>
  <c r="BA361" i="3"/>
  <c r="BB361" i="3"/>
  <c r="BC361" i="3"/>
  <c r="BD361" i="3"/>
  <c r="BE361" i="3" a="1"/>
  <c r="BF361" i="3"/>
  <c r="BG361" i="3"/>
  <c r="BH361" i="3" a="1"/>
  <c r="BI361" i="3"/>
  <c r="BJ361" i="3" a="1"/>
  <c r="BK361" i="3" a="1"/>
  <c r="BL361" i="3"/>
  <c r="BM361" i="3"/>
  <c r="B362" i="3"/>
  <c r="C362" i="3"/>
  <c r="D362" i="3"/>
  <c r="E362" i="3"/>
  <c r="F362" i="3"/>
  <c r="G362" i="3"/>
  <c r="H362" i="3"/>
  <c r="I362" i="3"/>
  <c r="J362" i="3"/>
  <c r="K362" i="3"/>
  <c r="L362" i="3"/>
  <c r="M362" i="3" a="1"/>
  <c r="N362" i="3"/>
  <c r="O362" i="3"/>
  <c r="P362" i="3"/>
  <c r="Q362" i="3" a="1"/>
  <c r="R362" i="3"/>
  <c r="S362" i="3"/>
  <c r="T362" i="3"/>
  <c r="U362" i="3"/>
  <c r="V362" i="3" a="1"/>
  <c r="W362" i="3" a="1"/>
  <c r="X362" i="3"/>
  <c r="Y362" i="3"/>
  <c r="Z362" i="3"/>
  <c r="AA362" i="3"/>
  <c r="AB362" i="3" a="1"/>
  <c r="AC362" i="3"/>
  <c r="AD362" i="3" a="1"/>
  <c r="AE362" i="3"/>
  <c r="AG362" i="3"/>
  <c r="AH362" i="3"/>
  <c r="AI362" i="3"/>
  <c r="AJ362" i="3"/>
  <c r="AK362" i="3"/>
  <c r="AL362" i="3"/>
  <c r="AM362" i="3"/>
  <c r="AN362" i="3"/>
  <c r="AO362" i="3"/>
  <c r="AP362" i="3"/>
  <c r="AQ362" i="3" a="1"/>
  <c r="AR362" i="3" a="1"/>
  <c r="AS362" i="3"/>
  <c r="AT362" i="3" a="1"/>
  <c r="AU362" i="3"/>
  <c r="AV362" i="3" a="1"/>
  <c r="AW362" i="3"/>
  <c r="AX362" i="3"/>
  <c r="AY362" i="3"/>
  <c r="AZ362" i="3"/>
  <c r="BA362" i="3"/>
  <c r="BB362" i="3"/>
  <c r="BC362" i="3"/>
  <c r="BD362" i="3"/>
  <c r="BE362" i="3" a="1"/>
  <c r="BF362" i="3"/>
  <c r="BG362" i="3"/>
  <c r="BH362" i="3" a="1"/>
  <c r="BI362" i="3"/>
  <c r="BJ362" i="3" a="1"/>
  <c r="BK362" i="3" a="1"/>
  <c r="BL362" i="3"/>
  <c r="BM362" i="3"/>
  <c r="B363" i="3"/>
  <c r="C363" i="3"/>
  <c r="D363" i="3"/>
  <c r="E363" i="3"/>
  <c r="F363" i="3"/>
  <c r="G363" i="3"/>
  <c r="H363" i="3"/>
  <c r="I363" i="3"/>
  <c r="J363" i="3"/>
  <c r="K363" i="3"/>
  <c r="L363" i="3"/>
  <c r="M363" i="3" a="1"/>
  <c r="N363" i="3"/>
  <c r="O363" i="3"/>
  <c r="P363" i="3"/>
  <c r="Q363" i="3" a="1"/>
  <c r="R363" i="3"/>
  <c r="S363" i="3"/>
  <c r="T363" i="3"/>
  <c r="U363" i="3"/>
  <c r="V363" i="3" a="1"/>
  <c r="W363" i="3" a="1"/>
  <c r="X363" i="3"/>
  <c r="Y363" i="3"/>
  <c r="Z363" i="3"/>
  <c r="AA363" i="3"/>
  <c r="AB363" i="3" a="1"/>
  <c r="AC363" i="3"/>
  <c r="AD363" i="3" a="1"/>
  <c r="AE363" i="3"/>
  <c r="AG363" i="3"/>
  <c r="AH363" i="3"/>
  <c r="AI363" i="3"/>
  <c r="AJ363" i="3"/>
  <c r="AK363" i="3"/>
  <c r="AL363" i="3"/>
  <c r="AM363" i="3"/>
  <c r="AN363" i="3"/>
  <c r="AO363" i="3"/>
  <c r="AP363" i="3"/>
  <c r="AQ363" i="3" a="1"/>
  <c r="AR363" i="3" a="1"/>
  <c r="AS363" i="3"/>
  <c r="AT363" i="3" a="1"/>
  <c r="AU363" i="3"/>
  <c r="AV363" i="3" a="1"/>
  <c r="AW363" i="3"/>
  <c r="AX363" i="3"/>
  <c r="AY363" i="3"/>
  <c r="AZ363" i="3"/>
  <c r="BA363" i="3"/>
  <c r="BB363" i="3"/>
  <c r="BC363" i="3"/>
  <c r="BD363" i="3"/>
  <c r="BE363" i="3" a="1"/>
  <c r="BF363" i="3"/>
  <c r="BG363" i="3"/>
  <c r="BH363" i="3" a="1"/>
  <c r="BI363" i="3"/>
  <c r="BJ363" i="3" a="1"/>
  <c r="BK363" i="3" a="1"/>
  <c r="BL363" i="3"/>
  <c r="BM363" i="3"/>
  <c r="B364" i="3"/>
  <c r="C364" i="3"/>
  <c r="D364" i="3"/>
  <c r="E364" i="3"/>
  <c r="F364" i="3"/>
  <c r="G364" i="3"/>
  <c r="H364" i="3"/>
  <c r="I364" i="3"/>
  <c r="J364" i="3"/>
  <c r="K364" i="3"/>
  <c r="L364" i="3"/>
  <c r="M364" i="3" a="1"/>
  <c r="N364" i="3"/>
  <c r="O364" i="3"/>
  <c r="P364" i="3"/>
  <c r="Q364" i="3" a="1"/>
  <c r="R364" i="3"/>
  <c r="S364" i="3"/>
  <c r="T364" i="3"/>
  <c r="U364" i="3"/>
  <c r="V364" i="3" a="1"/>
  <c r="W364" i="3" a="1"/>
  <c r="X364" i="3"/>
  <c r="Y364" i="3"/>
  <c r="Z364" i="3"/>
  <c r="AA364" i="3"/>
  <c r="AB364" i="3" a="1"/>
  <c r="AC364" i="3"/>
  <c r="AD364" i="3" a="1"/>
  <c r="AE364" i="3"/>
  <c r="AG364" i="3"/>
  <c r="AH364" i="3"/>
  <c r="AI364" i="3"/>
  <c r="AJ364" i="3"/>
  <c r="AK364" i="3"/>
  <c r="AL364" i="3"/>
  <c r="AM364" i="3"/>
  <c r="AN364" i="3"/>
  <c r="AO364" i="3"/>
  <c r="AP364" i="3"/>
  <c r="AQ364" i="3" a="1"/>
  <c r="AR364" i="3" a="1"/>
  <c r="AS364" i="3"/>
  <c r="AT364" i="3" a="1"/>
  <c r="AU364" i="3"/>
  <c r="AV364" i="3" a="1"/>
  <c r="AW364" i="3"/>
  <c r="AX364" i="3"/>
  <c r="AY364" i="3"/>
  <c r="AZ364" i="3"/>
  <c r="BA364" i="3"/>
  <c r="BB364" i="3"/>
  <c r="BC364" i="3"/>
  <c r="BD364" i="3"/>
  <c r="BE364" i="3" a="1"/>
  <c r="BF364" i="3"/>
  <c r="BG364" i="3"/>
  <c r="BH364" i="3" a="1"/>
  <c r="BI364" i="3"/>
  <c r="BJ364" i="3" a="1"/>
  <c r="BK364" i="3" a="1"/>
  <c r="BL364" i="3"/>
  <c r="BM364" i="3"/>
  <c r="B365" i="3"/>
  <c r="C365" i="3"/>
  <c r="D365" i="3"/>
  <c r="E365" i="3"/>
  <c r="F365" i="3"/>
  <c r="G365" i="3"/>
  <c r="H365" i="3"/>
  <c r="I365" i="3"/>
  <c r="J365" i="3"/>
  <c r="K365" i="3"/>
  <c r="L365" i="3"/>
  <c r="M365" i="3" a="1"/>
  <c r="N365" i="3"/>
  <c r="O365" i="3"/>
  <c r="P365" i="3"/>
  <c r="Q365" i="3" a="1"/>
  <c r="R365" i="3"/>
  <c r="S365" i="3"/>
  <c r="T365" i="3"/>
  <c r="U365" i="3"/>
  <c r="V365" i="3" a="1"/>
  <c r="W365" i="3" a="1"/>
  <c r="X365" i="3"/>
  <c r="Y365" i="3"/>
  <c r="Z365" i="3"/>
  <c r="AA365" i="3"/>
  <c r="AB365" i="3" a="1"/>
  <c r="AC365" i="3"/>
  <c r="AD365" i="3" a="1"/>
  <c r="AE365" i="3"/>
  <c r="AG365" i="3"/>
  <c r="AH365" i="3"/>
  <c r="AI365" i="3"/>
  <c r="AJ365" i="3"/>
  <c r="AK365" i="3"/>
  <c r="AL365" i="3"/>
  <c r="AM365" i="3"/>
  <c r="AN365" i="3"/>
  <c r="AO365" i="3"/>
  <c r="AP365" i="3"/>
  <c r="AQ365" i="3" a="1"/>
  <c r="AR365" i="3" a="1"/>
  <c r="AS365" i="3"/>
  <c r="AT365" i="3" a="1"/>
  <c r="AU365" i="3"/>
  <c r="AV365" i="3" a="1"/>
  <c r="AW365" i="3"/>
  <c r="AX365" i="3"/>
  <c r="AY365" i="3"/>
  <c r="AZ365" i="3"/>
  <c r="BA365" i="3"/>
  <c r="BB365" i="3"/>
  <c r="BC365" i="3"/>
  <c r="BD365" i="3"/>
  <c r="BE365" i="3" a="1"/>
  <c r="BF365" i="3"/>
  <c r="BG365" i="3"/>
  <c r="BH365" i="3" a="1"/>
  <c r="BI365" i="3"/>
  <c r="BJ365" i="3" a="1"/>
  <c r="BK365" i="3" a="1"/>
  <c r="BL365" i="3"/>
  <c r="BM365" i="3"/>
  <c r="B366" i="3"/>
  <c r="C366" i="3"/>
  <c r="D366" i="3"/>
  <c r="E366" i="3"/>
  <c r="F366" i="3"/>
  <c r="G366" i="3"/>
  <c r="H366" i="3"/>
  <c r="I366" i="3"/>
  <c r="J366" i="3"/>
  <c r="K366" i="3"/>
  <c r="L366" i="3"/>
  <c r="M366" i="3" a="1"/>
  <c r="N366" i="3"/>
  <c r="O366" i="3"/>
  <c r="P366" i="3"/>
  <c r="Q366" i="3" a="1"/>
  <c r="R366" i="3"/>
  <c r="S366" i="3"/>
  <c r="T366" i="3"/>
  <c r="U366" i="3"/>
  <c r="V366" i="3" a="1"/>
  <c r="W366" i="3" a="1"/>
  <c r="X366" i="3"/>
  <c r="Y366" i="3"/>
  <c r="Z366" i="3"/>
  <c r="AA366" i="3"/>
  <c r="AB366" i="3" a="1"/>
  <c r="AC366" i="3"/>
  <c r="AD366" i="3" a="1"/>
  <c r="AE366" i="3"/>
  <c r="AG366" i="3"/>
  <c r="AH366" i="3"/>
  <c r="AI366" i="3"/>
  <c r="AJ366" i="3"/>
  <c r="AK366" i="3"/>
  <c r="AL366" i="3"/>
  <c r="AM366" i="3"/>
  <c r="AN366" i="3"/>
  <c r="AO366" i="3"/>
  <c r="AP366" i="3"/>
  <c r="AQ366" i="3" a="1"/>
  <c r="AR366" i="3" a="1"/>
  <c r="AS366" i="3"/>
  <c r="AT366" i="3" a="1"/>
  <c r="AU366" i="3"/>
  <c r="AV366" i="3" a="1"/>
  <c r="AW366" i="3"/>
  <c r="AX366" i="3"/>
  <c r="AY366" i="3"/>
  <c r="AZ366" i="3"/>
  <c r="BA366" i="3"/>
  <c r="BB366" i="3"/>
  <c r="BC366" i="3"/>
  <c r="BD366" i="3"/>
  <c r="BE366" i="3" a="1"/>
  <c r="BF366" i="3"/>
  <c r="BG366" i="3"/>
  <c r="BH366" i="3" a="1"/>
  <c r="BI366" i="3"/>
  <c r="BJ366" i="3" a="1"/>
  <c r="BK366" i="3" a="1"/>
  <c r="BL366" i="3"/>
  <c r="BM366" i="3"/>
  <c r="B367" i="3"/>
  <c r="C367" i="3"/>
  <c r="D367" i="3"/>
  <c r="E367" i="3"/>
  <c r="F367" i="3"/>
  <c r="G367" i="3"/>
  <c r="H367" i="3"/>
  <c r="I367" i="3"/>
  <c r="J367" i="3"/>
  <c r="K367" i="3"/>
  <c r="L367" i="3"/>
  <c r="M367" i="3" a="1"/>
  <c r="N367" i="3"/>
  <c r="O367" i="3"/>
  <c r="P367" i="3"/>
  <c r="Q367" i="3" a="1"/>
  <c r="R367" i="3"/>
  <c r="S367" i="3"/>
  <c r="T367" i="3"/>
  <c r="U367" i="3"/>
  <c r="V367" i="3" a="1"/>
  <c r="W367" i="3" a="1"/>
  <c r="X367" i="3"/>
  <c r="Y367" i="3"/>
  <c r="Z367" i="3"/>
  <c r="AA367" i="3"/>
  <c r="AB367" i="3" a="1"/>
  <c r="AC367" i="3"/>
  <c r="AD367" i="3" a="1"/>
  <c r="AE367" i="3"/>
  <c r="AG367" i="3"/>
  <c r="AH367" i="3"/>
  <c r="AI367" i="3"/>
  <c r="AJ367" i="3"/>
  <c r="AK367" i="3"/>
  <c r="AL367" i="3"/>
  <c r="AM367" i="3"/>
  <c r="AN367" i="3"/>
  <c r="AO367" i="3"/>
  <c r="AP367" i="3"/>
  <c r="AQ367" i="3" a="1"/>
  <c r="AR367" i="3" a="1"/>
  <c r="AS367" i="3"/>
  <c r="AT367" i="3" a="1"/>
  <c r="AU367" i="3"/>
  <c r="AV367" i="3" a="1"/>
  <c r="AW367" i="3"/>
  <c r="AX367" i="3"/>
  <c r="AY367" i="3"/>
  <c r="AZ367" i="3"/>
  <c r="BA367" i="3"/>
  <c r="BB367" i="3"/>
  <c r="BC367" i="3"/>
  <c r="BD367" i="3"/>
  <c r="BE367" i="3" a="1"/>
  <c r="BF367" i="3"/>
  <c r="BG367" i="3"/>
  <c r="BH367" i="3" a="1"/>
  <c r="BI367" i="3"/>
  <c r="BJ367" i="3" a="1"/>
  <c r="BK367" i="3" a="1"/>
  <c r="BL367" i="3"/>
  <c r="BM367" i="3"/>
  <c r="B368" i="3"/>
  <c r="C368" i="3"/>
  <c r="D368" i="3"/>
  <c r="E368" i="3"/>
  <c r="F368" i="3"/>
  <c r="G368" i="3"/>
  <c r="H368" i="3"/>
  <c r="I368" i="3"/>
  <c r="J368" i="3"/>
  <c r="K368" i="3"/>
  <c r="L368" i="3"/>
  <c r="M368" i="3" a="1"/>
  <c r="N368" i="3"/>
  <c r="O368" i="3"/>
  <c r="P368" i="3"/>
  <c r="Q368" i="3" a="1"/>
  <c r="R368" i="3"/>
  <c r="S368" i="3"/>
  <c r="T368" i="3"/>
  <c r="U368" i="3"/>
  <c r="V368" i="3" a="1"/>
  <c r="W368" i="3" a="1"/>
  <c r="X368" i="3"/>
  <c r="Y368" i="3"/>
  <c r="Z368" i="3"/>
  <c r="AA368" i="3"/>
  <c r="AB368" i="3" a="1"/>
  <c r="AC368" i="3"/>
  <c r="AD368" i="3" a="1"/>
  <c r="AE368" i="3"/>
  <c r="AG368" i="3"/>
  <c r="AH368" i="3"/>
  <c r="AI368" i="3"/>
  <c r="AJ368" i="3"/>
  <c r="AK368" i="3"/>
  <c r="AL368" i="3"/>
  <c r="AM368" i="3"/>
  <c r="AN368" i="3"/>
  <c r="AO368" i="3"/>
  <c r="AP368" i="3"/>
  <c r="AQ368" i="3" a="1"/>
  <c r="AR368" i="3" a="1"/>
  <c r="AS368" i="3"/>
  <c r="AT368" i="3" a="1"/>
  <c r="AU368" i="3"/>
  <c r="AV368" i="3" a="1"/>
  <c r="AW368" i="3"/>
  <c r="AX368" i="3"/>
  <c r="AY368" i="3"/>
  <c r="AZ368" i="3"/>
  <c r="BA368" i="3"/>
  <c r="BB368" i="3"/>
  <c r="BC368" i="3"/>
  <c r="BD368" i="3"/>
  <c r="BE368" i="3" a="1"/>
  <c r="BF368" i="3"/>
  <c r="BG368" i="3"/>
  <c r="BH368" i="3" a="1"/>
  <c r="BI368" i="3"/>
  <c r="BJ368" i="3"/>
  <c r="BJ368" i="3" a="1"/>
  <c r="BK368" i="3" a="1"/>
  <c r="BL368" i="3"/>
  <c r="BM368" i="3"/>
  <c r="B369" i="3"/>
  <c r="C369" i="3"/>
  <c r="D369" i="3"/>
  <c r="E369" i="3"/>
  <c r="F369" i="3"/>
  <c r="G369" i="3"/>
  <c r="H369" i="3"/>
  <c r="I369" i="3"/>
  <c r="J369" i="3"/>
  <c r="K369" i="3"/>
  <c r="L369" i="3"/>
  <c r="M369" i="3" a="1"/>
  <c r="N369" i="3"/>
  <c r="O369" i="3"/>
  <c r="P369" i="3"/>
  <c r="Q369" i="3" a="1"/>
  <c r="R369" i="3"/>
  <c r="S369" i="3"/>
  <c r="T369" i="3"/>
  <c r="U369" i="3"/>
  <c r="V369" i="3" a="1"/>
  <c r="W369" i="3" a="1"/>
  <c r="X369" i="3"/>
  <c r="Y369" i="3"/>
  <c r="Z369" i="3"/>
  <c r="AA369" i="3"/>
  <c r="AB369" i="3" a="1"/>
  <c r="AC369" i="3"/>
  <c r="AD369" i="3" a="1"/>
  <c r="AE369" i="3"/>
  <c r="AG369" i="3"/>
  <c r="AH369" i="3"/>
  <c r="AI369" i="3"/>
  <c r="AJ369" i="3"/>
  <c r="AK369" i="3"/>
  <c r="AL369" i="3"/>
  <c r="AM369" i="3"/>
  <c r="AN369" i="3"/>
  <c r="AO369" i="3"/>
  <c r="AP369" i="3"/>
  <c r="AQ369" i="3" a="1"/>
  <c r="AR369" i="3" a="1"/>
  <c r="AS369" i="3"/>
  <c r="AT369" i="3" a="1"/>
  <c r="AU369" i="3"/>
  <c r="AV369" i="3" a="1"/>
  <c r="AW369" i="3"/>
  <c r="AX369" i="3"/>
  <c r="AY369" i="3"/>
  <c r="AZ369" i="3"/>
  <c r="BA369" i="3"/>
  <c r="BB369" i="3"/>
  <c r="BC369" i="3"/>
  <c r="BD369" i="3"/>
  <c r="BE369" i="3" a="1"/>
  <c r="BF369" i="3"/>
  <c r="BG369" i="3"/>
  <c r="BH369" i="3" a="1"/>
  <c r="BI369" i="3"/>
  <c r="BJ369" i="3" a="1"/>
  <c r="BK369" i="3" a="1"/>
  <c r="BL369" i="3"/>
  <c r="BM369" i="3"/>
  <c r="B370" i="3"/>
  <c r="C370" i="3"/>
  <c r="D370" i="3"/>
  <c r="E370" i="3"/>
  <c r="F370" i="3"/>
  <c r="G370" i="3"/>
  <c r="H370" i="3"/>
  <c r="I370" i="3"/>
  <c r="J370" i="3"/>
  <c r="K370" i="3"/>
  <c r="L370" i="3"/>
  <c r="M370" i="3" a="1"/>
  <c r="N370" i="3"/>
  <c r="O370" i="3"/>
  <c r="P370" i="3"/>
  <c r="Q370" i="3" a="1"/>
  <c r="R370" i="3"/>
  <c r="S370" i="3"/>
  <c r="T370" i="3"/>
  <c r="U370" i="3"/>
  <c r="V370" i="3" a="1"/>
  <c r="W370" i="3" a="1"/>
  <c r="X370" i="3"/>
  <c r="Y370" i="3"/>
  <c r="Z370" i="3"/>
  <c r="AA370" i="3"/>
  <c r="AB370" i="3" a="1"/>
  <c r="AC370" i="3"/>
  <c r="AD370" i="3" a="1"/>
  <c r="AE370" i="3"/>
  <c r="AG370" i="3"/>
  <c r="AH370" i="3"/>
  <c r="AI370" i="3"/>
  <c r="AJ370" i="3"/>
  <c r="AK370" i="3"/>
  <c r="AL370" i="3"/>
  <c r="AM370" i="3"/>
  <c r="AN370" i="3"/>
  <c r="AO370" i="3"/>
  <c r="AP370" i="3"/>
  <c r="AQ370" i="3" a="1"/>
  <c r="AR370" i="3" a="1"/>
  <c r="AS370" i="3"/>
  <c r="AT370" i="3" a="1"/>
  <c r="AU370" i="3"/>
  <c r="AV370" i="3" a="1"/>
  <c r="AW370" i="3"/>
  <c r="AX370" i="3"/>
  <c r="AY370" i="3"/>
  <c r="AZ370" i="3"/>
  <c r="BA370" i="3"/>
  <c r="BB370" i="3"/>
  <c r="BC370" i="3"/>
  <c r="BD370" i="3"/>
  <c r="BE370" i="3" a="1"/>
  <c r="BF370" i="3"/>
  <c r="BG370" i="3"/>
  <c r="BH370" i="3" a="1"/>
  <c r="BI370" i="3"/>
  <c r="BJ370" i="3" a="1"/>
  <c r="BK370" i="3" a="1"/>
  <c r="BL370" i="3"/>
  <c r="BM370" i="3"/>
  <c r="B371" i="3"/>
  <c r="C371" i="3"/>
  <c r="D371" i="3"/>
  <c r="E371" i="3"/>
  <c r="F371" i="3"/>
  <c r="G371" i="3"/>
  <c r="H371" i="3"/>
  <c r="I371" i="3"/>
  <c r="J371" i="3"/>
  <c r="K371" i="3"/>
  <c r="L371" i="3"/>
  <c r="M371" i="3" a="1"/>
  <c r="N371" i="3"/>
  <c r="O371" i="3"/>
  <c r="P371" i="3"/>
  <c r="Q371" i="3" a="1"/>
  <c r="R371" i="3"/>
  <c r="S371" i="3"/>
  <c r="T371" i="3"/>
  <c r="U371" i="3"/>
  <c r="V371" i="3" a="1"/>
  <c r="W371" i="3" a="1"/>
  <c r="X371" i="3"/>
  <c r="Y371" i="3"/>
  <c r="Z371" i="3"/>
  <c r="AA371" i="3"/>
  <c r="AB371" i="3" a="1"/>
  <c r="AC371" i="3"/>
  <c r="AD371" i="3" a="1"/>
  <c r="AE371" i="3"/>
  <c r="AG371" i="3"/>
  <c r="AH371" i="3"/>
  <c r="AI371" i="3"/>
  <c r="AJ371" i="3"/>
  <c r="AK371" i="3"/>
  <c r="AL371" i="3"/>
  <c r="AM371" i="3"/>
  <c r="AN371" i="3"/>
  <c r="AO371" i="3"/>
  <c r="AP371" i="3"/>
  <c r="AQ371" i="3" a="1"/>
  <c r="AR371" i="3" a="1"/>
  <c r="AS371" i="3"/>
  <c r="AT371" i="3" a="1"/>
  <c r="AU371" i="3"/>
  <c r="AV371" i="3" a="1"/>
  <c r="AW371" i="3"/>
  <c r="AX371" i="3"/>
  <c r="AY371" i="3"/>
  <c r="AZ371" i="3"/>
  <c r="BA371" i="3"/>
  <c r="BB371" i="3"/>
  <c r="BC371" i="3"/>
  <c r="BD371" i="3"/>
  <c r="BE371" i="3" a="1"/>
  <c r="BF371" i="3"/>
  <c r="BG371" i="3"/>
  <c r="BH371" i="3" a="1"/>
  <c r="BI371" i="3"/>
  <c r="BJ371" i="3" a="1"/>
  <c r="BK371" i="3" a="1"/>
  <c r="BL371" i="3"/>
  <c r="BM371" i="3"/>
  <c r="B372" i="3"/>
  <c r="C372" i="3"/>
  <c r="D372" i="3"/>
  <c r="E372" i="3"/>
  <c r="F372" i="3"/>
  <c r="G372" i="3"/>
  <c r="H372" i="3"/>
  <c r="I372" i="3"/>
  <c r="J372" i="3"/>
  <c r="K372" i="3"/>
  <c r="L372" i="3"/>
  <c r="M372" i="3" a="1"/>
  <c r="N372" i="3"/>
  <c r="O372" i="3"/>
  <c r="P372" i="3"/>
  <c r="Q372" i="3" a="1"/>
  <c r="R372" i="3"/>
  <c r="S372" i="3"/>
  <c r="T372" i="3"/>
  <c r="U372" i="3"/>
  <c r="V372" i="3" a="1"/>
  <c r="W372" i="3" a="1"/>
  <c r="X372" i="3"/>
  <c r="Y372" i="3"/>
  <c r="Z372" i="3"/>
  <c r="AA372" i="3"/>
  <c r="AB372" i="3" a="1"/>
  <c r="AC372" i="3"/>
  <c r="AD372" i="3" a="1"/>
  <c r="AE372" i="3"/>
  <c r="AG372" i="3"/>
  <c r="AH372" i="3"/>
  <c r="AI372" i="3"/>
  <c r="AJ372" i="3"/>
  <c r="AK372" i="3"/>
  <c r="AL372" i="3"/>
  <c r="AM372" i="3"/>
  <c r="AN372" i="3"/>
  <c r="AO372" i="3"/>
  <c r="AP372" i="3"/>
  <c r="AQ372" i="3" a="1"/>
  <c r="AR372" i="3" a="1"/>
  <c r="AS372" i="3"/>
  <c r="AT372" i="3" a="1"/>
  <c r="AU372" i="3"/>
  <c r="AV372" i="3" a="1"/>
  <c r="AW372" i="3"/>
  <c r="AX372" i="3"/>
  <c r="AY372" i="3"/>
  <c r="AZ372" i="3"/>
  <c r="BA372" i="3"/>
  <c r="BB372" i="3"/>
  <c r="BC372" i="3"/>
  <c r="BD372" i="3"/>
  <c r="BE372" i="3" a="1"/>
  <c r="BF372" i="3"/>
  <c r="BG372" i="3"/>
  <c r="BH372" i="3" a="1"/>
  <c r="BI372" i="3"/>
  <c r="BJ372" i="3" a="1"/>
  <c r="BK372" i="3" a="1"/>
  <c r="BL372" i="3"/>
  <c r="BM372" i="3"/>
  <c r="B373" i="3"/>
  <c r="C373" i="3"/>
  <c r="D373" i="3"/>
  <c r="E373" i="3"/>
  <c r="F373" i="3"/>
  <c r="G373" i="3"/>
  <c r="H373" i="3"/>
  <c r="I373" i="3"/>
  <c r="J373" i="3"/>
  <c r="K373" i="3"/>
  <c r="L373" i="3"/>
  <c r="M373" i="3" a="1"/>
  <c r="N373" i="3"/>
  <c r="O373" i="3"/>
  <c r="P373" i="3"/>
  <c r="Q373" i="3" a="1"/>
  <c r="R373" i="3"/>
  <c r="S373" i="3"/>
  <c r="T373" i="3"/>
  <c r="U373" i="3"/>
  <c r="V373" i="3" a="1"/>
  <c r="W373" i="3" a="1"/>
  <c r="X373" i="3"/>
  <c r="Y373" i="3"/>
  <c r="Z373" i="3"/>
  <c r="AA373" i="3"/>
  <c r="AB373" i="3" a="1"/>
  <c r="AC373" i="3"/>
  <c r="AD373" i="3" a="1"/>
  <c r="AE373" i="3"/>
  <c r="AG373" i="3"/>
  <c r="AH373" i="3"/>
  <c r="AI373" i="3"/>
  <c r="AJ373" i="3"/>
  <c r="AK373" i="3"/>
  <c r="AL373" i="3"/>
  <c r="AM373" i="3"/>
  <c r="AN373" i="3"/>
  <c r="AO373" i="3"/>
  <c r="AP373" i="3"/>
  <c r="AQ373" i="3" a="1"/>
  <c r="AR373" i="3" a="1"/>
  <c r="AS373" i="3"/>
  <c r="AT373" i="3" a="1"/>
  <c r="AU373" i="3"/>
  <c r="AV373" i="3" a="1"/>
  <c r="AW373" i="3"/>
  <c r="AX373" i="3"/>
  <c r="AY373" i="3"/>
  <c r="AZ373" i="3"/>
  <c r="BA373" i="3"/>
  <c r="BB373" i="3"/>
  <c r="BC373" i="3"/>
  <c r="BD373" i="3"/>
  <c r="BE373" i="3" a="1"/>
  <c r="BF373" i="3"/>
  <c r="BG373" i="3"/>
  <c r="BH373" i="3" a="1"/>
  <c r="BI373" i="3"/>
  <c r="BJ373" i="3" a="1"/>
  <c r="BK373" i="3" a="1"/>
  <c r="BL373" i="3"/>
  <c r="BM373" i="3"/>
  <c r="B374" i="3"/>
  <c r="C374" i="3"/>
  <c r="D374" i="3"/>
  <c r="E374" i="3"/>
  <c r="F374" i="3"/>
  <c r="G374" i="3"/>
  <c r="H374" i="3"/>
  <c r="I374" i="3"/>
  <c r="J374" i="3"/>
  <c r="K374" i="3"/>
  <c r="L374" i="3"/>
  <c r="M374" i="3" a="1"/>
  <c r="N374" i="3"/>
  <c r="O374" i="3"/>
  <c r="P374" i="3"/>
  <c r="Q374" i="3" a="1"/>
  <c r="R374" i="3"/>
  <c r="S374" i="3"/>
  <c r="T374" i="3"/>
  <c r="U374" i="3"/>
  <c r="V374" i="3" a="1"/>
  <c r="W374" i="3" a="1"/>
  <c r="X374" i="3"/>
  <c r="Y374" i="3"/>
  <c r="Z374" i="3"/>
  <c r="AA374" i="3"/>
  <c r="AB374" i="3" a="1"/>
  <c r="AC374" i="3"/>
  <c r="AD374" i="3" a="1"/>
  <c r="AE374" i="3"/>
  <c r="AG374" i="3"/>
  <c r="AH374" i="3"/>
  <c r="AI374" i="3"/>
  <c r="AJ374" i="3"/>
  <c r="AK374" i="3"/>
  <c r="AL374" i="3"/>
  <c r="AM374" i="3"/>
  <c r="AN374" i="3"/>
  <c r="AO374" i="3"/>
  <c r="AP374" i="3"/>
  <c r="AQ374" i="3" a="1"/>
  <c r="AR374" i="3" a="1"/>
  <c r="AS374" i="3"/>
  <c r="AT374" i="3" a="1"/>
  <c r="AU374" i="3"/>
  <c r="AV374" i="3" a="1"/>
  <c r="AW374" i="3"/>
  <c r="AX374" i="3"/>
  <c r="AY374" i="3"/>
  <c r="AZ374" i="3"/>
  <c r="BA374" i="3"/>
  <c r="BB374" i="3"/>
  <c r="BC374" i="3"/>
  <c r="BD374" i="3"/>
  <c r="BE374" i="3" a="1"/>
  <c r="BF374" i="3"/>
  <c r="BG374" i="3"/>
  <c r="BH374" i="3" a="1"/>
  <c r="BI374" i="3"/>
  <c r="BJ374" i="3" a="1"/>
  <c r="BK374" i="3" a="1"/>
  <c r="BL374" i="3"/>
  <c r="BM374" i="3"/>
  <c r="B375" i="3"/>
  <c r="C375" i="3"/>
  <c r="D375" i="3"/>
  <c r="E375" i="3"/>
  <c r="F375" i="3"/>
  <c r="G375" i="3"/>
  <c r="H375" i="3"/>
  <c r="I375" i="3"/>
  <c r="J375" i="3"/>
  <c r="K375" i="3"/>
  <c r="L375" i="3"/>
  <c r="M375" i="3" a="1"/>
  <c r="N375" i="3"/>
  <c r="O375" i="3"/>
  <c r="P375" i="3"/>
  <c r="Q375" i="3" a="1"/>
  <c r="R375" i="3"/>
  <c r="S375" i="3"/>
  <c r="T375" i="3"/>
  <c r="U375" i="3"/>
  <c r="V375" i="3" a="1"/>
  <c r="W375" i="3" a="1"/>
  <c r="X375" i="3"/>
  <c r="Y375" i="3"/>
  <c r="Z375" i="3"/>
  <c r="AA375" i="3"/>
  <c r="AB375" i="3" a="1"/>
  <c r="AC375" i="3"/>
  <c r="AD375" i="3" a="1"/>
  <c r="AE375" i="3"/>
  <c r="AG375" i="3"/>
  <c r="AH375" i="3"/>
  <c r="AI375" i="3"/>
  <c r="AJ375" i="3"/>
  <c r="AK375" i="3"/>
  <c r="AL375" i="3"/>
  <c r="AM375" i="3"/>
  <c r="AN375" i="3"/>
  <c r="AO375" i="3"/>
  <c r="AP375" i="3"/>
  <c r="AQ375" i="3" a="1"/>
  <c r="AR375" i="3" a="1"/>
  <c r="AS375" i="3"/>
  <c r="AT375" i="3" a="1"/>
  <c r="AU375" i="3"/>
  <c r="AV375" i="3" a="1"/>
  <c r="AW375" i="3"/>
  <c r="AX375" i="3"/>
  <c r="AY375" i="3"/>
  <c r="AZ375" i="3"/>
  <c r="BA375" i="3"/>
  <c r="BB375" i="3"/>
  <c r="BC375" i="3"/>
  <c r="BD375" i="3"/>
  <c r="BE375" i="3" a="1"/>
  <c r="BF375" i="3"/>
  <c r="BG375" i="3"/>
  <c r="BH375" i="3" a="1"/>
  <c r="BI375" i="3"/>
  <c r="BJ375" i="3" a="1"/>
  <c r="BK375" i="3" a="1"/>
  <c r="BL375" i="3"/>
  <c r="BM375" i="3"/>
  <c r="B376" i="3"/>
  <c r="C376" i="3"/>
  <c r="D376" i="3"/>
  <c r="E376" i="3"/>
  <c r="F376" i="3"/>
  <c r="G376" i="3"/>
  <c r="H376" i="3"/>
  <c r="I376" i="3"/>
  <c r="J376" i="3"/>
  <c r="K376" i="3"/>
  <c r="L376" i="3"/>
  <c r="M376" i="3" a="1"/>
  <c r="N376" i="3"/>
  <c r="O376" i="3"/>
  <c r="P376" i="3"/>
  <c r="Q376" i="3" a="1"/>
  <c r="R376" i="3"/>
  <c r="S376" i="3"/>
  <c r="T376" i="3"/>
  <c r="U376" i="3"/>
  <c r="V376" i="3" a="1"/>
  <c r="W376" i="3" a="1"/>
  <c r="X376" i="3"/>
  <c r="Y376" i="3"/>
  <c r="Z376" i="3"/>
  <c r="AA376" i="3"/>
  <c r="AB376" i="3" a="1"/>
  <c r="AC376" i="3"/>
  <c r="AD376" i="3" a="1"/>
  <c r="AE376" i="3"/>
  <c r="AG376" i="3"/>
  <c r="AH376" i="3"/>
  <c r="AI376" i="3"/>
  <c r="AJ376" i="3"/>
  <c r="AK376" i="3"/>
  <c r="AL376" i="3"/>
  <c r="AM376" i="3"/>
  <c r="AN376" i="3"/>
  <c r="AO376" i="3"/>
  <c r="AP376" i="3"/>
  <c r="AQ376" i="3" a="1"/>
  <c r="AR376" i="3" a="1"/>
  <c r="AS376" i="3"/>
  <c r="AT376" i="3" a="1"/>
  <c r="AU376" i="3"/>
  <c r="AV376" i="3" a="1"/>
  <c r="AW376" i="3"/>
  <c r="AX376" i="3"/>
  <c r="AY376" i="3"/>
  <c r="AZ376" i="3"/>
  <c r="BA376" i="3"/>
  <c r="BB376" i="3"/>
  <c r="BC376" i="3"/>
  <c r="BD376" i="3"/>
  <c r="BE376" i="3" a="1"/>
  <c r="BF376" i="3"/>
  <c r="BG376" i="3"/>
  <c r="BH376" i="3" a="1"/>
  <c r="BI376" i="3"/>
  <c r="BJ376" i="3" a="1"/>
  <c r="BK376" i="3" a="1"/>
  <c r="BL376" i="3"/>
  <c r="BM376" i="3"/>
  <c r="B377" i="3"/>
  <c r="C377" i="3"/>
  <c r="D377" i="3"/>
  <c r="E377" i="3"/>
  <c r="F377" i="3"/>
  <c r="G377" i="3"/>
  <c r="H377" i="3"/>
  <c r="I377" i="3"/>
  <c r="J377" i="3"/>
  <c r="K377" i="3"/>
  <c r="L377" i="3"/>
  <c r="M377" i="3" a="1"/>
  <c r="N377" i="3"/>
  <c r="O377" i="3"/>
  <c r="P377" i="3"/>
  <c r="Q377" i="3" a="1"/>
  <c r="R377" i="3"/>
  <c r="S377" i="3"/>
  <c r="T377" i="3"/>
  <c r="U377" i="3"/>
  <c r="V377" i="3" a="1"/>
  <c r="W377" i="3" a="1"/>
  <c r="X377" i="3"/>
  <c r="Y377" i="3"/>
  <c r="Z377" i="3"/>
  <c r="AA377" i="3"/>
  <c r="AB377" i="3" a="1"/>
  <c r="AC377" i="3"/>
  <c r="AD377" i="3" a="1"/>
  <c r="AE377" i="3"/>
  <c r="AG377" i="3"/>
  <c r="AH377" i="3"/>
  <c r="AI377" i="3"/>
  <c r="AJ377" i="3"/>
  <c r="AK377" i="3"/>
  <c r="AL377" i="3"/>
  <c r="AM377" i="3"/>
  <c r="AN377" i="3"/>
  <c r="AO377" i="3"/>
  <c r="AP377" i="3"/>
  <c r="AQ377" i="3" a="1"/>
  <c r="AR377" i="3" a="1"/>
  <c r="AS377" i="3"/>
  <c r="AT377" i="3" a="1"/>
  <c r="AU377" i="3"/>
  <c r="AV377" i="3" a="1"/>
  <c r="AW377" i="3"/>
  <c r="AX377" i="3"/>
  <c r="AY377" i="3"/>
  <c r="AZ377" i="3"/>
  <c r="BA377" i="3"/>
  <c r="BB377" i="3"/>
  <c r="BC377" i="3"/>
  <c r="BD377" i="3"/>
  <c r="BE377" i="3" a="1"/>
  <c r="BF377" i="3"/>
  <c r="BG377" i="3"/>
  <c r="BH377" i="3" a="1"/>
  <c r="BI377" i="3"/>
  <c r="BJ377" i="3" a="1"/>
  <c r="BK377" i="3" a="1"/>
  <c r="BL377" i="3"/>
  <c r="BM377" i="3"/>
  <c r="B378" i="3"/>
  <c r="C378" i="3"/>
  <c r="D378" i="3"/>
  <c r="E378" i="3"/>
  <c r="F378" i="3"/>
  <c r="G378" i="3"/>
  <c r="H378" i="3"/>
  <c r="I378" i="3"/>
  <c r="J378" i="3"/>
  <c r="K378" i="3"/>
  <c r="L378" i="3"/>
  <c r="M378" i="3" a="1"/>
  <c r="N378" i="3"/>
  <c r="O378" i="3"/>
  <c r="P378" i="3"/>
  <c r="Q378" i="3" a="1"/>
  <c r="R378" i="3"/>
  <c r="S378" i="3"/>
  <c r="T378" i="3"/>
  <c r="U378" i="3"/>
  <c r="V378" i="3" a="1"/>
  <c r="W378" i="3" a="1"/>
  <c r="X378" i="3"/>
  <c r="Y378" i="3"/>
  <c r="Z378" i="3"/>
  <c r="AA378" i="3"/>
  <c r="AB378" i="3" a="1"/>
  <c r="AC378" i="3"/>
  <c r="AD378" i="3" a="1"/>
  <c r="AE378" i="3"/>
  <c r="AG378" i="3"/>
  <c r="AH378" i="3"/>
  <c r="AI378" i="3"/>
  <c r="AJ378" i="3"/>
  <c r="AK378" i="3"/>
  <c r="AL378" i="3"/>
  <c r="AM378" i="3"/>
  <c r="AN378" i="3"/>
  <c r="AO378" i="3"/>
  <c r="AP378" i="3"/>
  <c r="AQ378" i="3" a="1"/>
  <c r="AR378" i="3" a="1"/>
  <c r="AS378" i="3"/>
  <c r="AT378" i="3" a="1"/>
  <c r="AU378" i="3"/>
  <c r="AV378" i="3" a="1"/>
  <c r="AW378" i="3"/>
  <c r="AX378" i="3"/>
  <c r="AY378" i="3"/>
  <c r="AZ378" i="3"/>
  <c r="BA378" i="3"/>
  <c r="BB378" i="3"/>
  <c r="BC378" i="3"/>
  <c r="BD378" i="3"/>
  <c r="BE378" i="3" a="1"/>
  <c r="BF378" i="3"/>
  <c r="BG378" i="3"/>
  <c r="BH378" i="3" a="1"/>
  <c r="BI378" i="3"/>
  <c r="BJ378" i="3" a="1"/>
  <c r="BK378" i="3" a="1"/>
  <c r="BL378" i="3"/>
  <c r="BM378" i="3"/>
  <c r="B379" i="3"/>
  <c r="C379" i="3"/>
  <c r="D379" i="3"/>
  <c r="E379" i="3"/>
  <c r="F379" i="3"/>
  <c r="G379" i="3"/>
  <c r="H379" i="3"/>
  <c r="I379" i="3"/>
  <c r="J379" i="3"/>
  <c r="K379" i="3"/>
  <c r="L379" i="3"/>
  <c r="M379" i="3" a="1"/>
  <c r="N379" i="3"/>
  <c r="O379" i="3"/>
  <c r="P379" i="3"/>
  <c r="Q379" i="3" a="1"/>
  <c r="R379" i="3"/>
  <c r="S379" i="3"/>
  <c r="T379" i="3"/>
  <c r="U379" i="3"/>
  <c r="V379" i="3" a="1"/>
  <c r="W379" i="3" a="1"/>
  <c r="X379" i="3"/>
  <c r="Y379" i="3"/>
  <c r="Z379" i="3"/>
  <c r="AA379" i="3"/>
  <c r="AB379" i="3" a="1"/>
  <c r="AC379" i="3"/>
  <c r="AD379" i="3" a="1"/>
  <c r="AE379" i="3"/>
  <c r="AG379" i="3"/>
  <c r="AH379" i="3"/>
  <c r="AI379" i="3"/>
  <c r="AJ379" i="3"/>
  <c r="AK379" i="3"/>
  <c r="AL379" i="3"/>
  <c r="AM379" i="3"/>
  <c r="AN379" i="3"/>
  <c r="AO379" i="3"/>
  <c r="AP379" i="3"/>
  <c r="AQ379" i="3" a="1"/>
  <c r="AR379" i="3" a="1"/>
  <c r="AS379" i="3"/>
  <c r="AT379" i="3" a="1"/>
  <c r="AU379" i="3"/>
  <c r="AV379" i="3" a="1"/>
  <c r="AW379" i="3"/>
  <c r="AX379" i="3"/>
  <c r="AY379" i="3"/>
  <c r="AZ379" i="3"/>
  <c r="BA379" i="3"/>
  <c r="BB379" i="3"/>
  <c r="BC379" i="3"/>
  <c r="BD379" i="3"/>
  <c r="BE379" i="3" a="1"/>
  <c r="BF379" i="3"/>
  <c r="BG379" i="3"/>
  <c r="BH379" i="3" a="1"/>
  <c r="BI379" i="3"/>
  <c r="BJ379" i="3" a="1"/>
  <c r="BK379" i="3" a="1"/>
  <c r="BL379" i="3"/>
  <c r="BM379" i="3"/>
  <c r="B380" i="3"/>
  <c r="C380" i="3"/>
  <c r="D380" i="3"/>
  <c r="E380" i="3"/>
  <c r="F380" i="3"/>
  <c r="G380" i="3"/>
  <c r="H380" i="3"/>
  <c r="I380" i="3"/>
  <c r="J380" i="3"/>
  <c r="K380" i="3"/>
  <c r="L380" i="3"/>
  <c r="M380" i="3" a="1"/>
  <c r="N380" i="3"/>
  <c r="O380" i="3"/>
  <c r="P380" i="3"/>
  <c r="Q380" i="3" a="1"/>
  <c r="R380" i="3"/>
  <c r="S380" i="3"/>
  <c r="T380" i="3"/>
  <c r="U380" i="3"/>
  <c r="V380" i="3" a="1"/>
  <c r="W380" i="3" a="1"/>
  <c r="X380" i="3"/>
  <c r="Y380" i="3"/>
  <c r="Z380" i="3"/>
  <c r="AA380" i="3"/>
  <c r="AB380" i="3" a="1"/>
  <c r="AC380" i="3"/>
  <c r="AD380" i="3" a="1"/>
  <c r="AE380" i="3"/>
  <c r="AG380" i="3"/>
  <c r="AH380" i="3"/>
  <c r="AI380" i="3"/>
  <c r="AJ380" i="3"/>
  <c r="AK380" i="3"/>
  <c r="AL380" i="3"/>
  <c r="AM380" i="3"/>
  <c r="AN380" i="3"/>
  <c r="AO380" i="3"/>
  <c r="AP380" i="3"/>
  <c r="AQ380" i="3" a="1"/>
  <c r="AR380" i="3" a="1"/>
  <c r="AS380" i="3"/>
  <c r="AT380" i="3" a="1"/>
  <c r="AU380" i="3"/>
  <c r="AV380" i="3" a="1"/>
  <c r="AW380" i="3"/>
  <c r="AX380" i="3"/>
  <c r="AY380" i="3"/>
  <c r="AZ380" i="3"/>
  <c r="BA380" i="3"/>
  <c r="BB380" i="3"/>
  <c r="BC380" i="3"/>
  <c r="BD380" i="3"/>
  <c r="BE380" i="3" a="1"/>
  <c r="BF380" i="3"/>
  <c r="BG380" i="3"/>
  <c r="BH380" i="3" a="1"/>
  <c r="BI380" i="3"/>
  <c r="BJ380" i="3" a="1"/>
  <c r="BK380" i="3" a="1"/>
  <c r="BL380" i="3"/>
  <c r="BM380" i="3"/>
  <c r="B381" i="3"/>
  <c r="C381" i="3"/>
  <c r="D381" i="3"/>
  <c r="E381" i="3"/>
  <c r="F381" i="3"/>
  <c r="G381" i="3"/>
  <c r="H381" i="3"/>
  <c r="I381" i="3"/>
  <c r="J381" i="3"/>
  <c r="K381" i="3"/>
  <c r="L381" i="3"/>
  <c r="M381" i="3" a="1"/>
  <c r="N381" i="3"/>
  <c r="O381" i="3"/>
  <c r="P381" i="3"/>
  <c r="Q381" i="3" a="1"/>
  <c r="R381" i="3"/>
  <c r="S381" i="3"/>
  <c r="T381" i="3"/>
  <c r="U381" i="3"/>
  <c r="V381" i="3" a="1"/>
  <c r="W381" i="3" a="1"/>
  <c r="X381" i="3"/>
  <c r="Y381" i="3"/>
  <c r="Z381" i="3"/>
  <c r="AA381" i="3"/>
  <c r="AB381" i="3" a="1"/>
  <c r="AC381" i="3"/>
  <c r="AD381" i="3" a="1"/>
  <c r="AE381" i="3"/>
  <c r="AG381" i="3"/>
  <c r="AH381" i="3"/>
  <c r="AI381" i="3"/>
  <c r="AJ381" i="3"/>
  <c r="AK381" i="3"/>
  <c r="AL381" i="3"/>
  <c r="AM381" i="3"/>
  <c r="AN381" i="3"/>
  <c r="AO381" i="3"/>
  <c r="AP381" i="3"/>
  <c r="AQ381" i="3" a="1"/>
  <c r="AR381" i="3" a="1"/>
  <c r="AS381" i="3"/>
  <c r="AT381" i="3" a="1"/>
  <c r="AU381" i="3"/>
  <c r="AV381" i="3" a="1"/>
  <c r="AW381" i="3"/>
  <c r="AX381" i="3"/>
  <c r="AY381" i="3"/>
  <c r="AZ381" i="3"/>
  <c r="BA381" i="3"/>
  <c r="BB381" i="3"/>
  <c r="BC381" i="3"/>
  <c r="BD381" i="3"/>
  <c r="BE381" i="3" a="1"/>
  <c r="BF381" i="3"/>
  <c r="BG381" i="3"/>
  <c r="BH381" i="3" a="1"/>
  <c r="BI381" i="3"/>
  <c r="BJ381" i="3" a="1"/>
  <c r="BK381" i="3" a="1"/>
  <c r="BL381" i="3"/>
  <c r="BM381" i="3"/>
  <c r="B382" i="3"/>
  <c r="C382" i="3"/>
  <c r="D382" i="3"/>
  <c r="E382" i="3"/>
  <c r="F382" i="3"/>
  <c r="G382" i="3"/>
  <c r="H382" i="3"/>
  <c r="I382" i="3"/>
  <c r="J382" i="3"/>
  <c r="K382" i="3"/>
  <c r="L382" i="3"/>
  <c r="M382" i="3" a="1"/>
  <c r="N382" i="3"/>
  <c r="O382" i="3"/>
  <c r="P382" i="3"/>
  <c r="Q382" i="3" a="1"/>
  <c r="R382" i="3"/>
  <c r="S382" i="3"/>
  <c r="T382" i="3"/>
  <c r="U382" i="3"/>
  <c r="V382" i="3" a="1"/>
  <c r="W382" i="3" a="1"/>
  <c r="X382" i="3"/>
  <c r="Y382" i="3"/>
  <c r="Z382" i="3"/>
  <c r="AA382" i="3"/>
  <c r="AB382" i="3" a="1"/>
  <c r="AC382" i="3"/>
  <c r="AD382" i="3" a="1"/>
  <c r="AE382" i="3"/>
  <c r="AG382" i="3"/>
  <c r="AH382" i="3"/>
  <c r="AI382" i="3"/>
  <c r="AJ382" i="3"/>
  <c r="AK382" i="3"/>
  <c r="AL382" i="3"/>
  <c r="AM382" i="3"/>
  <c r="AN382" i="3"/>
  <c r="AO382" i="3"/>
  <c r="AP382" i="3"/>
  <c r="AQ382" i="3" a="1"/>
  <c r="AR382" i="3" a="1"/>
  <c r="AS382" i="3"/>
  <c r="AT382" i="3" a="1"/>
  <c r="AU382" i="3"/>
  <c r="AV382" i="3" a="1"/>
  <c r="AW382" i="3"/>
  <c r="AX382" i="3"/>
  <c r="AY382" i="3"/>
  <c r="AZ382" i="3"/>
  <c r="BA382" i="3"/>
  <c r="BB382" i="3"/>
  <c r="BC382" i="3"/>
  <c r="BD382" i="3"/>
  <c r="BE382" i="3" a="1"/>
  <c r="BF382" i="3"/>
  <c r="BG382" i="3"/>
  <c r="BH382" i="3" a="1"/>
  <c r="BI382" i="3"/>
  <c r="BJ382" i="3" a="1"/>
  <c r="BK382" i="3" a="1"/>
  <c r="BL382" i="3"/>
  <c r="BM382" i="3"/>
  <c r="B383" i="3"/>
  <c r="C383" i="3"/>
  <c r="D383" i="3"/>
  <c r="E383" i="3"/>
  <c r="F383" i="3"/>
  <c r="G383" i="3"/>
  <c r="H383" i="3"/>
  <c r="I383" i="3"/>
  <c r="J383" i="3"/>
  <c r="K383" i="3"/>
  <c r="L383" i="3"/>
  <c r="M383" i="3" a="1"/>
  <c r="N383" i="3"/>
  <c r="O383" i="3"/>
  <c r="P383" i="3"/>
  <c r="Q383" i="3" a="1"/>
  <c r="R383" i="3"/>
  <c r="S383" i="3"/>
  <c r="T383" i="3"/>
  <c r="U383" i="3"/>
  <c r="V383" i="3" a="1"/>
  <c r="W383" i="3" a="1"/>
  <c r="X383" i="3"/>
  <c r="Y383" i="3"/>
  <c r="Z383" i="3"/>
  <c r="AA383" i="3"/>
  <c r="AB383" i="3" a="1"/>
  <c r="AC383" i="3"/>
  <c r="AD383" i="3" a="1"/>
  <c r="AE383" i="3"/>
  <c r="AG383" i="3"/>
  <c r="AH383" i="3"/>
  <c r="AI383" i="3"/>
  <c r="AJ383" i="3"/>
  <c r="AK383" i="3"/>
  <c r="AL383" i="3"/>
  <c r="AM383" i="3"/>
  <c r="AN383" i="3"/>
  <c r="AO383" i="3"/>
  <c r="AP383" i="3"/>
  <c r="AQ383" i="3" a="1"/>
  <c r="AR383" i="3" a="1"/>
  <c r="AS383" i="3"/>
  <c r="AT383" i="3" a="1"/>
  <c r="AU383" i="3"/>
  <c r="AV383" i="3" a="1"/>
  <c r="AW383" i="3"/>
  <c r="AX383" i="3"/>
  <c r="AY383" i="3"/>
  <c r="AZ383" i="3"/>
  <c r="BA383" i="3"/>
  <c r="BB383" i="3"/>
  <c r="BC383" i="3"/>
  <c r="BD383" i="3"/>
  <c r="BE383" i="3" a="1"/>
  <c r="BF383" i="3"/>
  <c r="BG383" i="3"/>
  <c r="BH383" i="3" a="1"/>
  <c r="BI383" i="3"/>
  <c r="BJ383" i="3" a="1"/>
  <c r="BK383" i="3" a="1"/>
  <c r="BL383" i="3"/>
  <c r="BM383" i="3"/>
  <c r="B384" i="3"/>
  <c r="C384" i="3"/>
  <c r="D384" i="3"/>
  <c r="E384" i="3"/>
  <c r="F384" i="3"/>
  <c r="G384" i="3"/>
  <c r="H384" i="3"/>
  <c r="I384" i="3"/>
  <c r="J384" i="3"/>
  <c r="K384" i="3"/>
  <c r="L384" i="3"/>
  <c r="M384" i="3" a="1"/>
  <c r="N384" i="3"/>
  <c r="O384" i="3"/>
  <c r="P384" i="3"/>
  <c r="Q384" i="3" a="1"/>
  <c r="R384" i="3"/>
  <c r="S384" i="3"/>
  <c r="T384" i="3"/>
  <c r="U384" i="3"/>
  <c r="V384" i="3" a="1"/>
  <c r="W384" i="3" a="1"/>
  <c r="X384" i="3"/>
  <c r="Y384" i="3"/>
  <c r="Z384" i="3"/>
  <c r="AA384" i="3"/>
  <c r="AB384" i="3" a="1"/>
  <c r="AC384" i="3"/>
  <c r="AD384" i="3" a="1"/>
  <c r="AE384" i="3"/>
  <c r="AG384" i="3"/>
  <c r="AH384" i="3"/>
  <c r="AI384" i="3"/>
  <c r="AJ384" i="3"/>
  <c r="AK384" i="3"/>
  <c r="AL384" i="3"/>
  <c r="AM384" i="3"/>
  <c r="AN384" i="3"/>
  <c r="AO384" i="3"/>
  <c r="AP384" i="3"/>
  <c r="AQ384" i="3" a="1"/>
  <c r="AR384" i="3" a="1"/>
  <c r="AS384" i="3"/>
  <c r="AT384" i="3" a="1"/>
  <c r="AU384" i="3"/>
  <c r="AV384" i="3" a="1"/>
  <c r="AW384" i="3"/>
  <c r="AX384" i="3"/>
  <c r="AY384" i="3"/>
  <c r="AZ384" i="3"/>
  <c r="BA384" i="3"/>
  <c r="BB384" i="3"/>
  <c r="BC384" i="3"/>
  <c r="BD384" i="3"/>
  <c r="BE384" i="3" a="1"/>
  <c r="BF384" i="3"/>
  <c r="BG384" i="3"/>
  <c r="BH384" i="3" a="1"/>
  <c r="BI384" i="3"/>
  <c r="BJ384" i="3" a="1"/>
  <c r="BK384" i="3" a="1"/>
  <c r="BL384" i="3"/>
  <c r="BM384" i="3"/>
  <c r="B385" i="3"/>
  <c r="C385" i="3"/>
  <c r="D385" i="3"/>
  <c r="E385" i="3"/>
  <c r="F385" i="3"/>
  <c r="G385" i="3"/>
  <c r="H385" i="3"/>
  <c r="I385" i="3"/>
  <c r="J385" i="3"/>
  <c r="K385" i="3"/>
  <c r="L385" i="3"/>
  <c r="M385" i="3" a="1"/>
  <c r="N385" i="3"/>
  <c r="O385" i="3"/>
  <c r="P385" i="3"/>
  <c r="Q385" i="3" a="1"/>
  <c r="R385" i="3"/>
  <c r="S385" i="3"/>
  <c r="T385" i="3"/>
  <c r="U385" i="3"/>
  <c r="V385" i="3" a="1"/>
  <c r="W385" i="3" a="1"/>
  <c r="X385" i="3"/>
  <c r="Y385" i="3"/>
  <c r="Z385" i="3"/>
  <c r="AA385" i="3"/>
  <c r="AB385" i="3" a="1"/>
  <c r="AC385" i="3"/>
  <c r="AD385" i="3" a="1"/>
  <c r="AE385" i="3"/>
  <c r="AG385" i="3"/>
  <c r="AH385" i="3"/>
  <c r="AI385" i="3"/>
  <c r="AJ385" i="3"/>
  <c r="AK385" i="3"/>
  <c r="AL385" i="3"/>
  <c r="AM385" i="3"/>
  <c r="AN385" i="3"/>
  <c r="AO385" i="3"/>
  <c r="AP385" i="3"/>
  <c r="AQ385" i="3" a="1"/>
  <c r="AR385" i="3" a="1"/>
  <c r="AS385" i="3"/>
  <c r="AT385" i="3" a="1"/>
  <c r="AU385" i="3"/>
  <c r="AV385" i="3" a="1"/>
  <c r="AW385" i="3"/>
  <c r="AX385" i="3"/>
  <c r="AY385" i="3"/>
  <c r="AZ385" i="3"/>
  <c r="BA385" i="3"/>
  <c r="BB385" i="3"/>
  <c r="BC385" i="3"/>
  <c r="BD385" i="3"/>
  <c r="BE385" i="3" a="1"/>
  <c r="BF385" i="3"/>
  <c r="BG385" i="3"/>
  <c r="BH385" i="3" a="1"/>
  <c r="BI385" i="3"/>
  <c r="BJ385" i="3" a="1"/>
  <c r="BK385" i="3" a="1"/>
  <c r="BL385" i="3"/>
  <c r="BM385" i="3"/>
  <c r="B386" i="3"/>
  <c r="C386" i="3"/>
  <c r="D386" i="3"/>
  <c r="E386" i="3"/>
  <c r="F386" i="3"/>
  <c r="G386" i="3"/>
  <c r="H386" i="3"/>
  <c r="I386" i="3"/>
  <c r="J386" i="3"/>
  <c r="K386" i="3"/>
  <c r="L386" i="3"/>
  <c r="M386" i="3" a="1"/>
  <c r="N386" i="3"/>
  <c r="O386" i="3"/>
  <c r="P386" i="3"/>
  <c r="Q386" i="3" a="1"/>
  <c r="R386" i="3"/>
  <c r="S386" i="3"/>
  <c r="T386" i="3"/>
  <c r="U386" i="3"/>
  <c r="V386" i="3" a="1"/>
  <c r="W386" i="3" a="1"/>
  <c r="X386" i="3"/>
  <c r="Y386" i="3"/>
  <c r="Z386" i="3"/>
  <c r="AA386" i="3"/>
  <c r="AB386" i="3" a="1"/>
  <c r="AC386" i="3"/>
  <c r="AD386" i="3" a="1"/>
  <c r="AE386" i="3"/>
  <c r="AG386" i="3"/>
  <c r="AH386" i="3"/>
  <c r="AI386" i="3"/>
  <c r="AJ386" i="3"/>
  <c r="AK386" i="3"/>
  <c r="AL386" i="3"/>
  <c r="AM386" i="3"/>
  <c r="AN386" i="3"/>
  <c r="AO386" i="3"/>
  <c r="AP386" i="3"/>
  <c r="AQ386" i="3" a="1"/>
  <c r="AR386" i="3" a="1"/>
  <c r="AS386" i="3"/>
  <c r="AT386" i="3" a="1"/>
  <c r="AU386" i="3"/>
  <c r="AV386" i="3" a="1"/>
  <c r="AW386" i="3"/>
  <c r="AX386" i="3"/>
  <c r="AY386" i="3"/>
  <c r="AZ386" i="3"/>
  <c r="BA386" i="3"/>
  <c r="BB386" i="3"/>
  <c r="BC386" i="3"/>
  <c r="BD386" i="3"/>
  <c r="BE386" i="3" a="1"/>
  <c r="BF386" i="3"/>
  <c r="BG386" i="3"/>
  <c r="BH386" i="3" a="1"/>
  <c r="BI386" i="3"/>
  <c r="BJ386" i="3" a="1"/>
  <c r="BK386" i="3" a="1"/>
  <c r="BL386" i="3"/>
  <c r="BM386" i="3"/>
  <c r="B387" i="3"/>
  <c r="C387" i="3"/>
  <c r="D387" i="3"/>
  <c r="E387" i="3"/>
  <c r="F387" i="3"/>
  <c r="G387" i="3"/>
  <c r="H387" i="3"/>
  <c r="I387" i="3"/>
  <c r="J387" i="3"/>
  <c r="K387" i="3"/>
  <c r="L387" i="3"/>
  <c r="M387" i="3" a="1"/>
  <c r="N387" i="3"/>
  <c r="O387" i="3"/>
  <c r="P387" i="3"/>
  <c r="Q387" i="3" a="1"/>
  <c r="R387" i="3"/>
  <c r="S387" i="3"/>
  <c r="T387" i="3"/>
  <c r="U387" i="3"/>
  <c r="V387" i="3" a="1"/>
  <c r="W387" i="3" a="1"/>
  <c r="X387" i="3"/>
  <c r="Y387" i="3"/>
  <c r="Z387" i="3"/>
  <c r="AA387" i="3"/>
  <c r="AB387" i="3" a="1"/>
  <c r="AC387" i="3"/>
  <c r="AD387" i="3" a="1"/>
  <c r="AE387" i="3"/>
  <c r="AG387" i="3"/>
  <c r="AH387" i="3"/>
  <c r="AI387" i="3"/>
  <c r="AJ387" i="3"/>
  <c r="AK387" i="3"/>
  <c r="AL387" i="3"/>
  <c r="AM387" i="3"/>
  <c r="AN387" i="3"/>
  <c r="AO387" i="3"/>
  <c r="AP387" i="3"/>
  <c r="AQ387" i="3" a="1"/>
  <c r="AR387" i="3" a="1"/>
  <c r="AS387" i="3"/>
  <c r="AT387" i="3" a="1"/>
  <c r="AU387" i="3"/>
  <c r="AV387" i="3" a="1"/>
  <c r="AW387" i="3"/>
  <c r="AX387" i="3"/>
  <c r="AY387" i="3"/>
  <c r="AZ387" i="3"/>
  <c r="BA387" i="3"/>
  <c r="BB387" i="3"/>
  <c r="BC387" i="3"/>
  <c r="BD387" i="3"/>
  <c r="BE387" i="3" a="1"/>
  <c r="BF387" i="3"/>
  <c r="BG387" i="3"/>
  <c r="BH387" i="3" a="1"/>
  <c r="BI387" i="3"/>
  <c r="BJ387" i="3" a="1"/>
  <c r="BK387" i="3" a="1"/>
  <c r="BL387" i="3"/>
  <c r="BM387" i="3"/>
  <c r="B388" i="3"/>
  <c r="C388" i="3"/>
  <c r="D388" i="3"/>
  <c r="E388" i="3"/>
  <c r="F388" i="3"/>
  <c r="G388" i="3"/>
  <c r="H388" i="3"/>
  <c r="I388" i="3"/>
  <c r="J388" i="3"/>
  <c r="K388" i="3"/>
  <c r="L388" i="3"/>
  <c r="M388" i="3" a="1"/>
  <c r="N388" i="3"/>
  <c r="O388" i="3"/>
  <c r="P388" i="3"/>
  <c r="Q388" i="3" a="1"/>
  <c r="R388" i="3"/>
  <c r="S388" i="3"/>
  <c r="T388" i="3"/>
  <c r="U388" i="3"/>
  <c r="V388" i="3" a="1"/>
  <c r="W388" i="3" a="1"/>
  <c r="X388" i="3"/>
  <c r="Y388" i="3"/>
  <c r="Z388" i="3"/>
  <c r="AA388" i="3"/>
  <c r="AB388" i="3" a="1"/>
  <c r="AC388" i="3"/>
  <c r="AD388" i="3" a="1"/>
  <c r="AE388" i="3"/>
  <c r="AG388" i="3"/>
  <c r="AH388" i="3"/>
  <c r="AI388" i="3"/>
  <c r="AJ388" i="3"/>
  <c r="AK388" i="3"/>
  <c r="AL388" i="3"/>
  <c r="AM388" i="3"/>
  <c r="AN388" i="3"/>
  <c r="AO388" i="3"/>
  <c r="AP388" i="3"/>
  <c r="AQ388" i="3" a="1"/>
  <c r="AR388" i="3" a="1"/>
  <c r="AS388" i="3"/>
  <c r="AT388" i="3" a="1"/>
  <c r="AU388" i="3"/>
  <c r="AV388" i="3" a="1"/>
  <c r="AW388" i="3"/>
  <c r="AX388" i="3"/>
  <c r="AY388" i="3"/>
  <c r="AZ388" i="3"/>
  <c r="BA388" i="3"/>
  <c r="BB388" i="3"/>
  <c r="BC388" i="3"/>
  <c r="BD388" i="3"/>
  <c r="BE388" i="3" a="1"/>
  <c r="BF388" i="3"/>
  <c r="BG388" i="3"/>
  <c r="BH388" i="3" a="1"/>
  <c r="BI388" i="3"/>
  <c r="BJ388" i="3" a="1"/>
  <c r="BK388" i="3" a="1"/>
  <c r="BL388" i="3"/>
  <c r="BM388" i="3"/>
  <c r="B389" i="3"/>
  <c r="C389" i="3"/>
  <c r="D389" i="3"/>
  <c r="E389" i="3"/>
  <c r="F389" i="3"/>
  <c r="G389" i="3"/>
  <c r="H389" i="3"/>
  <c r="I389" i="3"/>
  <c r="J389" i="3"/>
  <c r="K389" i="3"/>
  <c r="L389" i="3"/>
  <c r="M389" i="3" a="1"/>
  <c r="N389" i="3"/>
  <c r="O389" i="3"/>
  <c r="P389" i="3"/>
  <c r="Q389" i="3" a="1"/>
  <c r="R389" i="3"/>
  <c r="S389" i="3"/>
  <c r="T389" i="3"/>
  <c r="U389" i="3"/>
  <c r="V389" i="3" a="1"/>
  <c r="W389" i="3" a="1"/>
  <c r="X389" i="3"/>
  <c r="Y389" i="3"/>
  <c r="Z389" i="3"/>
  <c r="AA389" i="3"/>
  <c r="AB389" i="3" a="1"/>
  <c r="AC389" i="3"/>
  <c r="AD389" i="3" a="1"/>
  <c r="AE389" i="3"/>
  <c r="AG389" i="3"/>
  <c r="AH389" i="3"/>
  <c r="AI389" i="3"/>
  <c r="AJ389" i="3"/>
  <c r="AK389" i="3"/>
  <c r="AL389" i="3"/>
  <c r="AM389" i="3"/>
  <c r="AN389" i="3"/>
  <c r="AO389" i="3"/>
  <c r="AP389" i="3"/>
  <c r="AQ389" i="3" a="1"/>
  <c r="AR389" i="3" a="1"/>
  <c r="AS389" i="3"/>
  <c r="AT389" i="3" a="1"/>
  <c r="AU389" i="3"/>
  <c r="AV389" i="3" a="1"/>
  <c r="AW389" i="3"/>
  <c r="AX389" i="3"/>
  <c r="AY389" i="3"/>
  <c r="AZ389" i="3"/>
  <c r="BA389" i="3"/>
  <c r="BB389" i="3"/>
  <c r="BC389" i="3"/>
  <c r="BD389" i="3"/>
  <c r="BE389" i="3" a="1"/>
  <c r="BF389" i="3"/>
  <c r="BG389" i="3"/>
  <c r="BH389" i="3" a="1"/>
  <c r="BI389" i="3"/>
  <c r="BJ389" i="3" a="1"/>
  <c r="BK389" i="3" a="1"/>
  <c r="BL389" i="3"/>
  <c r="BM389" i="3"/>
  <c r="B390" i="3"/>
  <c r="C390" i="3"/>
  <c r="D390" i="3"/>
  <c r="E390" i="3"/>
  <c r="F390" i="3"/>
  <c r="G390" i="3"/>
  <c r="H390" i="3"/>
  <c r="I390" i="3"/>
  <c r="J390" i="3"/>
  <c r="K390" i="3"/>
  <c r="L390" i="3"/>
  <c r="M390" i="3" a="1"/>
  <c r="N390" i="3"/>
  <c r="O390" i="3"/>
  <c r="P390" i="3"/>
  <c r="Q390" i="3" a="1"/>
  <c r="R390" i="3"/>
  <c r="S390" i="3"/>
  <c r="T390" i="3"/>
  <c r="U390" i="3"/>
  <c r="V390" i="3" a="1"/>
  <c r="W390" i="3" a="1"/>
  <c r="X390" i="3"/>
  <c r="Y390" i="3"/>
  <c r="Z390" i="3"/>
  <c r="AA390" i="3"/>
  <c r="AB390" i="3" a="1"/>
  <c r="AC390" i="3"/>
  <c r="AD390" i="3" a="1"/>
  <c r="AE390" i="3"/>
  <c r="AG390" i="3"/>
  <c r="AH390" i="3"/>
  <c r="AI390" i="3"/>
  <c r="AJ390" i="3"/>
  <c r="AK390" i="3"/>
  <c r="AL390" i="3"/>
  <c r="AM390" i="3"/>
  <c r="AN390" i="3"/>
  <c r="AO390" i="3"/>
  <c r="AP390" i="3"/>
  <c r="AQ390" i="3" a="1"/>
  <c r="AR390" i="3" a="1"/>
  <c r="AS390" i="3"/>
  <c r="AT390" i="3" a="1"/>
  <c r="AU390" i="3"/>
  <c r="AV390" i="3" a="1"/>
  <c r="AW390" i="3"/>
  <c r="AX390" i="3"/>
  <c r="AY390" i="3"/>
  <c r="AZ390" i="3"/>
  <c r="BA390" i="3"/>
  <c r="BB390" i="3"/>
  <c r="BC390" i="3"/>
  <c r="BD390" i="3"/>
  <c r="BE390" i="3" a="1"/>
  <c r="BF390" i="3"/>
  <c r="BG390" i="3"/>
  <c r="BH390" i="3" a="1"/>
  <c r="BI390" i="3"/>
  <c r="BJ390" i="3" a="1"/>
  <c r="BK390" i="3" a="1"/>
  <c r="BL390" i="3"/>
  <c r="BM390" i="3"/>
  <c r="B391" i="3"/>
  <c r="C391" i="3"/>
  <c r="D391" i="3"/>
  <c r="E391" i="3"/>
  <c r="F391" i="3"/>
  <c r="G391" i="3"/>
  <c r="H391" i="3"/>
  <c r="I391" i="3"/>
  <c r="J391" i="3"/>
  <c r="K391" i="3"/>
  <c r="L391" i="3"/>
  <c r="M391" i="3" a="1"/>
  <c r="N391" i="3"/>
  <c r="O391" i="3"/>
  <c r="P391" i="3"/>
  <c r="Q391" i="3" a="1"/>
  <c r="R391" i="3"/>
  <c r="S391" i="3"/>
  <c r="T391" i="3"/>
  <c r="U391" i="3"/>
  <c r="V391" i="3" a="1"/>
  <c r="W391" i="3" a="1"/>
  <c r="X391" i="3"/>
  <c r="Y391" i="3"/>
  <c r="Z391" i="3"/>
  <c r="AA391" i="3"/>
  <c r="AB391" i="3" a="1"/>
  <c r="AC391" i="3"/>
  <c r="AD391" i="3" a="1"/>
  <c r="AE391" i="3"/>
  <c r="AG391" i="3"/>
  <c r="AH391" i="3"/>
  <c r="AI391" i="3"/>
  <c r="AJ391" i="3"/>
  <c r="AK391" i="3"/>
  <c r="AL391" i="3"/>
  <c r="AM391" i="3"/>
  <c r="AN391" i="3"/>
  <c r="AO391" i="3"/>
  <c r="AP391" i="3"/>
  <c r="AQ391" i="3" a="1"/>
  <c r="AR391" i="3" a="1"/>
  <c r="AS391" i="3"/>
  <c r="AT391" i="3" a="1"/>
  <c r="AU391" i="3"/>
  <c r="AV391" i="3" a="1"/>
  <c r="AW391" i="3"/>
  <c r="AX391" i="3"/>
  <c r="AY391" i="3"/>
  <c r="AZ391" i="3"/>
  <c r="BA391" i="3"/>
  <c r="BB391" i="3"/>
  <c r="BC391" i="3"/>
  <c r="BD391" i="3"/>
  <c r="BE391" i="3" a="1"/>
  <c r="BF391" i="3"/>
  <c r="BG391" i="3"/>
  <c r="BH391" i="3" a="1"/>
  <c r="BI391" i="3"/>
  <c r="BJ391" i="3" a="1"/>
  <c r="BK391" i="3" a="1"/>
  <c r="BL391" i="3"/>
  <c r="BM391" i="3"/>
  <c r="B392" i="3"/>
  <c r="C392" i="3"/>
  <c r="D392" i="3"/>
  <c r="E392" i="3"/>
  <c r="F392" i="3"/>
  <c r="G392" i="3"/>
  <c r="H392" i="3"/>
  <c r="I392" i="3"/>
  <c r="J392" i="3"/>
  <c r="K392" i="3"/>
  <c r="L392" i="3"/>
  <c r="M392" i="3" a="1"/>
  <c r="N392" i="3"/>
  <c r="O392" i="3"/>
  <c r="P392" i="3"/>
  <c r="Q392" i="3" a="1"/>
  <c r="R392" i="3"/>
  <c r="S392" i="3"/>
  <c r="T392" i="3"/>
  <c r="U392" i="3"/>
  <c r="V392" i="3" a="1"/>
  <c r="W392" i="3" a="1"/>
  <c r="X392" i="3"/>
  <c r="Y392" i="3"/>
  <c r="Z392" i="3"/>
  <c r="AA392" i="3"/>
  <c r="AB392" i="3" a="1"/>
  <c r="AC392" i="3"/>
  <c r="AD392" i="3" a="1"/>
  <c r="AE392" i="3"/>
  <c r="AG392" i="3"/>
  <c r="AH392" i="3"/>
  <c r="AI392" i="3"/>
  <c r="AJ392" i="3"/>
  <c r="AK392" i="3"/>
  <c r="AL392" i="3"/>
  <c r="AM392" i="3"/>
  <c r="AN392" i="3"/>
  <c r="AO392" i="3"/>
  <c r="AP392" i="3"/>
  <c r="AQ392" i="3" a="1"/>
  <c r="AR392" i="3" a="1"/>
  <c r="AS392" i="3"/>
  <c r="AT392" i="3" a="1"/>
  <c r="AU392" i="3"/>
  <c r="AV392" i="3" a="1"/>
  <c r="AW392" i="3"/>
  <c r="AX392" i="3"/>
  <c r="AY392" i="3"/>
  <c r="AZ392" i="3"/>
  <c r="BA392" i="3"/>
  <c r="BB392" i="3"/>
  <c r="BC392" i="3"/>
  <c r="BD392" i="3"/>
  <c r="BE392" i="3" a="1"/>
  <c r="BF392" i="3"/>
  <c r="BG392" i="3"/>
  <c r="BH392" i="3" a="1"/>
  <c r="BI392" i="3"/>
  <c r="BJ392" i="3" a="1"/>
  <c r="BK392" i="3" a="1"/>
  <c r="BL392" i="3"/>
  <c r="BM392" i="3"/>
  <c r="B393" i="3"/>
  <c r="C393" i="3"/>
  <c r="D393" i="3"/>
  <c r="E393" i="3"/>
  <c r="F393" i="3"/>
  <c r="G393" i="3"/>
  <c r="H393" i="3"/>
  <c r="I393" i="3"/>
  <c r="J393" i="3"/>
  <c r="K393" i="3"/>
  <c r="L393" i="3"/>
  <c r="M393" i="3" a="1"/>
  <c r="N393" i="3"/>
  <c r="O393" i="3"/>
  <c r="P393" i="3"/>
  <c r="Q393" i="3" a="1"/>
  <c r="R393" i="3"/>
  <c r="S393" i="3"/>
  <c r="T393" i="3"/>
  <c r="U393" i="3"/>
  <c r="V393" i="3" a="1"/>
  <c r="W393" i="3" a="1"/>
  <c r="X393" i="3"/>
  <c r="Y393" i="3"/>
  <c r="Z393" i="3"/>
  <c r="AA393" i="3"/>
  <c r="AB393" i="3" a="1"/>
  <c r="AC393" i="3"/>
  <c r="AD393" i="3" a="1"/>
  <c r="AE393" i="3"/>
  <c r="AG393" i="3"/>
  <c r="AH393" i="3"/>
  <c r="AI393" i="3"/>
  <c r="AJ393" i="3"/>
  <c r="AK393" i="3"/>
  <c r="AL393" i="3"/>
  <c r="AM393" i="3"/>
  <c r="AN393" i="3"/>
  <c r="AO393" i="3"/>
  <c r="AP393" i="3"/>
  <c r="AQ393" i="3" a="1"/>
  <c r="AR393" i="3" a="1"/>
  <c r="AS393" i="3"/>
  <c r="AT393" i="3" a="1"/>
  <c r="AU393" i="3"/>
  <c r="AV393" i="3" a="1"/>
  <c r="AW393" i="3"/>
  <c r="AX393" i="3"/>
  <c r="AY393" i="3"/>
  <c r="AZ393" i="3"/>
  <c r="BA393" i="3"/>
  <c r="BB393" i="3"/>
  <c r="BC393" i="3"/>
  <c r="BD393" i="3"/>
  <c r="BE393" i="3" a="1"/>
  <c r="BF393" i="3"/>
  <c r="BG393" i="3"/>
  <c r="BH393" i="3" a="1"/>
  <c r="BI393" i="3"/>
  <c r="BJ393" i="3" a="1"/>
  <c r="BK393" i="3" a="1"/>
  <c r="BL393" i="3"/>
  <c r="BM393" i="3"/>
  <c r="B394" i="3"/>
  <c r="C394" i="3"/>
  <c r="D394" i="3"/>
  <c r="E394" i="3"/>
  <c r="F394" i="3"/>
  <c r="G394" i="3"/>
  <c r="H394" i="3"/>
  <c r="I394" i="3"/>
  <c r="J394" i="3"/>
  <c r="K394" i="3"/>
  <c r="L394" i="3"/>
  <c r="M394" i="3" a="1"/>
  <c r="N394" i="3"/>
  <c r="O394" i="3"/>
  <c r="P394" i="3"/>
  <c r="Q394" i="3" a="1"/>
  <c r="R394" i="3"/>
  <c r="S394" i="3"/>
  <c r="T394" i="3"/>
  <c r="U394" i="3"/>
  <c r="V394" i="3" a="1"/>
  <c r="W394" i="3" a="1"/>
  <c r="X394" i="3"/>
  <c r="Y394" i="3"/>
  <c r="Z394" i="3"/>
  <c r="AA394" i="3"/>
  <c r="AB394" i="3" a="1"/>
  <c r="AC394" i="3"/>
  <c r="AD394" i="3" a="1"/>
  <c r="AE394" i="3"/>
  <c r="AG394" i="3"/>
  <c r="AH394" i="3"/>
  <c r="AI394" i="3"/>
  <c r="AJ394" i="3"/>
  <c r="AK394" i="3"/>
  <c r="AL394" i="3"/>
  <c r="AM394" i="3"/>
  <c r="AN394" i="3"/>
  <c r="AO394" i="3"/>
  <c r="AP394" i="3"/>
  <c r="AQ394" i="3" a="1"/>
  <c r="AR394" i="3" a="1"/>
  <c r="AS394" i="3"/>
  <c r="AT394" i="3" a="1"/>
  <c r="AU394" i="3"/>
  <c r="AV394" i="3" a="1"/>
  <c r="AW394" i="3"/>
  <c r="AX394" i="3"/>
  <c r="AY394" i="3"/>
  <c r="AZ394" i="3"/>
  <c r="BA394" i="3"/>
  <c r="BB394" i="3"/>
  <c r="BC394" i="3"/>
  <c r="BD394" i="3"/>
  <c r="BE394" i="3" a="1"/>
  <c r="BF394" i="3"/>
  <c r="BG394" i="3"/>
  <c r="BH394" i="3" a="1"/>
  <c r="BI394" i="3"/>
  <c r="BJ394" i="3" a="1"/>
  <c r="BK394" i="3" a="1"/>
  <c r="BL394" i="3"/>
  <c r="BM394" i="3"/>
  <c r="L395" i="3"/>
  <c r="AF395" i="3"/>
  <c r="BM397" i="3"/>
  <c r="BM398" i="3"/>
  <c r="BM399" i="3"/>
  <c r="BM400" i="3"/>
  <c r="BM401" i="3"/>
  <c r="BM402" i="3"/>
  <c r="BM403" i="3"/>
  <c r="BM404" i="3"/>
  <c r="BM405" i="3"/>
  <c r="BM406" i="3"/>
  <c r="BM407" i="3"/>
  <c r="BM408" i="3"/>
  <c r="BM409" i="3"/>
  <c r="BM410" i="3"/>
  <c r="BM411" i="3"/>
  <c r="BM412" i="3"/>
  <c r="BM413" i="3"/>
  <c r="BM414" i="3"/>
  <c r="BM415" i="3"/>
  <c r="BM416" i="3"/>
  <c r="BM417" i="3"/>
  <c r="BM418" i="3"/>
  <c r="BM419" i="3"/>
  <c r="BM420" i="3"/>
  <c r="BM421" i="3"/>
  <c r="BM422" i="3"/>
  <c r="BM423" i="3"/>
  <c r="BM424" i="3"/>
  <c r="BM425" i="3"/>
  <c r="BM426" i="3"/>
  <c r="BM427" i="3"/>
  <c r="BM428" i="3"/>
  <c r="BM429" i="3"/>
  <c r="BM430" i="3"/>
  <c r="BM431" i="3"/>
  <c r="BM432" i="3"/>
  <c r="BM433" i="3"/>
  <c r="BM434" i="3"/>
  <c r="BM435" i="3"/>
  <c r="BM436" i="3"/>
  <c r="BM437" i="3"/>
  <c r="BM438" i="3"/>
  <c r="BM439" i="3"/>
  <c r="BM440" i="3"/>
  <c r="BM441" i="3"/>
  <c r="BM442" i="3"/>
  <c r="BM443" i="3"/>
  <c r="BM444" i="3"/>
  <c r="BM445" i="3"/>
  <c r="BM446" i="3"/>
  <c r="BM447" i="3"/>
  <c r="BM448" i="3"/>
  <c r="BM449" i="3"/>
  <c r="BM450" i="3"/>
  <c r="BM451" i="3"/>
  <c r="BM452" i="3"/>
  <c r="BM453" i="3"/>
  <c r="BM454" i="3"/>
  <c r="BM455" i="3"/>
  <c r="BM456" i="3"/>
  <c r="BM457" i="3"/>
  <c r="BM458" i="3"/>
  <c r="BM459" i="3"/>
  <c r="BM460" i="3"/>
  <c r="BM461" i="3"/>
  <c r="BM462" i="3"/>
  <c r="BM463" i="3"/>
  <c r="BM464" i="3"/>
  <c r="BM465" i="3"/>
  <c r="BM466" i="3"/>
  <c r="BM467" i="3"/>
  <c r="BM468" i="3"/>
  <c r="BM469" i="3"/>
  <c r="BM470" i="3"/>
  <c r="BM471" i="3"/>
  <c r="BM472" i="3"/>
  <c r="BM473" i="3"/>
  <c r="BM474" i="3"/>
  <c r="BM475" i="3"/>
  <c r="BM476" i="3"/>
  <c r="BM477" i="3"/>
  <c r="BM478" i="3"/>
  <c r="BM479" i="3"/>
  <c r="BM480" i="3"/>
  <c r="BM481" i="3"/>
  <c r="BM482" i="3"/>
  <c r="BM483" i="3"/>
  <c r="BM484" i="3"/>
  <c r="BM485" i="3"/>
  <c r="BM486" i="3"/>
  <c r="BM487" i="3"/>
  <c r="BM488" i="3"/>
  <c r="BM489" i="3"/>
  <c r="BM490" i="3"/>
  <c r="BM491" i="3"/>
  <c r="BM492" i="3"/>
  <c r="BM493" i="3"/>
  <c r="BM494" i="3"/>
  <c r="BM495" i="3"/>
  <c r="BM496" i="3"/>
  <c r="BM497" i="3"/>
  <c r="BM498" i="3"/>
  <c r="BM499" i="3"/>
  <c r="BM500" i="3"/>
  <c r="BM501" i="3"/>
  <c r="BM502" i="3"/>
  <c r="BM503" i="3"/>
  <c r="BM504" i="3"/>
  <c r="BM505" i="3"/>
  <c r="BM506" i="3"/>
  <c r="BM507" i="3"/>
  <c r="BM508" i="3"/>
  <c r="BM509" i="3"/>
  <c r="BM510" i="3"/>
  <c r="BM511" i="3"/>
  <c r="BM512" i="3"/>
  <c r="BM513" i="3"/>
  <c r="BM514" i="3"/>
  <c r="BM515" i="3"/>
  <c r="BM516" i="3"/>
  <c r="BM517" i="3"/>
  <c r="BM518" i="3"/>
  <c r="BM519" i="3"/>
  <c r="BM520" i="3"/>
  <c r="BM521" i="3"/>
  <c r="BM522" i="3"/>
  <c r="BM523" i="3"/>
  <c r="BM524" i="3"/>
  <c r="BM525" i="3"/>
  <c r="BM526" i="3"/>
  <c r="BM527" i="3"/>
  <c r="BM528" i="3"/>
  <c r="BM529" i="3"/>
  <c r="BM530" i="3"/>
  <c r="BM531" i="3"/>
  <c r="BM532" i="3"/>
  <c r="BM533" i="3"/>
  <c r="BM534" i="3"/>
  <c r="BM535" i="3"/>
  <c r="BM536" i="3"/>
  <c r="BM537" i="3"/>
  <c r="BM538" i="3"/>
  <c r="BM539" i="3"/>
  <c r="BM540" i="3"/>
  <c r="BM541" i="3"/>
  <c r="BM542" i="3"/>
  <c r="BM543" i="3"/>
  <c r="BM544" i="3"/>
  <c r="BM545" i="3"/>
  <c r="BM546" i="3"/>
  <c r="BM547" i="3"/>
  <c r="BM548" i="3"/>
  <c r="BM549" i="3"/>
  <c r="BM550" i="3"/>
  <c r="BM551" i="3"/>
  <c r="BM552" i="3"/>
  <c r="BM553" i="3"/>
  <c r="BM554" i="3"/>
  <c r="BM555" i="3"/>
  <c r="BM556" i="3"/>
  <c r="BM557" i="3"/>
  <c r="BM558" i="3"/>
  <c r="BM559" i="3"/>
  <c r="BM560" i="3"/>
  <c r="BM561" i="3"/>
  <c r="BM562" i="3"/>
  <c r="BM563" i="3"/>
  <c r="BM564" i="3"/>
  <c r="BM565" i="3"/>
  <c r="BM566" i="3"/>
  <c r="BM567" i="3"/>
  <c r="BM568" i="3"/>
  <c r="BM569" i="3"/>
  <c r="BM570" i="3"/>
  <c r="BM571" i="3"/>
  <c r="BM572" i="3"/>
  <c r="BM573" i="3"/>
  <c r="BM574" i="3"/>
  <c r="BM575" i="3"/>
  <c r="BM576" i="3"/>
  <c r="BM577" i="3"/>
  <c r="BM578" i="3"/>
  <c r="BM579" i="3"/>
  <c r="BM580" i="3"/>
  <c r="BM581" i="3"/>
  <c r="BM582" i="3"/>
  <c r="BM583" i="3"/>
  <c r="BM584" i="3"/>
  <c r="BM585" i="3"/>
  <c r="BM586" i="3"/>
  <c r="BM587" i="3"/>
  <c r="BM588" i="3"/>
  <c r="BM589" i="3"/>
  <c r="BM590" i="3"/>
  <c r="BM591" i="3"/>
  <c r="BM592" i="3"/>
  <c r="BM593" i="3"/>
  <c r="BM594" i="3"/>
  <c r="BM595" i="3"/>
  <c r="BM596" i="3"/>
  <c r="BM597" i="3"/>
  <c r="BM598" i="3"/>
  <c r="BM599" i="3"/>
  <c r="BM600" i="3"/>
  <c r="BM601" i="3"/>
  <c r="BM602" i="3"/>
  <c r="BM603" i="3"/>
  <c r="BM604" i="3"/>
  <c r="BM605" i="3"/>
  <c r="BM606" i="3"/>
  <c r="BM607" i="3"/>
  <c r="BM608" i="3"/>
  <c r="BM609" i="3"/>
  <c r="BM610" i="3"/>
  <c r="BM611" i="3"/>
  <c r="BC7" i="21"/>
  <c r="BC8" i="21"/>
  <c r="BC9" i="21"/>
  <c r="BC10" i="21"/>
  <c r="BC11" i="21"/>
  <c r="BC12" i="21"/>
  <c r="BC13" i="21"/>
  <c r="BC14" i="21"/>
  <c r="BC15" i="21"/>
  <c r="BC16" i="21"/>
  <c r="BC17" i="21"/>
  <c r="BC136" i="21"/>
  <c r="BC137" i="21"/>
  <c r="BC138" i="21"/>
  <c r="BC139" i="21"/>
  <c r="BC140" i="21"/>
  <c r="BC141" i="21"/>
  <c r="BC148" i="21"/>
  <c r="BC149" i="21"/>
  <c r="BC150" i="21"/>
  <c r="BC151" i="21"/>
  <c r="BC152" i="21"/>
  <c r="BC153" i="21"/>
  <c r="BC154" i="21"/>
  <c r="BC155" i="21"/>
  <c r="BC156" i="21"/>
  <c r="BC157" i="21"/>
  <c r="BC158" i="21"/>
  <c r="BC159" i="21"/>
  <c r="BC160" i="21"/>
  <c r="BC161" i="21"/>
  <c r="BC162" i="21"/>
  <c r="BC163" i="21"/>
  <c r="BC164" i="21"/>
  <c r="BC165" i="21"/>
  <c r="BC166" i="21"/>
  <c r="BC167" i="21"/>
  <c r="BC168" i="21"/>
  <c r="BC169" i="21"/>
  <c r="BC170" i="21"/>
  <c r="BC171" i="21"/>
  <c r="BC205" i="21"/>
  <c r="BC206" i="21"/>
  <c r="BC207" i="21"/>
  <c r="BC208" i="21"/>
  <c r="BC209" i="21"/>
  <c r="BC210" i="21"/>
  <c r="BC211" i="21"/>
  <c r="BC212" i="21"/>
  <c r="BC213" i="21"/>
  <c r="BC214" i="21"/>
  <c r="BC215" i="21"/>
  <c r="BC216" i="21"/>
  <c r="BC217" i="21"/>
  <c r="BC218" i="21"/>
  <c r="BC219" i="21"/>
  <c r="BC220" i="21"/>
  <c r="BC221" i="21"/>
  <c r="BC222" i="21"/>
  <c r="BC223" i="21"/>
  <c r="BC228" i="21"/>
  <c r="BC229" i="21"/>
  <c r="BC230" i="21"/>
  <c r="BC231" i="21"/>
  <c r="BC260" i="21"/>
  <c r="BC261" i="21"/>
  <c r="BC262" i="21"/>
  <c r="BC263" i="21"/>
  <c r="BC264" i="21"/>
  <c r="BC265" i="21"/>
  <c r="BC266" i="21"/>
  <c r="BC267" i="21"/>
  <c r="BC268" i="21"/>
  <c r="BC269" i="21"/>
  <c r="BC270" i="21"/>
  <c r="BC271" i="21"/>
  <c r="BC272" i="21"/>
  <c r="BC273" i="21"/>
  <c r="BC274" i="21"/>
  <c r="BC275" i="21"/>
  <c r="BC276" i="21"/>
  <c r="BC277" i="21"/>
  <c r="BC278" i="21"/>
  <c r="BC279" i="21"/>
  <c r="BC280" i="21"/>
  <c r="BC397" i="21"/>
  <c r="BC398" i="21"/>
  <c r="BC399" i="21"/>
  <c r="BC400" i="21"/>
  <c r="BC401" i="21"/>
  <c r="BC402" i="21"/>
  <c r="BC403" i="21"/>
  <c r="BC404" i="21"/>
  <c r="BC405" i="21"/>
  <c r="BC406" i="21"/>
  <c r="BC407" i="21"/>
  <c r="BC408" i="21"/>
  <c r="BC409" i="21"/>
  <c r="BC410" i="21"/>
  <c r="BC411" i="21"/>
  <c r="BC412" i="21"/>
  <c r="BC413" i="21"/>
  <c r="BC414" i="21"/>
  <c r="BC415" i="21"/>
  <c r="BC416" i="21"/>
  <c r="BC417" i="21"/>
  <c r="BC418" i="21"/>
  <c r="BC419" i="21"/>
  <c r="BC420" i="21"/>
  <c r="BC421" i="21"/>
  <c r="BC422" i="21"/>
  <c r="BC423" i="21"/>
  <c r="BC424" i="21"/>
  <c r="BC425" i="21"/>
  <c r="BC426" i="21"/>
  <c r="BC427" i="21"/>
  <c r="BC428" i="21"/>
  <c r="BC429" i="21"/>
  <c r="BC430" i="21"/>
  <c r="BC431" i="21"/>
  <c r="BC432" i="21"/>
  <c r="BC433" i="21"/>
  <c r="BC434" i="21"/>
  <c r="BC435" i="21"/>
  <c r="BC436" i="21"/>
  <c r="BC437" i="21"/>
  <c r="BC438" i="21"/>
  <c r="BC439" i="21"/>
  <c r="BC440" i="21"/>
  <c r="BC441" i="21"/>
  <c r="BC442" i="21"/>
  <c r="BC443" i="21"/>
  <c r="BC444" i="21"/>
  <c r="BC445" i="21"/>
  <c r="BC446" i="21"/>
  <c r="BC447" i="21"/>
  <c r="BC448" i="21"/>
  <c r="BC449" i="21"/>
  <c r="BC450" i="21"/>
  <c r="BC451" i="21"/>
  <c r="BC452" i="21"/>
  <c r="BC453" i="21"/>
  <c r="BC454" i="21"/>
  <c r="BC455" i="21"/>
  <c r="BC456" i="21"/>
  <c r="BC457" i="21"/>
  <c r="BC458" i="21"/>
  <c r="BC459" i="21"/>
  <c r="BC460" i="21"/>
  <c r="BC461" i="21"/>
  <c r="BC462" i="21"/>
  <c r="BC463" i="21"/>
  <c r="BC464" i="21"/>
  <c r="BC465" i="21"/>
  <c r="BC466" i="21"/>
  <c r="BC467" i="21"/>
  <c r="BC468" i="21"/>
  <c r="BC469" i="21"/>
  <c r="BC470" i="21"/>
  <c r="BC471" i="21"/>
  <c r="BC472" i="21"/>
  <c r="BC473" i="21"/>
  <c r="BC474" i="21"/>
  <c r="BC475" i="21"/>
  <c r="BC476" i="21"/>
  <c r="BC477" i="21"/>
  <c r="BC478" i="21"/>
  <c r="BC479" i="21"/>
  <c r="BC480" i="21"/>
  <c r="BC481" i="21"/>
  <c r="BC482" i="21"/>
  <c r="BC483" i="21"/>
  <c r="BC484" i="21"/>
  <c r="BC485" i="21"/>
  <c r="BC486" i="21"/>
  <c r="BC487" i="21"/>
  <c r="BC488" i="21"/>
  <c r="BC489" i="21"/>
  <c r="BC490" i="21"/>
  <c r="BC491" i="21"/>
  <c r="BC492" i="21"/>
  <c r="BC493" i="21"/>
  <c r="BC494" i="21"/>
  <c r="BC495" i="21"/>
  <c r="BC496" i="21"/>
  <c r="BC497" i="21"/>
  <c r="BC498" i="21"/>
  <c r="BC499" i="21"/>
  <c r="BC500" i="21"/>
  <c r="BC501" i="21"/>
  <c r="BC502" i="21"/>
  <c r="BC503" i="21"/>
  <c r="BC504" i="21"/>
  <c r="BC505" i="21"/>
  <c r="BC506" i="21"/>
  <c r="BC507" i="21"/>
  <c r="BC508" i="21"/>
  <c r="BC509" i="21"/>
  <c r="BC510" i="21"/>
  <c r="BC511" i="21"/>
  <c r="BC512" i="21"/>
  <c r="BC513" i="21"/>
  <c r="BC514" i="21"/>
  <c r="BC515" i="21"/>
  <c r="BC516" i="21"/>
  <c r="BC517" i="21"/>
  <c r="BC518" i="21"/>
  <c r="BC519" i="21"/>
  <c r="BC520" i="21"/>
  <c r="BC521" i="21"/>
  <c r="BC522" i="21"/>
  <c r="BC523" i="21"/>
  <c r="BC524" i="21"/>
  <c r="BC525" i="21"/>
  <c r="BC526" i="21"/>
  <c r="BC527" i="21"/>
  <c r="BC528" i="21"/>
  <c r="BC529" i="21"/>
  <c r="BC530" i="21"/>
  <c r="BC531" i="21"/>
  <c r="BC532" i="21"/>
  <c r="BC533" i="21"/>
  <c r="BC534" i="21"/>
  <c r="BC535" i="21"/>
  <c r="BC536" i="21"/>
  <c r="BC537" i="21"/>
  <c r="BC538" i="21"/>
  <c r="BC539" i="21"/>
  <c r="BC540" i="21"/>
  <c r="BC541" i="21"/>
  <c r="BC542" i="21"/>
  <c r="BC543" i="21"/>
  <c r="BC544" i="21"/>
  <c r="BC545" i="21"/>
  <c r="BC546" i="21"/>
  <c r="BC547" i="21"/>
  <c r="BC548" i="21"/>
  <c r="BC549" i="21"/>
  <c r="BC550" i="21"/>
  <c r="BC551" i="21"/>
  <c r="BC552" i="21"/>
  <c r="BC553" i="21"/>
  <c r="BC554" i="21"/>
  <c r="BC555" i="21"/>
  <c r="BC556" i="21"/>
  <c r="BC557" i="21"/>
  <c r="BC558" i="21"/>
  <c r="BC559" i="21"/>
  <c r="BC560" i="21"/>
  <c r="BC561" i="21"/>
  <c r="BC562" i="21"/>
  <c r="BC563" i="21"/>
  <c r="BC564" i="21"/>
  <c r="BC565" i="21"/>
  <c r="BC566" i="21"/>
  <c r="BC567" i="21"/>
  <c r="BC568" i="21"/>
  <c r="BC569" i="21"/>
  <c r="BC570" i="21"/>
  <c r="BC571" i="21"/>
  <c r="BC572" i="21"/>
  <c r="BC573" i="21"/>
  <c r="BC574" i="21"/>
  <c r="BC575" i="21"/>
  <c r="BC576" i="21"/>
  <c r="BC577" i="21"/>
  <c r="BC578" i="21"/>
  <c r="BC579" i="21"/>
  <c r="BC580" i="21"/>
  <c r="BC581" i="21"/>
  <c r="BC582" i="21"/>
  <c r="BC583" i="21"/>
  <c r="BC584" i="21"/>
  <c r="BC585" i="21"/>
  <c r="BC586" i="21"/>
  <c r="BC587" i="21"/>
  <c r="BC588" i="21"/>
  <c r="BC589" i="21"/>
  <c r="BC590" i="21"/>
  <c r="BC591" i="21"/>
  <c r="BC592" i="21"/>
  <c r="BC593" i="21"/>
  <c r="BC594" i="21"/>
  <c r="BC595" i="21"/>
  <c r="BC596" i="21"/>
  <c r="BC597" i="21"/>
  <c r="BC598" i="21"/>
  <c r="BC599" i="21"/>
  <c r="BC600" i="21"/>
  <c r="BC601" i="21"/>
  <c r="BC602" i="21"/>
  <c r="BC603" i="21"/>
  <c r="BC604" i="21"/>
  <c r="BC605" i="21"/>
  <c r="BC606" i="21"/>
  <c r="BC607" i="21"/>
  <c r="BC608" i="21"/>
  <c r="BC609" i="21"/>
  <c r="BC610" i="21"/>
  <c r="BC611" i="21"/>
  <c r="A5" i="20" l="1"/>
  <c r="A11" i="20" s="1"/>
  <c r="A17" i="20" s="1"/>
  <c r="A27" i="20" s="1"/>
  <c r="C27" i="20"/>
  <c r="D27" i="20" s="1"/>
  <c r="E27" i="20"/>
  <c r="B35" i="20"/>
  <c r="D35" i="20"/>
  <c r="E35" i="20" s="1"/>
  <c r="E38" i="20" s="1"/>
  <c r="B36" i="20"/>
  <c r="D36" i="20"/>
  <c r="E36" i="20" s="1"/>
  <c r="B37" i="20"/>
  <c r="D37" i="20"/>
  <c r="E37" i="20" s="1"/>
  <c r="M7" i="3"/>
  <c r="M395" i="3" s="1"/>
  <c r="B5" i="20" s="1"/>
  <c r="C5" i="20" s="1"/>
  <c r="Q7" i="3"/>
  <c r="V7" i="3"/>
  <c r="W7" i="3"/>
  <c r="AB7" i="3"/>
  <c r="AD7" i="3"/>
  <c r="AQ7" i="3"/>
  <c r="AR7" i="3"/>
  <c r="AT7" i="3"/>
  <c r="AV7" i="3"/>
  <c r="BE7" i="3"/>
  <c r="BH7" i="3"/>
  <c r="BJ7" i="3"/>
  <c r="BK7" i="3"/>
  <c r="BM7" i="3"/>
  <c r="M8" i="3"/>
  <c r="Q8" i="3"/>
  <c r="V8" i="3"/>
  <c r="W8" i="3"/>
  <c r="AB8" i="3"/>
  <c r="AD8" i="3"/>
  <c r="AQ8" i="3"/>
  <c r="AR8" i="3"/>
  <c r="AT8" i="3"/>
  <c r="AV8" i="3"/>
  <c r="BE8" i="3"/>
  <c r="BH8" i="3"/>
  <c r="BJ8" i="3"/>
  <c r="BK8" i="3"/>
  <c r="BM8" i="3"/>
  <c r="M9" i="3"/>
  <c r="Q9" i="3"/>
  <c r="V9" i="3"/>
  <c r="W9" i="3"/>
  <c r="AB9" i="3"/>
  <c r="AD9" i="3"/>
  <c r="AQ9" i="3"/>
  <c r="AR9" i="3"/>
  <c r="AT9" i="3"/>
  <c r="AV9" i="3"/>
  <c r="BE9" i="3"/>
  <c r="BH9" i="3"/>
  <c r="BJ9" i="3"/>
  <c r="BK9" i="3"/>
  <c r="BM9" i="3"/>
  <c r="M10" i="3"/>
  <c r="Q10" i="3"/>
  <c r="V10" i="3"/>
  <c r="W10" i="3"/>
  <c r="AB10" i="3"/>
  <c r="AD10" i="3"/>
  <c r="AQ10" i="3"/>
  <c r="AR10" i="3"/>
  <c r="AT10" i="3"/>
  <c r="AV10" i="3"/>
  <c r="BE10" i="3"/>
  <c r="BH10" i="3"/>
  <c r="BJ10" i="3"/>
  <c r="BK10" i="3"/>
  <c r="BM10" i="3"/>
  <c r="M11" i="3"/>
  <c r="Q11" i="3"/>
  <c r="V11" i="3"/>
  <c r="W11" i="3"/>
  <c r="AB11" i="3"/>
  <c r="AD11" i="3"/>
  <c r="AQ11" i="3"/>
  <c r="AR11" i="3"/>
  <c r="AT11" i="3"/>
  <c r="AV11" i="3"/>
  <c r="BE11" i="3"/>
  <c r="BH11" i="3"/>
  <c r="BJ11" i="3"/>
  <c r="BK11" i="3"/>
  <c r="BM11" i="3"/>
  <c r="M12" i="3"/>
  <c r="Q12" i="3"/>
  <c r="V12" i="3"/>
  <c r="W12" i="3"/>
  <c r="AB12" i="3"/>
  <c r="AD12" i="3"/>
  <c r="AQ12" i="3"/>
  <c r="AR12" i="3"/>
  <c r="AT12" i="3"/>
  <c r="AV12" i="3"/>
  <c r="BE12" i="3"/>
  <c r="BH12" i="3"/>
  <c r="BJ12" i="3"/>
  <c r="BK12" i="3"/>
  <c r="BM12" i="3"/>
  <c r="M13" i="3"/>
  <c r="Q13" i="3"/>
  <c r="V13" i="3"/>
  <c r="W13" i="3"/>
  <c r="AB13" i="3"/>
  <c r="AD13" i="3"/>
  <c r="AQ13" i="3"/>
  <c r="AR13" i="3"/>
  <c r="AT13" i="3"/>
  <c r="AV13" i="3"/>
  <c r="BE13" i="3"/>
  <c r="BH13" i="3"/>
  <c r="BJ13" i="3"/>
  <c r="BK13" i="3"/>
  <c r="BM13" i="3"/>
  <c r="M14" i="3"/>
  <c r="Q14" i="3"/>
  <c r="V14" i="3"/>
  <c r="W14" i="3"/>
  <c r="AB14" i="3"/>
  <c r="AD14" i="3"/>
  <c r="AQ14" i="3"/>
  <c r="AR14" i="3"/>
  <c r="AT14" i="3"/>
  <c r="AV14" i="3"/>
  <c r="BE14" i="3"/>
  <c r="BH14" i="3"/>
  <c r="BJ14" i="3"/>
  <c r="BK14" i="3"/>
  <c r="BM14" i="3"/>
  <c r="M15" i="3"/>
  <c r="Q15" i="3"/>
  <c r="V15" i="3"/>
  <c r="W15" i="3"/>
  <c r="AB15" i="3"/>
  <c r="AD15" i="3"/>
  <c r="AQ15" i="3"/>
  <c r="AR15" i="3"/>
  <c r="AT15" i="3"/>
  <c r="AV15" i="3"/>
  <c r="BE15" i="3"/>
  <c r="BH15" i="3"/>
  <c r="BJ15" i="3"/>
  <c r="BK15" i="3"/>
  <c r="BM15" i="3"/>
  <c r="M16" i="3"/>
  <c r="Q16" i="3"/>
  <c r="V16" i="3"/>
  <c r="W16" i="3"/>
  <c r="AB16" i="3"/>
  <c r="AD16" i="3"/>
  <c r="AQ16" i="3"/>
  <c r="AR16" i="3"/>
  <c r="AT16" i="3"/>
  <c r="AV16" i="3"/>
  <c r="BE16" i="3"/>
  <c r="BH16" i="3"/>
  <c r="BJ16" i="3"/>
  <c r="BK16" i="3"/>
  <c r="BM16" i="3"/>
  <c r="M17" i="3"/>
  <c r="Q17" i="3"/>
  <c r="V17" i="3"/>
  <c r="W17" i="3"/>
  <c r="AB17" i="3"/>
  <c r="AD17" i="3"/>
  <c r="AQ17" i="3"/>
  <c r="AR17" i="3"/>
  <c r="AT17" i="3"/>
  <c r="AV17" i="3"/>
  <c r="BE17" i="3"/>
  <c r="BH17" i="3"/>
  <c r="BJ17" i="3"/>
  <c r="BK17" i="3"/>
  <c r="BM17" i="3"/>
  <c r="M18" i="3"/>
  <c r="Q18" i="3"/>
  <c r="V18" i="3"/>
  <c r="W18" i="3"/>
  <c r="AB18" i="3"/>
  <c r="AD18" i="3"/>
  <c r="AQ18" i="3"/>
  <c r="AR18" i="3"/>
  <c r="AT18" i="3"/>
  <c r="AV18" i="3"/>
  <c r="BE18" i="3"/>
  <c r="BH18" i="3"/>
  <c r="BJ18" i="3"/>
  <c r="BK18" i="3"/>
  <c r="M19" i="3"/>
  <c r="Q19" i="3"/>
  <c r="V19" i="3"/>
  <c r="W19" i="3"/>
  <c r="AB19" i="3"/>
  <c r="AD19" i="3"/>
  <c r="AQ19" i="3"/>
  <c r="AR19" i="3"/>
  <c r="AT19" i="3"/>
  <c r="AV19" i="3"/>
  <c r="BE19" i="3"/>
  <c r="BH19" i="3"/>
  <c r="BJ19" i="3"/>
  <c r="BK19" i="3"/>
  <c r="M20" i="3"/>
  <c r="Q20" i="3"/>
  <c r="V20" i="3"/>
  <c r="W20" i="3"/>
  <c r="AB20" i="3"/>
  <c r="AD20" i="3"/>
  <c r="AQ20" i="3"/>
  <c r="AR20" i="3"/>
  <c r="AT20" i="3"/>
  <c r="AV20" i="3"/>
  <c r="BE20" i="3"/>
  <c r="BH20" i="3"/>
  <c r="BJ20" i="3"/>
  <c r="BK20" i="3"/>
  <c r="M21" i="3"/>
  <c r="Q21" i="3"/>
  <c r="V21" i="3"/>
  <c r="W21" i="3"/>
  <c r="AB21" i="3"/>
  <c r="AD21" i="3"/>
  <c r="AQ21" i="3"/>
  <c r="AR21" i="3"/>
  <c r="AT21" i="3"/>
  <c r="AV21" i="3"/>
  <c r="BE21" i="3"/>
  <c r="BH21" i="3"/>
  <c r="BJ21" i="3"/>
  <c r="BK21" i="3"/>
  <c r="M22" i="3"/>
  <c r="Q22" i="3"/>
  <c r="V22" i="3"/>
  <c r="W22" i="3"/>
  <c r="AB22" i="3"/>
  <c r="AD22" i="3"/>
  <c r="AQ22" i="3"/>
  <c r="AR22" i="3"/>
  <c r="AT22" i="3"/>
  <c r="AV22" i="3"/>
  <c r="BE22" i="3"/>
  <c r="BH22" i="3"/>
  <c r="BJ22" i="3"/>
  <c r="BK22" i="3"/>
  <c r="M23" i="3"/>
  <c r="Q23" i="3"/>
  <c r="V23" i="3"/>
  <c r="W23" i="3"/>
  <c r="AB23" i="3"/>
  <c r="AD23" i="3"/>
  <c r="AQ23" i="3"/>
  <c r="AR23" i="3"/>
  <c r="AT23" i="3"/>
  <c r="AV23" i="3"/>
  <c r="BE23" i="3"/>
  <c r="BH23" i="3"/>
  <c r="BJ23" i="3"/>
  <c r="BK23" i="3"/>
  <c r="M24" i="3"/>
  <c r="Q24" i="3"/>
  <c r="V24" i="3"/>
  <c r="W24" i="3"/>
  <c r="AB24" i="3"/>
  <c r="AD24" i="3"/>
  <c r="AQ24" i="3"/>
  <c r="AR24" i="3"/>
  <c r="AT24" i="3"/>
  <c r="AV24" i="3"/>
  <c r="BE24" i="3"/>
  <c r="BH24" i="3"/>
  <c r="BJ24" i="3"/>
  <c r="BK24" i="3"/>
  <c r="M25" i="3"/>
  <c r="Q25" i="3"/>
  <c r="V25" i="3"/>
  <c r="W25" i="3"/>
  <c r="AB25" i="3"/>
  <c r="AD25" i="3"/>
  <c r="AQ25" i="3"/>
  <c r="AR25" i="3"/>
  <c r="AT25" i="3"/>
  <c r="AV25" i="3"/>
  <c r="BE25" i="3"/>
  <c r="BH25" i="3"/>
  <c r="BJ25" i="3"/>
  <c r="BK25" i="3"/>
  <c r="M26" i="3"/>
  <c r="Q26" i="3"/>
  <c r="V26" i="3"/>
  <c r="W26" i="3"/>
  <c r="AB26" i="3"/>
  <c r="AD26" i="3"/>
  <c r="AQ26" i="3"/>
  <c r="AR26" i="3"/>
  <c r="AT26" i="3"/>
  <c r="AV26" i="3"/>
  <c r="BE26" i="3"/>
  <c r="BH26" i="3"/>
  <c r="BJ26" i="3"/>
  <c r="BK26" i="3"/>
  <c r="M27" i="3"/>
  <c r="Q27" i="3"/>
  <c r="V27" i="3"/>
  <c r="W27" i="3"/>
  <c r="AB27" i="3"/>
  <c r="AD27" i="3"/>
  <c r="AQ27" i="3"/>
  <c r="AR27" i="3"/>
  <c r="AT27" i="3"/>
  <c r="AV27" i="3"/>
  <c r="BE27" i="3"/>
  <c r="BH27" i="3"/>
  <c r="BJ27" i="3"/>
  <c r="BK27" i="3"/>
  <c r="M28" i="3"/>
  <c r="Q28" i="3"/>
  <c r="V28" i="3"/>
  <c r="W28" i="3"/>
  <c r="AB28" i="3"/>
  <c r="AD28" i="3"/>
  <c r="AQ28" i="3"/>
  <c r="AR28" i="3"/>
  <c r="AT28" i="3"/>
  <c r="AV28" i="3"/>
  <c r="BE28" i="3"/>
  <c r="BH28" i="3"/>
  <c r="BJ28" i="3"/>
  <c r="BK28" i="3"/>
  <c r="M29" i="3"/>
  <c r="Q29" i="3"/>
  <c r="V29" i="3"/>
  <c r="W29" i="3"/>
  <c r="AB29" i="3"/>
  <c r="AD29" i="3"/>
  <c r="AQ29" i="3"/>
  <c r="AR29" i="3"/>
  <c r="AT29" i="3"/>
  <c r="AV29" i="3"/>
  <c r="BE29" i="3"/>
  <c r="BH29" i="3"/>
  <c r="BJ29" i="3"/>
  <c r="BK29" i="3"/>
  <c r="M30" i="3"/>
  <c r="Q30" i="3"/>
  <c r="V30" i="3"/>
  <c r="W30" i="3"/>
  <c r="AB30" i="3"/>
  <c r="AD30" i="3"/>
  <c r="AQ30" i="3"/>
  <c r="AR30" i="3"/>
  <c r="AT30" i="3"/>
  <c r="AV30" i="3"/>
  <c r="BE30" i="3"/>
  <c r="BH30" i="3"/>
  <c r="BJ30" i="3"/>
  <c r="BK30" i="3"/>
  <c r="M31" i="3"/>
  <c r="Q31" i="3"/>
  <c r="V31" i="3"/>
  <c r="W31" i="3"/>
  <c r="AB31" i="3"/>
  <c r="AD31" i="3"/>
  <c r="AQ31" i="3"/>
  <c r="AR31" i="3"/>
  <c r="AT31" i="3"/>
  <c r="AV31" i="3"/>
  <c r="BE31" i="3"/>
  <c r="BH31" i="3"/>
  <c r="BJ31" i="3"/>
  <c r="BK31" i="3"/>
  <c r="M32" i="3"/>
  <c r="Q32" i="3"/>
  <c r="V32" i="3"/>
  <c r="W32" i="3"/>
  <c r="AB32" i="3"/>
  <c r="AD32" i="3"/>
  <c r="AQ32" i="3"/>
  <c r="AR32" i="3"/>
  <c r="AT32" i="3"/>
  <c r="AV32" i="3"/>
  <c r="BE32" i="3"/>
  <c r="BH32" i="3"/>
  <c r="BJ32" i="3"/>
  <c r="BK32" i="3"/>
  <c r="M33" i="3"/>
  <c r="Q33" i="3"/>
  <c r="V33" i="3"/>
  <c r="W33" i="3"/>
  <c r="AB33" i="3"/>
  <c r="AD33" i="3"/>
  <c r="AQ33" i="3"/>
  <c r="AR33" i="3"/>
  <c r="AT33" i="3"/>
  <c r="AV33" i="3"/>
  <c r="BE33" i="3"/>
  <c r="BH33" i="3"/>
  <c r="BJ33" i="3"/>
  <c r="BK33" i="3"/>
  <c r="M34" i="3"/>
  <c r="Q34" i="3"/>
  <c r="V34" i="3"/>
  <c r="W34" i="3"/>
  <c r="AB34" i="3"/>
  <c r="AD34" i="3"/>
  <c r="AQ34" i="3"/>
  <c r="AR34" i="3"/>
  <c r="AT34" i="3"/>
  <c r="AV34" i="3"/>
  <c r="BE34" i="3"/>
  <c r="BH34" i="3"/>
  <c r="BJ34" i="3"/>
  <c r="BK34" i="3"/>
  <c r="M35" i="3"/>
  <c r="Q35" i="3"/>
  <c r="V35" i="3"/>
  <c r="W35" i="3"/>
  <c r="AB35" i="3"/>
  <c r="AD35" i="3"/>
  <c r="AQ35" i="3"/>
  <c r="AR35" i="3"/>
  <c r="AT35" i="3"/>
  <c r="AV35" i="3"/>
  <c r="BE35" i="3"/>
  <c r="BH35" i="3"/>
  <c r="BJ35" i="3"/>
  <c r="BK35" i="3"/>
  <c r="M36" i="3"/>
  <c r="Q36" i="3"/>
  <c r="V36" i="3"/>
  <c r="W36" i="3"/>
  <c r="AB36" i="3"/>
  <c r="AD36" i="3"/>
  <c r="AQ36" i="3"/>
  <c r="AR36" i="3"/>
  <c r="AT36" i="3"/>
  <c r="AV36" i="3"/>
  <c r="BE36" i="3"/>
  <c r="BH36" i="3"/>
  <c r="BJ36" i="3"/>
  <c r="BK36" i="3"/>
  <c r="M37" i="3"/>
  <c r="Q37" i="3"/>
  <c r="V37" i="3"/>
  <c r="W37" i="3"/>
  <c r="AB37" i="3"/>
  <c r="AD37" i="3"/>
  <c r="AQ37" i="3"/>
  <c r="AR37" i="3"/>
  <c r="AT37" i="3"/>
  <c r="AV37" i="3"/>
  <c r="BE37" i="3"/>
  <c r="BH37" i="3"/>
  <c r="BJ37" i="3"/>
  <c r="BK37" i="3"/>
  <c r="M38" i="3"/>
  <c r="Q38" i="3"/>
  <c r="V38" i="3"/>
  <c r="W38" i="3"/>
  <c r="AB38" i="3"/>
  <c r="AD38" i="3"/>
  <c r="AQ38" i="3"/>
  <c r="AR38" i="3"/>
  <c r="AT38" i="3"/>
  <c r="AV38" i="3"/>
  <c r="BE38" i="3"/>
  <c r="BH38" i="3"/>
  <c r="BJ38" i="3"/>
  <c r="BK38" i="3"/>
  <c r="M39" i="3"/>
  <c r="Q39" i="3"/>
  <c r="V39" i="3"/>
  <c r="W39" i="3"/>
  <c r="AB39" i="3"/>
  <c r="AQ92" i="3"/>
  <c r="AR92" i="3"/>
  <c r="AT92" i="3"/>
  <c r="W93" i="3"/>
  <c r="AQ93" i="3"/>
  <c r="AV93" i="3"/>
  <c r="BJ93" i="3"/>
  <c r="BK93" i="3"/>
  <c r="M94" i="3"/>
  <c r="V94" i="3"/>
  <c r="W94" i="3"/>
  <c r="AB94" i="3"/>
  <c r="AT94" i="3"/>
  <c r="BK94" i="3"/>
  <c r="Q95" i="3"/>
  <c r="AB95" i="3"/>
  <c r="AQ95" i="3"/>
  <c r="BH95" i="3"/>
  <c r="Q96" i="3"/>
  <c r="AB96" i="3"/>
  <c r="AV96" i="3"/>
  <c r="BE96" i="3"/>
  <c r="BK96" i="3"/>
  <c r="AR97" i="3"/>
  <c r="AV97" i="3"/>
  <c r="BH97" i="3"/>
  <c r="BK97" i="3"/>
  <c r="V98" i="3"/>
  <c r="AT98" i="3"/>
  <c r="BH98" i="3"/>
  <c r="M99" i="3"/>
  <c r="V99" i="3"/>
  <c r="W99" i="3"/>
  <c r="AT99" i="3"/>
  <c r="BE99" i="3"/>
  <c r="BK99" i="3"/>
  <c r="Q100" i="3"/>
  <c r="AB100" i="3"/>
  <c r="AQ100" i="3"/>
  <c r="V101" i="3"/>
  <c r="AB101" i="3"/>
  <c r="AQ101" i="3"/>
  <c r="AR101" i="3"/>
  <c r="AT101" i="3"/>
  <c r="BE101" i="3"/>
  <c r="BJ101" i="3"/>
  <c r="V102" i="3"/>
  <c r="AB102" i="3"/>
  <c r="AV102" i="3"/>
  <c r="BH102" i="3"/>
  <c r="M103" i="3"/>
  <c r="AB103" i="3"/>
  <c r="AR103" i="3"/>
  <c r="AT103" i="3"/>
  <c r="BK103" i="3"/>
  <c r="V104" i="3"/>
  <c r="BE104" i="3"/>
  <c r="AQ129" i="3"/>
  <c r="AV129" i="3"/>
  <c r="BK129" i="3"/>
  <c r="Q130" i="3"/>
  <c r="W130" i="3"/>
  <c r="AQ130" i="3"/>
  <c r="BK130" i="3"/>
  <c r="V131" i="3"/>
  <c r="BE131" i="3"/>
  <c r="BK131" i="3"/>
  <c r="M132" i="3"/>
  <c r="V132" i="3"/>
  <c r="AQ132" i="3"/>
  <c r="AR132" i="3"/>
  <c r="AT132" i="3"/>
  <c r="BE132" i="3"/>
  <c r="BH132" i="3"/>
  <c r="V133" i="3"/>
  <c r="AR133" i="3"/>
  <c r="AV133" i="3"/>
  <c r="BH133" i="3"/>
  <c r="M134" i="3"/>
  <c r="W134" i="3"/>
  <c r="AR134" i="3"/>
  <c r="BK134" i="3"/>
  <c r="V135" i="3"/>
  <c r="AR135" i="3"/>
  <c r="AT135" i="3"/>
  <c r="BH135" i="3"/>
  <c r="M136" i="3"/>
  <c r="V136" i="3"/>
  <c r="AQ136" i="3"/>
  <c r="BK136" i="3"/>
  <c r="V137" i="3"/>
  <c r="W137" i="3"/>
  <c r="AD137" i="3"/>
  <c r="AR137" i="3"/>
  <c r="AV137" i="3"/>
  <c r="BE137" i="3"/>
  <c r="BK137" i="3"/>
  <c r="Q138" i="3"/>
  <c r="AQ161" i="3"/>
  <c r="BE161" i="3"/>
  <c r="BK161" i="3"/>
  <c r="Q162" i="3"/>
  <c r="AB162" i="3"/>
  <c r="BK162" i="3"/>
  <c r="AB163" i="3"/>
  <c r="BH163" i="3"/>
  <c r="AR164" i="3"/>
  <c r="AT164" i="3"/>
  <c r="BJ164" i="3"/>
  <c r="Q165" i="3"/>
  <c r="AR165" i="3"/>
  <c r="BH165" i="3"/>
  <c r="W166" i="3"/>
  <c r="AQ166" i="3"/>
  <c r="BK166" i="3"/>
  <c r="BH167" i="3"/>
  <c r="V168" i="3"/>
  <c r="AV168" i="3"/>
  <c r="BK168" i="3"/>
  <c r="M169" i="3"/>
  <c r="V169" i="3"/>
  <c r="W169" i="3"/>
  <c r="AD169" i="3"/>
  <c r="BE169" i="3"/>
  <c r="BJ169" i="3"/>
  <c r="BK169" i="3"/>
  <c r="M170" i="3"/>
  <c r="Q170" i="3"/>
  <c r="AR170" i="3"/>
  <c r="BE170" i="3"/>
  <c r="BK170" i="3"/>
  <c r="V178" i="3"/>
  <c r="BK178" i="3"/>
  <c r="W179" i="3"/>
  <c r="AQ179" i="3"/>
  <c r="W180" i="3"/>
  <c r="BH180" i="3"/>
  <c r="W181" i="3"/>
  <c r="AB181" i="3"/>
  <c r="AR181" i="3"/>
  <c r="V182" i="3"/>
  <c r="AQ182" i="3"/>
  <c r="BE182" i="3"/>
  <c r="Q183" i="3"/>
  <c r="AT183" i="3"/>
  <c r="BE183" i="3"/>
  <c r="M184" i="3"/>
  <c r="Q184" i="3"/>
  <c r="W184" i="3"/>
  <c r="AR184" i="3"/>
  <c r="AV184" i="3"/>
  <c r="BE184" i="3"/>
  <c r="BJ184" i="3"/>
  <c r="M185" i="3"/>
  <c r="W185" i="3"/>
  <c r="AB185" i="3"/>
  <c r="AD185" i="3"/>
  <c r="AV185" i="3"/>
  <c r="V186" i="3"/>
  <c r="AV186" i="3"/>
  <c r="BH186" i="3"/>
  <c r="AD187" i="3"/>
  <c r="AR187" i="3"/>
  <c r="AV187" i="3"/>
  <c r="M188" i="3"/>
  <c r="V188" i="3"/>
  <c r="BH188" i="3"/>
  <c r="M189" i="3"/>
  <c r="W189" i="3"/>
  <c r="AQ189" i="3"/>
  <c r="AV189" i="3"/>
  <c r="BK189" i="3"/>
  <c r="Q190" i="3"/>
  <c r="AD190" i="3"/>
  <c r="AT190" i="3"/>
  <c r="BH190" i="3"/>
  <c r="W191" i="3"/>
  <c r="AT191" i="3"/>
  <c r="BH191" i="3"/>
  <c r="BJ191" i="3"/>
  <c r="W195" i="3"/>
  <c r="BE196" i="3"/>
  <c r="AT197" i="3"/>
  <c r="BJ197" i="3"/>
  <c r="V198" i="3"/>
  <c r="AR198" i="3"/>
  <c r="BE199" i="3"/>
  <c r="BH199" i="3"/>
  <c r="AT201" i="3"/>
  <c r="V202" i="3"/>
  <c r="AV202" i="3"/>
  <c r="BJ202" i="3"/>
  <c r="BK202" i="3"/>
  <c r="BH203" i="3"/>
  <c r="BK203" i="3"/>
  <c r="AD39" i="3"/>
  <c r="AQ39" i="3"/>
  <c r="AR39" i="3"/>
  <c r="AT39" i="3"/>
  <c r="AV39" i="3"/>
  <c r="BE39" i="3"/>
  <c r="BH39" i="3"/>
  <c r="BJ39" i="3"/>
  <c r="BK39" i="3"/>
  <c r="M40" i="3"/>
  <c r="Q40" i="3"/>
  <c r="V40" i="3"/>
  <c r="W40" i="3"/>
  <c r="AB40" i="3"/>
  <c r="AD40" i="3"/>
  <c r="AQ40" i="3"/>
  <c r="AR40" i="3"/>
  <c r="AT40" i="3"/>
  <c r="AV40" i="3"/>
  <c r="BE40" i="3"/>
  <c r="BH40" i="3"/>
  <c r="BJ40" i="3"/>
  <c r="BK40" i="3"/>
  <c r="M41" i="3"/>
  <c r="Q41" i="3"/>
  <c r="V41" i="3"/>
  <c r="W41" i="3"/>
  <c r="AB41" i="3"/>
  <c r="AD41" i="3"/>
  <c r="AQ41" i="3"/>
  <c r="AR41" i="3"/>
  <c r="AT41" i="3"/>
  <c r="AV41" i="3"/>
  <c r="BE41" i="3"/>
  <c r="BH41" i="3"/>
  <c r="BJ41" i="3"/>
  <c r="BK41" i="3"/>
  <c r="M42" i="3"/>
  <c r="Q42" i="3"/>
  <c r="V42" i="3"/>
  <c r="W42" i="3"/>
  <c r="AB42" i="3"/>
  <c r="AD42" i="3"/>
  <c r="AQ42" i="3"/>
  <c r="AR42" i="3"/>
  <c r="AT42" i="3"/>
  <c r="AV42" i="3"/>
  <c r="BE42" i="3"/>
  <c r="BH42" i="3"/>
  <c r="BJ42" i="3"/>
  <c r="BK42" i="3"/>
  <c r="M43" i="3"/>
  <c r="Q43" i="3"/>
  <c r="V43" i="3"/>
  <c r="W43" i="3"/>
  <c r="AB43" i="3"/>
  <c r="AD43" i="3"/>
  <c r="AQ43" i="3"/>
  <c r="AR43" i="3"/>
  <c r="AT43" i="3"/>
  <c r="AV43" i="3"/>
  <c r="BE43" i="3"/>
  <c r="BH43" i="3"/>
  <c r="BJ43" i="3"/>
  <c r="BK43" i="3"/>
  <c r="M44" i="3"/>
  <c r="Q44" i="3"/>
  <c r="V44" i="3"/>
  <c r="W44" i="3"/>
  <c r="AB44" i="3"/>
  <c r="AD44" i="3"/>
  <c r="AQ44" i="3"/>
  <c r="AR44" i="3"/>
  <c r="AT44" i="3"/>
  <c r="AV44" i="3"/>
  <c r="BE44" i="3"/>
  <c r="BH44" i="3"/>
  <c r="BJ44" i="3"/>
  <c r="BK44" i="3"/>
  <c r="M45" i="3"/>
  <c r="Q45" i="3"/>
  <c r="V45" i="3"/>
  <c r="W45" i="3"/>
  <c r="AB45" i="3"/>
  <c r="AD45" i="3"/>
  <c r="AQ45" i="3"/>
  <c r="AR45" i="3"/>
  <c r="AT45" i="3"/>
  <c r="AV45" i="3"/>
  <c r="BE45" i="3"/>
  <c r="BH45" i="3"/>
  <c r="BJ45" i="3"/>
  <c r="BK45" i="3"/>
  <c r="M46" i="3"/>
  <c r="Q46" i="3"/>
  <c r="V46" i="3"/>
  <c r="W46" i="3"/>
  <c r="AB46" i="3"/>
  <c r="AD46" i="3"/>
  <c r="AQ46" i="3"/>
  <c r="AR46" i="3"/>
  <c r="AT46" i="3"/>
  <c r="AV46" i="3"/>
  <c r="BE46" i="3"/>
  <c r="BH46" i="3"/>
  <c r="BJ46" i="3"/>
  <c r="BK46" i="3"/>
  <c r="M47" i="3"/>
  <c r="Q47" i="3"/>
  <c r="V47" i="3"/>
  <c r="W47" i="3"/>
  <c r="AB47" i="3"/>
  <c r="AD47" i="3"/>
  <c r="AQ47" i="3"/>
  <c r="AR47" i="3"/>
  <c r="AT47" i="3"/>
  <c r="AV47" i="3"/>
  <c r="BE47" i="3"/>
  <c r="BH47" i="3"/>
  <c r="BJ47" i="3"/>
  <c r="BK47" i="3"/>
  <c r="M48" i="3"/>
  <c r="Q48" i="3"/>
  <c r="V48" i="3"/>
  <c r="W48" i="3"/>
  <c r="AB48" i="3"/>
  <c r="AD48" i="3"/>
  <c r="AQ48" i="3"/>
  <c r="AR48" i="3"/>
  <c r="AT48" i="3"/>
  <c r="AV48" i="3"/>
  <c r="BE48" i="3"/>
  <c r="BH48" i="3"/>
  <c r="BJ48" i="3"/>
  <c r="BK48" i="3"/>
  <c r="M49" i="3"/>
  <c r="Q49" i="3"/>
  <c r="V49" i="3"/>
  <c r="W49" i="3"/>
  <c r="AB49" i="3"/>
  <c r="AD49" i="3"/>
  <c r="AQ49" i="3"/>
  <c r="AR49" i="3"/>
  <c r="AT49" i="3"/>
  <c r="AV49" i="3"/>
  <c r="BE49" i="3"/>
  <c r="BH49" i="3"/>
  <c r="BJ49" i="3"/>
  <c r="BK49" i="3"/>
  <c r="M50" i="3"/>
  <c r="Q50" i="3"/>
  <c r="V50" i="3"/>
  <c r="W50" i="3"/>
  <c r="AB50" i="3"/>
  <c r="AD50" i="3"/>
  <c r="AQ50" i="3"/>
  <c r="AR50" i="3"/>
  <c r="AT50" i="3"/>
  <c r="AV50" i="3"/>
  <c r="BE50" i="3"/>
  <c r="BH50" i="3"/>
  <c r="BJ50" i="3"/>
  <c r="BK50" i="3"/>
  <c r="M51" i="3"/>
  <c r="Q51" i="3"/>
  <c r="V51" i="3"/>
  <c r="W51" i="3"/>
  <c r="AB51" i="3"/>
  <c r="AD51" i="3"/>
  <c r="AQ51" i="3"/>
  <c r="AR51" i="3"/>
  <c r="AT51" i="3"/>
  <c r="AV51" i="3"/>
  <c r="BE51" i="3"/>
  <c r="BH51" i="3"/>
  <c r="BJ51" i="3"/>
  <c r="BK51" i="3"/>
  <c r="M52" i="3"/>
  <c r="Q52" i="3"/>
  <c r="V52" i="3"/>
  <c r="W52" i="3"/>
  <c r="AB52" i="3"/>
  <c r="AD52" i="3"/>
  <c r="AQ52" i="3"/>
  <c r="AR52" i="3"/>
  <c r="AT52" i="3"/>
  <c r="AV52" i="3"/>
  <c r="BE52" i="3"/>
  <c r="BH52" i="3"/>
  <c r="BJ52" i="3"/>
  <c r="BK52" i="3"/>
  <c r="M53" i="3"/>
  <c r="Q53" i="3"/>
  <c r="V53" i="3"/>
  <c r="W53" i="3"/>
  <c r="AB53" i="3"/>
  <c r="AD53" i="3"/>
  <c r="AQ53" i="3"/>
  <c r="AR53" i="3"/>
  <c r="AT53" i="3"/>
  <c r="AV53" i="3"/>
  <c r="BE53" i="3"/>
  <c r="BH53" i="3"/>
  <c r="BJ53" i="3"/>
  <c r="BK53" i="3"/>
  <c r="M54" i="3"/>
  <c r="Q54" i="3"/>
  <c r="V54" i="3"/>
  <c r="W54" i="3"/>
  <c r="AB54" i="3"/>
  <c r="AD54" i="3"/>
  <c r="AQ54" i="3"/>
  <c r="AR54" i="3"/>
  <c r="AT54" i="3"/>
  <c r="AV54" i="3"/>
  <c r="BE54" i="3"/>
  <c r="BH54" i="3"/>
  <c r="BJ54" i="3"/>
  <c r="BK54" i="3"/>
  <c r="M55" i="3"/>
  <c r="Q55" i="3"/>
  <c r="V55" i="3"/>
  <c r="W55" i="3"/>
  <c r="AB55" i="3"/>
  <c r="AD55" i="3"/>
  <c r="AQ55" i="3"/>
  <c r="AR55" i="3"/>
  <c r="AT55" i="3"/>
  <c r="AV55" i="3"/>
  <c r="BE55" i="3"/>
  <c r="BH55" i="3"/>
  <c r="BJ55" i="3"/>
  <c r="BK55" i="3"/>
  <c r="M56" i="3"/>
  <c r="Q56" i="3"/>
  <c r="V56" i="3"/>
  <c r="W56" i="3"/>
  <c r="AB56" i="3"/>
  <c r="AD56" i="3"/>
  <c r="AQ56" i="3"/>
  <c r="AR56" i="3"/>
  <c r="AT56" i="3"/>
  <c r="AV56" i="3"/>
  <c r="BE56" i="3"/>
  <c r="BH56" i="3"/>
  <c r="BJ56" i="3"/>
  <c r="BK56" i="3"/>
  <c r="M57" i="3"/>
  <c r="Q57" i="3"/>
  <c r="V57" i="3"/>
  <c r="W57" i="3"/>
  <c r="AB57" i="3"/>
  <c r="AD57" i="3"/>
  <c r="AQ57" i="3"/>
  <c r="AR57" i="3"/>
  <c r="AT57" i="3"/>
  <c r="AV57" i="3"/>
  <c r="BE57" i="3"/>
  <c r="BH57" i="3"/>
  <c r="BJ57" i="3"/>
  <c r="BK57" i="3"/>
  <c r="M58" i="3"/>
  <c r="Q58" i="3"/>
  <c r="V58" i="3"/>
  <c r="W58" i="3"/>
  <c r="AB58" i="3"/>
  <c r="AD58" i="3"/>
  <c r="AQ58" i="3"/>
  <c r="AR58" i="3"/>
  <c r="AT58" i="3"/>
  <c r="AV58" i="3"/>
  <c r="BE58" i="3"/>
  <c r="BH58" i="3"/>
  <c r="BJ58" i="3"/>
  <c r="BK58" i="3"/>
  <c r="M59" i="3"/>
  <c r="Q59" i="3"/>
  <c r="V59" i="3"/>
  <c r="W59" i="3"/>
  <c r="AB59" i="3"/>
  <c r="AD59" i="3"/>
  <c r="AQ59" i="3"/>
  <c r="AR59" i="3"/>
  <c r="AT59" i="3"/>
  <c r="AV59" i="3"/>
  <c r="BE59" i="3"/>
  <c r="BH59" i="3"/>
  <c r="BJ59" i="3"/>
  <c r="BK59" i="3"/>
  <c r="M60" i="3"/>
  <c r="Q60" i="3"/>
  <c r="V60" i="3"/>
  <c r="W60" i="3"/>
  <c r="AB60" i="3"/>
  <c r="AD60" i="3"/>
  <c r="AQ60" i="3"/>
  <c r="AR60" i="3"/>
  <c r="AT60" i="3"/>
  <c r="AV60" i="3"/>
  <c r="BE60" i="3"/>
  <c r="BH60" i="3"/>
  <c r="BJ60" i="3"/>
  <c r="BK60" i="3"/>
  <c r="M61" i="3"/>
  <c r="Q61" i="3"/>
  <c r="V61" i="3"/>
  <c r="W61" i="3"/>
  <c r="AB61" i="3"/>
  <c r="AD61" i="3"/>
  <c r="AQ61" i="3"/>
  <c r="AR61" i="3"/>
  <c r="AT61" i="3"/>
  <c r="AV61" i="3"/>
  <c r="BE61" i="3"/>
  <c r="BH61" i="3"/>
  <c r="BJ61" i="3"/>
  <c r="BK61" i="3"/>
  <c r="M62" i="3"/>
  <c r="Q62" i="3"/>
  <c r="V62" i="3"/>
  <c r="W62" i="3"/>
  <c r="AB62" i="3"/>
  <c r="AD62" i="3"/>
  <c r="AQ62" i="3"/>
  <c r="AR62" i="3"/>
  <c r="AT62" i="3"/>
  <c r="AV62" i="3"/>
  <c r="BE62" i="3"/>
  <c r="BH62" i="3"/>
  <c r="BJ62" i="3"/>
  <c r="BK62" i="3"/>
  <c r="M63" i="3"/>
  <c r="Q63" i="3"/>
  <c r="V63" i="3"/>
  <c r="W63" i="3"/>
  <c r="AB63" i="3"/>
  <c r="AD63" i="3"/>
  <c r="AQ63" i="3"/>
  <c r="AR63" i="3"/>
  <c r="AT63" i="3"/>
  <c r="AV63" i="3"/>
  <c r="BE63" i="3"/>
  <c r="BH63" i="3"/>
  <c r="BJ63" i="3"/>
  <c r="BK63" i="3"/>
  <c r="M64" i="3"/>
  <c r="Q64" i="3"/>
  <c r="V64" i="3"/>
  <c r="W64" i="3"/>
  <c r="AB64" i="3"/>
  <c r="AD64" i="3"/>
  <c r="AQ64" i="3"/>
  <c r="AR64" i="3"/>
  <c r="AT64" i="3"/>
  <c r="AV64" i="3"/>
  <c r="BE64" i="3"/>
  <c r="BH64" i="3"/>
  <c r="BJ64" i="3"/>
  <c r="BK64" i="3"/>
  <c r="M65" i="3"/>
  <c r="Q65" i="3"/>
  <c r="V65" i="3"/>
  <c r="W65" i="3"/>
  <c r="AB65" i="3"/>
  <c r="AD65" i="3"/>
  <c r="AQ65" i="3"/>
  <c r="AR65" i="3"/>
  <c r="AT65" i="3"/>
  <c r="AV65" i="3"/>
  <c r="BE65" i="3"/>
  <c r="BH65" i="3"/>
  <c r="BJ65" i="3"/>
  <c r="BK65" i="3"/>
  <c r="M66" i="3"/>
  <c r="Q66" i="3"/>
  <c r="V66" i="3"/>
  <c r="W66" i="3"/>
  <c r="AB66" i="3"/>
  <c r="AD66" i="3"/>
  <c r="AQ66" i="3"/>
  <c r="AR66" i="3"/>
  <c r="AT66" i="3"/>
  <c r="AV66" i="3"/>
  <c r="BE66" i="3"/>
  <c r="BH66" i="3"/>
  <c r="BJ66" i="3"/>
  <c r="BK66" i="3"/>
  <c r="M67" i="3"/>
  <c r="Q67" i="3"/>
  <c r="V67" i="3"/>
  <c r="W67" i="3"/>
  <c r="AB67" i="3"/>
  <c r="AD67" i="3"/>
  <c r="AQ67" i="3"/>
  <c r="AR67" i="3"/>
  <c r="AT67" i="3"/>
  <c r="AV67" i="3"/>
  <c r="BE67" i="3"/>
  <c r="BH67" i="3"/>
  <c r="BJ67" i="3"/>
  <c r="BK67" i="3"/>
  <c r="M68" i="3"/>
  <c r="Q68" i="3"/>
  <c r="V68" i="3"/>
  <c r="W68" i="3"/>
  <c r="AB68" i="3"/>
  <c r="AD68" i="3"/>
  <c r="AQ68" i="3"/>
  <c r="AR68" i="3"/>
  <c r="AT68" i="3"/>
  <c r="AV68" i="3"/>
  <c r="BE68" i="3"/>
  <c r="BH68" i="3"/>
  <c r="BJ68" i="3"/>
  <c r="BK68" i="3"/>
  <c r="M69" i="3"/>
  <c r="Q69" i="3"/>
  <c r="V69" i="3"/>
  <c r="W69" i="3"/>
  <c r="AB69" i="3"/>
  <c r="AD69" i="3"/>
  <c r="AQ69" i="3"/>
  <c r="AR69" i="3"/>
  <c r="AT69" i="3"/>
  <c r="AV69" i="3"/>
  <c r="BE69" i="3"/>
  <c r="BH69" i="3"/>
  <c r="BJ69" i="3"/>
  <c r="BK69" i="3"/>
  <c r="M70" i="3"/>
  <c r="Q70" i="3"/>
  <c r="V70" i="3"/>
  <c r="W70" i="3"/>
  <c r="AB70" i="3"/>
  <c r="AD70" i="3"/>
  <c r="AQ70" i="3"/>
  <c r="AR70" i="3"/>
  <c r="AT70" i="3"/>
  <c r="AV70" i="3"/>
  <c r="BE70" i="3"/>
  <c r="BH70" i="3"/>
  <c r="BJ70" i="3"/>
  <c r="BK70" i="3"/>
  <c r="M71" i="3"/>
  <c r="Q71" i="3"/>
  <c r="V71" i="3"/>
  <c r="W71" i="3"/>
  <c r="AB71" i="3"/>
  <c r="AD71" i="3"/>
  <c r="AQ71" i="3"/>
  <c r="AR71" i="3"/>
  <c r="AT71" i="3"/>
  <c r="AV71" i="3"/>
  <c r="BE71" i="3"/>
  <c r="BH71" i="3"/>
  <c r="BJ71" i="3"/>
  <c r="BK71" i="3"/>
  <c r="M72" i="3"/>
  <c r="Q72" i="3"/>
  <c r="V72" i="3"/>
  <c r="W72" i="3"/>
  <c r="V87" i="3"/>
  <c r="AD87" i="3"/>
  <c r="AQ87" i="3"/>
  <c r="AV87" i="3"/>
  <c r="BE87" i="3"/>
  <c r="BJ87" i="3"/>
  <c r="Q88" i="3"/>
  <c r="W88" i="3"/>
  <c r="AB88" i="3"/>
  <c r="AQ88" i="3"/>
  <c r="AT88" i="3"/>
  <c r="BH88" i="3"/>
  <c r="BK88" i="3"/>
  <c r="Q89" i="3"/>
  <c r="W89" i="3"/>
  <c r="AD89" i="3"/>
  <c r="AQ89" i="3"/>
  <c r="AT89" i="3"/>
  <c r="BE89" i="3"/>
  <c r="BJ89" i="3"/>
  <c r="Q90" i="3"/>
  <c r="V90" i="3"/>
  <c r="AD90" i="3"/>
  <c r="AQ90" i="3"/>
  <c r="AT90" i="3"/>
  <c r="BH90" i="3"/>
  <c r="BK90" i="3"/>
  <c r="Q91" i="3"/>
  <c r="W91" i="3"/>
  <c r="AB91" i="3"/>
  <c r="AD91" i="3"/>
  <c r="AR91" i="3"/>
  <c r="AT91" i="3"/>
  <c r="BH91" i="3"/>
  <c r="BK91" i="3"/>
  <c r="Q92" i="3"/>
  <c r="AD92" i="3"/>
  <c r="BE92" i="3"/>
  <c r="BK92" i="3"/>
  <c r="M93" i="3"/>
  <c r="Q93" i="3"/>
  <c r="AR93" i="3"/>
  <c r="BH93" i="3"/>
  <c r="Q94" i="3"/>
  <c r="AR94" i="3"/>
  <c r="BE94" i="3"/>
  <c r="BJ94" i="3"/>
  <c r="M95" i="3"/>
  <c r="V95" i="3"/>
  <c r="W95" i="3"/>
  <c r="AD95" i="3"/>
  <c r="AR95" i="3"/>
  <c r="AV95" i="3"/>
  <c r="V96" i="3"/>
  <c r="AQ96" i="3"/>
  <c r="AR96" i="3"/>
  <c r="AT96" i="3"/>
  <c r="BJ96" i="3"/>
  <c r="M97" i="3"/>
  <c r="Q97" i="3"/>
  <c r="W97" i="3"/>
  <c r="AB97" i="3"/>
  <c r="AT97" i="3"/>
  <c r="AD98" i="3"/>
  <c r="AR98" i="3"/>
  <c r="BE98" i="3"/>
  <c r="BK98" i="3"/>
  <c r="Q99" i="3"/>
  <c r="AB99" i="3"/>
  <c r="AQ99" i="3"/>
  <c r="BH99" i="3"/>
  <c r="M100" i="3"/>
  <c r="V100" i="3"/>
  <c r="W100" i="3"/>
  <c r="AR100" i="3"/>
  <c r="AV100" i="3"/>
  <c r="BH100" i="3"/>
  <c r="M101" i="3"/>
  <c r="W101" i="3"/>
  <c r="AD101" i="3"/>
  <c r="BH101" i="3"/>
  <c r="M102" i="3"/>
  <c r="W102" i="3"/>
  <c r="AD102" i="3"/>
  <c r="AQ102" i="3"/>
  <c r="AR102" i="3"/>
  <c r="AT102" i="3"/>
  <c r="BE102" i="3"/>
  <c r="BJ102" i="3"/>
  <c r="Q103" i="3"/>
  <c r="V103" i="3"/>
  <c r="W103" i="3"/>
  <c r="AQ103" i="3"/>
  <c r="BH103" i="3"/>
  <c r="M104" i="3"/>
  <c r="W104" i="3"/>
  <c r="AD104" i="3"/>
  <c r="AR104" i="3"/>
  <c r="AT104" i="3"/>
  <c r="BH104" i="3"/>
  <c r="BJ104" i="3"/>
  <c r="M105" i="3"/>
  <c r="AR129" i="3"/>
  <c r="AT129" i="3"/>
  <c r="BJ129" i="3"/>
  <c r="AD130" i="3"/>
  <c r="AR130" i="3"/>
  <c r="AT130" i="3"/>
  <c r="BH130" i="3"/>
  <c r="BJ130" i="3"/>
  <c r="M131" i="3"/>
  <c r="AB131" i="3"/>
  <c r="AD131" i="3"/>
  <c r="AT131" i="3"/>
  <c r="BH131" i="3"/>
  <c r="W132" i="3"/>
  <c r="AV132" i="3"/>
  <c r="Q133" i="3"/>
  <c r="AD133" i="3"/>
  <c r="AT133" i="3"/>
  <c r="BJ133" i="3"/>
  <c r="Q134" i="3"/>
  <c r="AB134" i="3"/>
  <c r="AD134" i="3"/>
  <c r="AQ134" i="3"/>
  <c r="AV134" i="3"/>
  <c r="BE134" i="3"/>
  <c r="BJ134" i="3"/>
  <c r="M135" i="3"/>
  <c r="Q135" i="3"/>
  <c r="W135" i="3"/>
  <c r="AB135" i="3"/>
  <c r="AD135" i="3"/>
  <c r="BJ135" i="3"/>
  <c r="AD136" i="3"/>
  <c r="AT136" i="3"/>
  <c r="AB137" i="3"/>
  <c r="AT137" i="3"/>
  <c r="BH137" i="3"/>
  <c r="AD161" i="3"/>
  <c r="AR161" i="3"/>
  <c r="AV161" i="3"/>
  <c r="AQ162" i="3"/>
  <c r="V163" i="3"/>
  <c r="AR163" i="3"/>
  <c r="BK163" i="3"/>
  <c r="M164" i="3"/>
  <c r="W164" i="3"/>
  <c r="AB164" i="3"/>
  <c r="BH164" i="3"/>
  <c r="BK164" i="3"/>
  <c r="M165" i="3"/>
  <c r="V165" i="3"/>
  <c r="W165" i="3"/>
  <c r="AB165" i="3"/>
  <c r="AD165" i="3"/>
  <c r="AV165" i="3"/>
  <c r="BE165" i="3"/>
  <c r="BJ165" i="3"/>
  <c r="AD166" i="3"/>
  <c r="AV166" i="3"/>
  <c r="BE166" i="3"/>
  <c r="M167" i="3"/>
  <c r="V167" i="3"/>
  <c r="W167" i="3"/>
  <c r="AD167" i="3"/>
  <c r="AR167" i="3"/>
  <c r="AT167" i="3"/>
  <c r="BJ167" i="3"/>
  <c r="Q168" i="3"/>
  <c r="AD168" i="3"/>
  <c r="AR168" i="3"/>
  <c r="BJ168" i="3"/>
  <c r="AQ169" i="3"/>
  <c r="AV169" i="3"/>
  <c r="W170" i="3"/>
  <c r="AD170" i="3"/>
  <c r="AV170" i="3"/>
  <c r="BH170" i="3"/>
  <c r="M178" i="3"/>
  <c r="AQ178" i="3"/>
  <c r="AR178" i="3"/>
  <c r="BJ178" i="3"/>
  <c r="M179" i="3"/>
  <c r="V179" i="3"/>
  <c r="AD179" i="3"/>
  <c r="AR179" i="3"/>
  <c r="AT179" i="3"/>
  <c r="BH179" i="3"/>
  <c r="AB180" i="3"/>
  <c r="AR180" i="3"/>
  <c r="AT180" i="3"/>
  <c r="BE180" i="3"/>
  <c r="M181" i="3"/>
  <c r="V181" i="3"/>
  <c r="AV181" i="3"/>
  <c r="BJ181" i="3"/>
  <c r="AR182" i="3"/>
  <c r="AV182" i="3"/>
  <c r="W183" i="3"/>
  <c r="AB183" i="3"/>
  <c r="AR183" i="3"/>
  <c r="AV183" i="3"/>
  <c r="BK184" i="3"/>
  <c r="Q185" i="3"/>
  <c r="AT185" i="3"/>
  <c r="BE185" i="3"/>
  <c r="BK185" i="3"/>
  <c r="AD186" i="3"/>
  <c r="AR186" i="3"/>
  <c r="M187" i="3"/>
  <c r="Q187" i="3"/>
  <c r="W187" i="3"/>
  <c r="AT187" i="3"/>
  <c r="BK187" i="3"/>
  <c r="Q188" i="3"/>
  <c r="W188" i="3"/>
  <c r="Q189" i="3"/>
  <c r="BE189" i="3"/>
  <c r="BH189" i="3"/>
  <c r="V190" i="3"/>
  <c r="AD192" i="3"/>
  <c r="AT192" i="3"/>
  <c r="BH192" i="3"/>
  <c r="V193" i="3"/>
  <c r="AD193" i="3"/>
  <c r="AQ193" i="3"/>
  <c r="AV193" i="3"/>
  <c r="AB194" i="3"/>
  <c r="AV194" i="3"/>
  <c r="BE194" i="3"/>
  <c r="V195" i="3"/>
  <c r="AV195" i="3"/>
  <c r="BE195" i="3"/>
  <c r="BH195" i="3"/>
  <c r="BJ195" i="3"/>
  <c r="BK195" i="3"/>
  <c r="AB196" i="3"/>
  <c r="BH196" i="3"/>
  <c r="Q197" i="3"/>
  <c r="BJ198" i="3"/>
  <c r="BK198" i="3"/>
  <c r="V199" i="3"/>
  <c r="W199" i="3"/>
  <c r="AB199" i="3"/>
  <c r="AV199" i="3"/>
  <c r="BK199" i="3"/>
  <c r="AQ200" i="3"/>
  <c r="BH200" i="3"/>
  <c r="M201" i="3"/>
  <c r="W201" i="3"/>
  <c r="AV201" i="3"/>
  <c r="BH201" i="3"/>
  <c r="M202" i="3"/>
  <c r="BH202" i="3"/>
  <c r="AD203" i="3"/>
  <c r="AB72" i="3"/>
  <c r="AD72" i="3"/>
  <c r="AQ72" i="3"/>
  <c r="AR72" i="3"/>
  <c r="AT72" i="3"/>
  <c r="AV72" i="3"/>
  <c r="BE72" i="3"/>
  <c r="BH72" i="3"/>
  <c r="BJ72" i="3"/>
  <c r="BK72" i="3"/>
  <c r="M73" i="3"/>
  <c r="Q73" i="3"/>
  <c r="V73" i="3"/>
  <c r="W73" i="3"/>
  <c r="AB73" i="3"/>
  <c r="AD73" i="3"/>
  <c r="AQ73" i="3"/>
  <c r="AR73" i="3"/>
  <c r="AT73" i="3"/>
  <c r="AV73" i="3"/>
  <c r="BE73" i="3"/>
  <c r="BH73" i="3"/>
  <c r="BJ73" i="3"/>
  <c r="BK73" i="3"/>
  <c r="M74" i="3"/>
  <c r="Q74" i="3"/>
  <c r="V74" i="3"/>
  <c r="W74" i="3"/>
  <c r="AB74" i="3"/>
  <c r="AD74" i="3"/>
  <c r="AQ74" i="3"/>
  <c r="AR74" i="3"/>
  <c r="AT74" i="3"/>
  <c r="AV74" i="3"/>
  <c r="BE74" i="3"/>
  <c r="BH74" i="3"/>
  <c r="BJ74" i="3"/>
  <c r="BK74" i="3"/>
  <c r="M75" i="3"/>
  <c r="Q75" i="3"/>
  <c r="V75" i="3"/>
  <c r="W75" i="3"/>
  <c r="AB75" i="3"/>
  <c r="AD75" i="3"/>
  <c r="AQ75" i="3"/>
  <c r="AR75" i="3"/>
  <c r="AT75" i="3"/>
  <c r="AV75" i="3"/>
  <c r="BE75" i="3"/>
  <c r="BH75" i="3"/>
  <c r="BJ75" i="3"/>
  <c r="BK75" i="3"/>
  <c r="M76" i="3"/>
  <c r="Q76" i="3"/>
  <c r="V76" i="3"/>
  <c r="W76" i="3"/>
  <c r="AB76" i="3"/>
  <c r="AD76" i="3"/>
  <c r="AQ76" i="3"/>
  <c r="AR76" i="3"/>
  <c r="AT76" i="3"/>
  <c r="AV76" i="3"/>
  <c r="BE76" i="3"/>
  <c r="BH76" i="3"/>
  <c r="BJ76" i="3"/>
  <c r="BK76" i="3"/>
  <c r="M77" i="3"/>
  <c r="Q77" i="3"/>
  <c r="V77" i="3"/>
  <c r="W77" i="3"/>
  <c r="AB77" i="3"/>
  <c r="AD77" i="3"/>
  <c r="AQ77" i="3"/>
  <c r="AR77" i="3"/>
  <c r="AT77" i="3"/>
  <c r="AV77" i="3"/>
  <c r="BE77" i="3"/>
  <c r="BH77" i="3"/>
  <c r="BJ77" i="3"/>
  <c r="BK77" i="3"/>
  <c r="M78" i="3"/>
  <c r="Q78" i="3"/>
  <c r="V78" i="3"/>
  <c r="W78" i="3"/>
  <c r="AB78" i="3"/>
  <c r="AD78" i="3"/>
  <c r="AQ78" i="3"/>
  <c r="AR78" i="3"/>
  <c r="AT78" i="3"/>
  <c r="AV78" i="3"/>
  <c r="BE78" i="3"/>
  <c r="BH78" i="3"/>
  <c r="BJ78" i="3"/>
  <c r="BK78" i="3"/>
  <c r="M79" i="3"/>
  <c r="Q79" i="3"/>
  <c r="V79" i="3"/>
  <c r="W79" i="3"/>
  <c r="AB79" i="3"/>
  <c r="AD79" i="3"/>
  <c r="AQ79" i="3"/>
  <c r="AR79" i="3"/>
  <c r="AT79" i="3"/>
  <c r="AV79" i="3"/>
  <c r="BE79" i="3"/>
  <c r="BH79" i="3"/>
  <c r="BJ79" i="3"/>
  <c r="BK79" i="3"/>
  <c r="M80" i="3"/>
  <c r="Q80" i="3"/>
  <c r="V80" i="3"/>
  <c r="W80" i="3"/>
  <c r="AB80" i="3"/>
  <c r="AD80" i="3"/>
  <c r="AQ80" i="3"/>
  <c r="AR80" i="3"/>
  <c r="AT80" i="3"/>
  <c r="AV80" i="3"/>
  <c r="BE80" i="3"/>
  <c r="BH80" i="3"/>
  <c r="BJ80" i="3"/>
  <c r="BK80" i="3"/>
  <c r="M81" i="3"/>
  <c r="Q81" i="3"/>
  <c r="V81" i="3"/>
  <c r="W81" i="3"/>
  <c r="AB81" i="3"/>
  <c r="AD81" i="3"/>
  <c r="AQ81" i="3"/>
  <c r="AR81" i="3"/>
  <c r="AT81" i="3"/>
  <c r="AV81" i="3"/>
  <c r="BE81" i="3"/>
  <c r="BH81" i="3"/>
  <c r="BJ81" i="3"/>
  <c r="BK81" i="3"/>
  <c r="M82" i="3"/>
  <c r="Q82" i="3"/>
  <c r="V82" i="3"/>
  <c r="W82" i="3"/>
  <c r="AB82" i="3"/>
  <c r="AD82" i="3"/>
  <c r="AQ82" i="3"/>
  <c r="AR82" i="3"/>
  <c r="AT82" i="3"/>
  <c r="AV82" i="3"/>
  <c r="BE82" i="3"/>
  <c r="BH82" i="3"/>
  <c r="BJ82" i="3"/>
  <c r="BK82" i="3"/>
  <c r="M83" i="3"/>
  <c r="Q83" i="3"/>
  <c r="V83" i="3"/>
  <c r="W83" i="3"/>
  <c r="AB83" i="3"/>
  <c r="AD83" i="3"/>
  <c r="AQ83" i="3"/>
  <c r="AR83" i="3"/>
  <c r="AT83" i="3"/>
  <c r="AV83" i="3"/>
  <c r="BE83" i="3"/>
  <c r="BH83" i="3"/>
  <c r="BJ83" i="3"/>
  <c r="BK83" i="3"/>
  <c r="M84" i="3"/>
  <c r="Q84" i="3"/>
  <c r="V84" i="3"/>
  <c r="W84" i="3"/>
  <c r="AB84" i="3"/>
  <c r="AD84" i="3"/>
  <c r="AQ84" i="3"/>
  <c r="AR84" i="3"/>
  <c r="AT84" i="3"/>
  <c r="AV84" i="3"/>
  <c r="BE84" i="3"/>
  <c r="BH84" i="3"/>
  <c r="BJ84" i="3"/>
  <c r="BK84" i="3"/>
  <c r="M85" i="3"/>
  <c r="Q85" i="3"/>
  <c r="V85" i="3"/>
  <c r="W85" i="3"/>
  <c r="AB85" i="3"/>
  <c r="AD85" i="3"/>
  <c r="AQ85" i="3"/>
  <c r="AR85" i="3"/>
  <c r="AT85" i="3"/>
  <c r="AV85" i="3"/>
  <c r="BE85" i="3"/>
  <c r="BH85" i="3"/>
  <c r="BJ85" i="3"/>
  <c r="BK85" i="3"/>
  <c r="M86" i="3"/>
  <c r="Q86" i="3"/>
  <c r="V86" i="3"/>
  <c r="W86" i="3"/>
  <c r="AB86" i="3"/>
  <c r="AD86" i="3"/>
  <c r="AQ86" i="3"/>
  <c r="AR86" i="3"/>
  <c r="AT86" i="3"/>
  <c r="AV86" i="3"/>
  <c r="BE86" i="3"/>
  <c r="BH86" i="3"/>
  <c r="BJ86" i="3"/>
  <c r="BK86" i="3"/>
  <c r="M87" i="3"/>
  <c r="Q87" i="3"/>
  <c r="W87" i="3"/>
  <c r="AB87" i="3"/>
  <c r="AR87" i="3"/>
  <c r="AT87" i="3"/>
  <c r="BH87" i="3"/>
  <c r="BK87" i="3"/>
  <c r="M88" i="3"/>
  <c r="V88" i="3"/>
  <c r="AD88" i="3"/>
  <c r="AR88" i="3"/>
  <c r="AV88" i="3"/>
  <c r="BE88" i="3"/>
  <c r="BJ88" i="3"/>
  <c r="M89" i="3"/>
  <c r="V89" i="3"/>
  <c r="AB89" i="3"/>
  <c r="AR89" i="3"/>
  <c r="AV89" i="3"/>
  <c r="BH89" i="3"/>
  <c r="BK89" i="3"/>
  <c r="M90" i="3"/>
  <c r="W90" i="3"/>
  <c r="AB90" i="3"/>
  <c r="AR90" i="3"/>
  <c r="AV90" i="3"/>
  <c r="BE90" i="3"/>
  <c r="BJ90" i="3"/>
  <c r="M91" i="3"/>
  <c r="V91" i="3"/>
  <c r="AQ91" i="3"/>
  <c r="AV91" i="3"/>
  <c r="BE91" i="3"/>
  <c r="BJ91" i="3"/>
  <c r="M92" i="3"/>
  <c r="V92" i="3"/>
  <c r="W92" i="3"/>
  <c r="AB92" i="3"/>
  <c r="AV92" i="3"/>
  <c r="BH92" i="3"/>
  <c r="BJ92" i="3"/>
  <c r="V93" i="3"/>
  <c r="AB93" i="3"/>
  <c r="AD93" i="3"/>
  <c r="AT93" i="3"/>
  <c r="BE93" i="3"/>
  <c r="AD94" i="3"/>
  <c r="AQ94" i="3"/>
  <c r="AV94" i="3"/>
  <c r="BH94" i="3"/>
  <c r="AT95" i="3"/>
  <c r="BE95" i="3"/>
  <c r="BJ95" i="3"/>
  <c r="BK95" i="3"/>
  <c r="M96" i="3"/>
  <c r="W96" i="3"/>
  <c r="AD96" i="3"/>
  <c r="BH96" i="3"/>
  <c r="V97" i="3"/>
  <c r="AD97" i="3"/>
  <c r="AQ97" i="3"/>
  <c r="BE97" i="3"/>
  <c r="BJ97" i="3"/>
  <c r="M98" i="3"/>
  <c r="Q98" i="3"/>
  <c r="W98" i="3"/>
  <c r="AB98" i="3"/>
  <c r="AQ98" i="3"/>
  <c r="AV98" i="3"/>
  <c r="BJ98" i="3"/>
  <c r="AD99" i="3"/>
  <c r="AR99" i="3"/>
  <c r="AV99" i="3"/>
  <c r="BJ99" i="3"/>
  <c r="AD100" i="3"/>
  <c r="AT100" i="3"/>
  <c r="BE100" i="3"/>
  <c r="BJ100" i="3"/>
  <c r="BK100" i="3"/>
  <c r="Q101" i="3"/>
  <c r="AV101" i="3"/>
  <c r="BK101" i="3"/>
  <c r="Q102" i="3"/>
  <c r="BK102" i="3"/>
  <c r="AD103" i="3"/>
  <c r="AV103" i="3"/>
  <c r="BE103" i="3"/>
  <c r="BJ103" i="3"/>
  <c r="Q104" i="3"/>
  <c r="AB104" i="3"/>
  <c r="AQ104" i="3"/>
  <c r="AV104" i="3"/>
  <c r="BK104" i="3"/>
  <c r="Q105" i="3"/>
  <c r="V105" i="3"/>
  <c r="BE129" i="3"/>
  <c r="BH129" i="3"/>
  <c r="M130" i="3"/>
  <c r="V130" i="3"/>
  <c r="AB130" i="3"/>
  <c r="AV130" i="3"/>
  <c r="BE130" i="3"/>
  <c r="Q131" i="3"/>
  <c r="W131" i="3"/>
  <c r="AQ131" i="3"/>
  <c r="AR131" i="3"/>
  <c r="AV131" i="3"/>
  <c r="BJ131" i="3"/>
  <c r="Q132" i="3"/>
  <c r="AB132" i="3"/>
  <c r="AD132" i="3"/>
  <c r="BJ132" i="3"/>
  <c r="BK132" i="3"/>
  <c r="M133" i="3"/>
  <c r="W133" i="3"/>
  <c r="AB133" i="3"/>
  <c r="AQ133" i="3"/>
  <c r="BE133" i="3"/>
  <c r="BK133" i="3"/>
  <c r="V134" i="3"/>
  <c r="AT134" i="3"/>
  <c r="BH134" i="3"/>
  <c r="AQ135" i="3"/>
  <c r="AV135" i="3"/>
  <c r="BE135" i="3"/>
  <c r="BK135" i="3"/>
  <c r="Q136" i="3"/>
  <c r="W136" i="3"/>
  <c r="AB136" i="3"/>
  <c r="AR136" i="3"/>
  <c r="AV136" i="3"/>
  <c r="BE136" i="3"/>
  <c r="BH136" i="3"/>
  <c r="BJ136" i="3"/>
  <c r="AT161" i="3"/>
  <c r="BJ161" i="3"/>
  <c r="M162" i="3"/>
  <c r="V162" i="3"/>
  <c r="BE162" i="3"/>
  <c r="BH162" i="3"/>
  <c r="M163" i="3"/>
  <c r="AQ163" i="3"/>
  <c r="AV163" i="3"/>
  <c r="BE163" i="3"/>
  <c r="Q164" i="3"/>
  <c r="BE164" i="3"/>
  <c r="AQ165" i="3"/>
  <c r="AT165" i="3"/>
  <c r="BK165" i="3"/>
  <c r="Q166" i="3"/>
  <c r="AR166" i="3"/>
  <c r="BJ166" i="3"/>
  <c r="Q167" i="3"/>
  <c r="AQ167" i="3"/>
  <c r="AV167" i="3"/>
  <c r="AQ168" i="3"/>
  <c r="AT168" i="3"/>
  <c r="AR169" i="3"/>
  <c r="V170" i="3"/>
  <c r="AQ170" i="3"/>
  <c r="BJ170" i="3"/>
  <c r="M171" i="3"/>
  <c r="Q171" i="3"/>
  <c r="BE178" i="3"/>
  <c r="BH178" i="3"/>
  <c r="AB179" i="3"/>
  <c r="AV179" i="3"/>
  <c r="BJ179" i="3"/>
  <c r="M180" i="3"/>
  <c r="Q180" i="3"/>
  <c r="V180" i="3"/>
  <c r="AQ180" i="3"/>
  <c r="AV180" i="3"/>
  <c r="BK180" i="3"/>
  <c r="BE181" i="3"/>
  <c r="BK181" i="3"/>
  <c r="W182" i="3"/>
  <c r="AB182" i="3"/>
  <c r="AT182" i="3"/>
  <c r="M183" i="3"/>
  <c r="AD183" i="3"/>
  <c r="AD184" i="3"/>
  <c r="AT184" i="3"/>
  <c r="BH185" i="3"/>
  <c r="M186" i="3"/>
  <c r="Q186" i="3"/>
  <c r="W186" i="3"/>
  <c r="AQ186" i="3"/>
  <c r="AT186" i="3"/>
  <c r="V187" i="3"/>
  <c r="AB187" i="3"/>
  <c r="AQ187" i="3"/>
  <c r="BH187" i="3"/>
  <c r="AV188" i="3"/>
  <c r="BK188" i="3"/>
  <c r="V189" i="3"/>
  <c r="AB189" i="3"/>
  <c r="AR189" i="3"/>
  <c r="BJ189" i="3"/>
  <c r="AB190" i="3"/>
  <c r="AQ190" i="3"/>
  <c r="BE190" i="3"/>
  <c r="BJ190" i="3"/>
  <c r="BK190" i="3"/>
  <c r="V191" i="3"/>
  <c r="AD191" i="3"/>
  <c r="AQ191" i="3"/>
  <c r="AV191" i="3"/>
  <c r="BE191" i="3"/>
  <c r="BK191" i="3"/>
  <c r="M192" i="3"/>
  <c r="V192" i="3"/>
  <c r="W192" i="3"/>
  <c r="AB192" i="3"/>
  <c r="Q193" i="3"/>
  <c r="AB193" i="3"/>
  <c r="AR193" i="3"/>
  <c r="BH193" i="3"/>
  <c r="Q194" i="3"/>
  <c r="V194" i="3"/>
  <c r="W194" i="3"/>
  <c r="AQ194" i="3"/>
  <c r="BH194" i="3"/>
  <c r="M195" i="3"/>
  <c r="Q195" i="3"/>
  <c r="AD195" i="3"/>
  <c r="AQ195" i="3"/>
  <c r="AR195" i="3"/>
  <c r="M196" i="3"/>
  <c r="Q196" i="3"/>
  <c r="M197" i="3"/>
  <c r="BE197" i="3"/>
  <c r="AQ198" i="3"/>
  <c r="AT198" i="3"/>
  <c r="BH198" i="3"/>
  <c r="AD199" i="3"/>
  <c r="M200" i="3"/>
  <c r="AD200" i="3"/>
  <c r="AT200" i="3"/>
  <c r="AB201" i="3"/>
  <c r="BK201" i="3"/>
  <c r="AB202" i="3"/>
  <c r="AR202" i="3"/>
  <c r="AT202" i="3"/>
  <c r="BJ203" i="3"/>
  <c r="AB105" i="3"/>
  <c r="AD105" i="3"/>
  <c r="AQ105" i="3"/>
  <c r="AR105" i="3"/>
  <c r="AT105" i="3"/>
  <c r="AV105" i="3"/>
  <c r="BE105" i="3"/>
  <c r="BH105" i="3"/>
  <c r="BJ105" i="3"/>
  <c r="BK105" i="3"/>
  <c r="M106" i="3"/>
  <c r="Q106" i="3"/>
  <c r="V106" i="3"/>
  <c r="W106" i="3"/>
  <c r="AB106" i="3"/>
  <c r="AD106" i="3"/>
  <c r="AQ106" i="3"/>
  <c r="AR106" i="3"/>
  <c r="AT106" i="3"/>
  <c r="AV106" i="3"/>
  <c r="BE106" i="3"/>
  <c r="BH106" i="3"/>
  <c r="BJ106" i="3"/>
  <c r="BK106" i="3"/>
  <c r="M107" i="3"/>
  <c r="Q107" i="3"/>
  <c r="V107" i="3"/>
  <c r="W107" i="3"/>
  <c r="AB107" i="3"/>
  <c r="AD107" i="3"/>
  <c r="AQ107" i="3"/>
  <c r="AR107" i="3"/>
  <c r="AT107" i="3"/>
  <c r="AV107" i="3"/>
  <c r="BE107" i="3"/>
  <c r="BH107" i="3"/>
  <c r="BJ107" i="3"/>
  <c r="BK107" i="3"/>
  <c r="M108" i="3"/>
  <c r="Q108" i="3"/>
  <c r="V108" i="3"/>
  <c r="W108" i="3"/>
  <c r="AB108" i="3"/>
  <c r="AD108" i="3"/>
  <c r="AQ108" i="3"/>
  <c r="AR108" i="3"/>
  <c r="AT108" i="3"/>
  <c r="AV108" i="3"/>
  <c r="BE108" i="3"/>
  <c r="BH108" i="3"/>
  <c r="BJ108" i="3"/>
  <c r="BK108" i="3"/>
  <c r="M109" i="3"/>
  <c r="Q109" i="3"/>
  <c r="V109" i="3"/>
  <c r="W109" i="3"/>
  <c r="AB109" i="3"/>
  <c r="AD109" i="3"/>
  <c r="AQ109" i="3"/>
  <c r="AR109" i="3"/>
  <c r="AT109" i="3"/>
  <c r="AV109" i="3"/>
  <c r="BE109" i="3"/>
  <c r="BH109" i="3"/>
  <c r="BJ109" i="3"/>
  <c r="BK109" i="3"/>
  <c r="M110" i="3"/>
  <c r="Q110" i="3"/>
  <c r="V110" i="3"/>
  <c r="W110" i="3"/>
  <c r="AB110" i="3"/>
  <c r="AD110" i="3"/>
  <c r="AQ110" i="3"/>
  <c r="AR110" i="3"/>
  <c r="AT110" i="3"/>
  <c r="AV110" i="3"/>
  <c r="BE110" i="3"/>
  <c r="BH110" i="3"/>
  <c r="BJ110" i="3"/>
  <c r="BK110" i="3"/>
  <c r="M111" i="3"/>
  <c r="Q111" i="3"/>
  <c r="V111" i="3"/>
  <c r="W111" i="3"/>
  <c r="AB111" i="3"/>
  <c r="AD111" i="3"/>
  <c r="AQ111" i="3"/>
  <c r="AR111" i="3"/>
  <c r="AT111" i="3"/>
  <c r="AV111" i="3"/>
  <c r="BE111" i="3"/>
  <c r="BH111" i="3"/>
  <c r="BJ111" i="3"/>
  <c r="BK111" i="3"/>
  <c r="M112" i="3"/>
  <c r="Q112" i="3"/>
  <c r="V112" i="3"/>
  <c r="W112" i="3"/>
  <c r="AB112" i="3"/>
  <c r="AD112" i="3"/>
  <c r="AQ112" i="3"/>
  <c r="AR112" i="3"/>
  <c r="AT112" i="3"/>
  <c r="AV112" i="3"/>
  <c r="BE112" i="3"/>
  <c r="BH112" i="3"/>
  <c r="BJ112" i="3"/>
  <c r="BK112" i="3"/>
  <c r="M113" i="3"/>
  <c r="Q113" i="3"/>
  <c r="V113" i="3"/>
  <c r="W113" i="3"/>
  <c r="AB113" i="3"/>
  <c r="AD113" i="3"/>
  <c r="AQ113" i="3"/>
  <c r="AR113" i="3"/>
  <c r="AT113" i="3"/>
  <c r="AV113" i="3"/>
  <c r="BE113" i="3"/>
  <c r="BH113" i="3"/>
  <c r="BJ113" i="3"/>
  <c r="BK113" i="3"/>
  <c r="M114" i="3"/>
  <c r="Q114" i="3"/>
  <c r="V114" i="3"/>
  <c r="W114" i="3"/>
  <c r="AB114" i="3"/>
  <c r="AD114" i="3"/>
  <c r="AQ114" i="3"/>
  <c r="AR114" i="3"/>
  <c r="AT114" i="3"/>
  <c r="AV114" i="3"/>
  <c r="BE114" i="3"/>
  <c r="BH114" i="3"/>
  <c r="BJ114" i="3"/>
  <c r="BK114" i="3"/>
  <c r="M115" i="3"/>
  <c r="Q115" i="3"/>
  <c r="V115" i="3"/>
  <c r="W115" i="3"/>
  <c r="AB115" i="3"/>
  <c r="AD115" i="3"/>
  <c r="AQ115" i="3"/>
  <c r="AR115" i="3"/>
  <c r="AT115" i="3"/>
  <c r="AV115" i="3"/>
  <c r="BE115" i="3"/>
  <c r="BH115" i="3"/>
  <c r="BJ115" i="3"/>
  <c r="BK115" i="3"/>
  <c r="M116" i="3"/>
  <c r="Q116" i="3"/>
  <c r="V116" i="3"/>
  <c r="W116" i="3"/>
  <c r="AB116" i="3"/>
  <c r="AD116" i="3"/>
  <c r="AQ116" i="3"/>
  <c r="AR116" i="3"/>
  <c r="AT116" i="3"/>
  <c r="AV116" i="3"/>
  <c r="BE116" i="3"/>
  <c r="BH116" i="3"/>
  <c r="BJ116" i="3"/>
  <c r="BK116" i="3"/>
  <c r="M117" i="3"/>
  <c r="Q117" i="3"/>
  <c r="V117" i="3"/>
  <c r="W117" i="3"/>
  <c r="AB117" i="3"/>
  <c r="AD117" i="3"/>
  <c r="AQ117" i="3"/>
  <c r="AR117" i="3"/>
  <c r="AT117" i="3"/>
  <c r="AV117" i="3"/>
  <c r="BE117" i="3"/>
  <c r="BH117" i="3"/>
  <c r="BJ117" i="3"/>
  <c r="BK117" i="3"/>
  <c r="M118" i="3"/>
  <c r="Q118" i="3"/>
  <c r="V118" i="3"/>
  <c r="W118" i="3"/>
  <c r="AB118" i="3"/>
  <c r="AD118" i="3"/>
  <c r="AQ118" i="3"/>
  <c r="AR118" i="3"/>
  <c r="AT118" i="3"/>
  <c r="AV118" i="3"/>
  <c r="BE118" i="3"/>
  <c r="BH118" i="3"/>
  <c r="BJ118" i="3"/>
  <c r="BK118" i="3"/>
  <c r="M119" i="3"/>
  <c r="Q119" i="3"/>
  <c r="V119" i="3"/>
  <c r="W119" i="3"/>
  <c r="AB119" i="3"/>
  <c r="AD119" i="3"/>
  <c r="AQ119" i="3"/>
  <c r="AR119" i="3"/>
  <c r="AT119" i="3"/>
  <c r="AV119" i="3"/>
  <c r="BE119" i="3"/>
  <c r="BH119" i="3"/>
  <c r="BJ119" i="3"/>
  <c r="BK119" i="3"/>
  <c r="M120" i="3"/>
  <c r="Q120" i="3"/>
  <c r="V120" i="3"/>
  <c r="W120" i="3"/>
  <c r="AB120" i="3"/>
  <c r="AD120" i="3"/>
  <c r="AQ120" i="3"/>
  <c r="AR120" i="3"/>
  <c r="AT120" i="3"/>
  <c r="AV120" i="3"/>
  <c r="BE120" i="3"/>
  <c r="BH120" i="3"/>
  <c r="BJ120" i="3"/>
  <c r="BK120" i="3"/>
  <c r="M121" i="3"/>
  <c r="Q121" i="3"/>
  <c r="V121" i="3"/>
  <c r="W121" i="3"/>
  <c r="AB121" i="3"/>
  <c r="AD121" i="3"/>
  <c r="AQ121" i="3"/>
  <c r="AR121" i="3"/>
  <c r="AT121" i="3"/>
  <c r="AV121" i="3"/>
  <c r="BE121" i="3"/>
  <c r="BH121" i="3"/>
  <c r="BJ121" i="3"/>
  <c r="BK121" i="3"/>
  <c r="M122" i="3"/>
  <c r="Q122" i="3"/>
  <c r="V122" i="3"/>
  <c r="W122" i="3"/>
  <c r="AB122" i="3"/>
  <c r="AD122" i="3"/>
  <c r="AQ122" i="3"/>
  <c r="AR122" i="3"/>
  <c r="AT122" i="3"/>
  <c r="AV122" i="3"/>
  <c r="BE122" i="3"/>
  <c r="BH122" i="3"/>
  <c r="BJ122" i="3"/>
  <c r="BK122" i="3"/>
  <c r="M123" i="3"/>
  <c r="Q123" i="3"/>
  <c r="V123" i="3"/>
  <c r="W123" i="3"/>
  <c r="AB123" i="3"/>
  <c r="AD123" i="3"/>
  <c r="AQ123" i="3"/>
  <c r="AR123" i="3"/>
  <c r="AT123" i="3"/>
  <c r="AV123" i="3"/>
  <c r="BE123" i="3"/>
  <c r="BH123" i="3"/>
  <c r="BJ123" i="3"/>
  <c r="BK123" i="3"/>
  <c r="M124" i="3"/>
  <c r="Q124" i="3"/>
  <c r="V124" i="3"/>
  <c r="W124" i="3"/>
  <c r="AB124" i="3"/>
  <c r="AD124" i="3"/>
  <c r="AQ124" i="3"/>
  <c r="AR124" i="3"/>
  <c r="AT124" i="3"/>
  <c r="AV124" i="3"/>
  <c r="BE124" i="3"/>
  <c r="BH124" i="3"/>
  <c r="BJ124" i="3"/>
  <c r="BK124" i="3"/>
  <c r="M125" i="3"/>
  <c r="Q125" i="3"/>
  <c r="V125" i="3"/>
  <c r="W125" i="3"/>
  <c r="AB125" i="3"/>
  <c r="AD125" i="3"/>
  <c r="AQ125" i="3"/>
  <c r="AR125" i="3"/>
  <c r="AT125" i="3"/>
  <c r="AV125" i="3"/>
  <c r="BE125" i="3"/>
  <c r="BH125" i="3"/>
  <c r="BJ125" i="3"/>
  <c r="BK125" i="3"/>
  <c r="M126" i="3"/>
  <c r="Q126" i="3"/>
  <c r="V126" i="3"/>
  <c r="W126" i="3"/>
  <c r="AB126" i="3"/>
  <c r="AD126" i="3"/>
  <c r="AQ126" i="3"/>
  <c r="AR126" i="3"/>
  <c r="AT126" i="3"/>
  <c r="AV126" i="3"/>
  <c r="BE126" i="3"/>
  <c r="BH126" i="3"/>
  <c r="BJ126" i="3"/>
  <c r="BK126" i="3"/>
  <c r="M127" i="3"/>
  <c r="Q127" i="3"/>
  <c r="V127" i="3"/>
  <c r="W127" i="3"/>
  <c r="AB127" i="3"/>
  <c r="AD127" i="3"/>
  <c r="AQ127" i="3"/>
  <c r="AR127" i="3"/>
  <c r="AT127" i="3"/>
  <c r="AV127" i="3"/>
  <c r="BE127" i="3"/>
  <c r="BH127" i="3"/>
  <c r="BJ127" i="3"/>
  <c r="BK127" i="3"/>
  <c r="M128" i="3"/>
  <c r="Q128" i="3"/>
  <c r="V128" i="3"/>
  <c r="W128" i="3"/>
  <c r="AB128" i="3"/>
  <c r="AD128" i="3"/>
  <c r="AQ128" i="3"/>
  <c r="AR128" i="3"/>
  <c r="AT128" i="3"/>
  <c r="AV128" i="3"/>
  <c r="BE128" i="3"/>
  <c r="BH128" i="3"/>
  <c r="BJ128" i="3"/>
  <c r="BK128" i="3"/>
  <c r="M129" i="3"/>
  <c r="Q129" i="3"/>
  <c r="V129" i="3"/>
  <c r="W129" i="3"/>
  <c r="AB129" i="3"/>
  <c r="AD129" i="3"/>
  <c r="AR192" i="3"/>
  <c r="BJ192" i="3"/>
  <c r="BK192" i="3"/>
  <c r="BE193" i="3"/>
  <c r="BJ193" i="3"/>
  <c r="AD194" i="3"/>
  <c r="AB195" i="3"/>
  <c r="AT195" i="3"/>
  <c r="W196" i="3"/>
  <c r="AD196" i="3"/>
  <c r="AR196" i="3"/>
  <c r="AT196" i="3"/>
  <c r="BJ196" i="3"/>
  <c r="W197" i="3"/>
  <c r="AD197" i="3"/>
  <c r="AQ197" i="3"/>
  <c r="AR197" i="3"/>
  <c r="AV197" i="3"/>
  <c r="BH197" i="3"/>
  <c r="AB198" i="3"/>
  <c r="BE198" i="3"/>
  <c r="M199" i="3"/>
  <c r="Q199" i="3"/>
  <c r="BJ199" i="3"/>
  <c r="V200" i="3"/>
  <c r="W200" i="3"/>
  <c r="AB200" i="3"/>
  <c r="AV200" i="3"/>
  <c r="BJ200" i="3"/>
  <c r="Q201" i="3"/>
  <c r="V201" i="3"/>
  <c r="AQ201" i="3"/>
  <c r="BE201" i="3"/>
  <c r="BJ201" i="3"/>
  <c r="Q202" i="3"/>
  <c r="W202" i="3"/>
  <c r="AD202" i="3"/>
  <c r="AQ202" i="3"/>
  <c r="BE202" i="3"/>
  <c r="M203" i="3"/>
  <c r="Q203" i="3"/>
  <c r="AQ203" i="3"/>
  <c r="AT203" i="3"/>
  <c r="BE203" i="3"/>
  <c r="V138" i="3"/>
  <c r="W138" i="3"/>
  <c r="AB138" i="3"/>
  <c r="AD138" i="3"/>
  <c r="AQ138" i="3"/>
  <c r="AR138" i="3"/>
  <c r="AT138" i="3"/>
  <c r="AV138" i="3"/>
  <c r="BE138" i="3"/>
  <c r="BH138" i="3"/>
  <c r="BJ138" i="3"/>
  <c r="BK138" i="3"/>
  <c r="BM138" i="3"/>
  <c r="M139" i="3"/>
  <c r="Q139" i="3"/>
  <c r="V139" i="3"/>
  <c r="W139" i="3"/>
  <c r="AB139" i="3"/>
  <c r="AD139" i="3"/>
  <c r="AQ139" i="3"/>
  <c r="AR139" i="3"/>
  <c r="AT139" i="3"/>
  <c r="AV139" i="3"/>
  <c r="BE139" i="3"/>
  <c r="BH139" i="3"/>
  <c r="BJ139" i="3"/>
  <c r="BK139" i="3"/>
  <c r="BM139" i="3"/>
  <c r="M140" i="3"/>
  <c r="Q140" i="3"/>
  <c r="V140" i="3"/>
  <c r="W140" i="3"/>
  <c r="AB140" i="3"/>
  <c r="AD140" i="3"/>
  <c r="AQ140" i="3"/>
  <c r="AR140" i="3"/>
  <c r="AT140" i="3"/>
  <c r="AV140" i="3"/>
  <c r="BE140" i="3"/>
  <c r="BH140" i="3"/>
  <c r="BJ140" i="3"/>
  <c r="BK140" i="3"/>
  <c r="BM140" i="3"/>
  <c r="M141" i="3"/>
  <c r="Q141" i="3"/>
  <c r="V141" i="3"/>
  <c r="W141" i="3"/>
  <c r="AB141" i="3"/>
  <c r="AD141" i="3"/>
  <c r="AQ141" i="3"/>
  <c r="AR141" i="3"/>
  <c r="AT141" i="3"/>
  <c r="AV141" i="3"/>
  <c r="BE141" i="3"/>
  <c r="BH141" i="3"/>
  <c r="BJ141" i="3"/>
  <c r="BK141" i="3"/>
  <c r="BM141" i="3"/>
  <c r="M142" i="3"/>
  <c r="Q142" i="3"/>
  <c r="V142" i="3"/>
  <c r="W142" i="3"/>
  <c r="AB142" i="3"/>
  <c r="AD142" i="3"/>
  <c r="AQ142" i="3"/>
  <c r="AR142" i="3"/>
  <c r="AT142" i="3"/>
  <c r="AV142" i="3"/>
  <c r="BE142" i="3"/>
  <c r="BH142" i="3"/>
  <c r="BJ142" i="3"/>
  <c r="BK142" i="3"/>
  <c r="M143" i="3"/>
  <c r="Q143" i="3"/>
  <c r="V143" i="3"/>
  <c r="W143" i="3"/>
  <c r="AB143" i="3"/>
  <c r="AD143" i="3"/>
  <c r="AQ143" i="3"/>
  <c r="AR143" i="3"/>
  <c r="AT143" i="3"/>
  <c r="AV143" i="3"/>
  <c r="BE143" i="3"/>
  <c r="BH143" i="3"/>
  <c r="BJ143" i="3"/>
  <c r="BK143" i="3"/>
  <c r="M144" i="3"/>
  <c r="Q144" i="3"/>
  <c r="V144" i="3"/>
  <c r="W144" i="3"/>
  <c r="AB144" i="3"/>
  <c r="AD144" i="3"/>
  <c r="AQ144" i="3"/>
  <c r="AR144" i="3"/>
  <c r="AT144" i="3"/>
  <c r="AV144" i="3"/>
  <c r="BE144" i="3"/>
  <c r="BH144" i="3"/>
  <c r="BJ144" i="3"/>
  <c r="BK144" i="3"/>
  <c r="M145" i="3"/>
  <c r="Q145" i="3"/>
  <c r="V145" i="3"/>
  <c r="W145" i="3"/>
  <c r="AB145" i="3"/>
  <c r="AD145" i="3"/>
  <c r="AQ145" i="3"/>
  <c r="AR145" i="3"/>
  <c r="AT145" i="3"/>
  <c r="AV145" i="3"/>
  <c r="BE145" i="3"/>
  <c r="BH145" i="3"/>
  <c r="BJ145" i="3"/>
  <c r="BK145" i="3"/>
  <c r="M146" i="3"/>
  <c r="Q146" i="3"/>
  <c r="V146" i="3"/>
  <c r="W146" i="3"/>
  <c r="AB146" i="3"/>
  <c r="AD146" i="3"/>
  <c r="AQ146" i="3"/>
  <c r="AR146" i="3"/>
  <c r="AT146" i="3"/>
  <c r="AV146" i="3"/>
  <c r="BE146" i="3"/>
  <c r="BH146" i="3"/>
  <c r="BJ146" i="3"/>
  <c r="BK146" i="3"/>
  <c r="M147" i="3"/>
  <c r="Q147" i="3"/>
  <c r="V147" i="3"/>
  <c r="W147" i="3"/>
  <c r="AB147" i="3"/>
  <c r="AD147" i="3"/>
  <c r="AQ147" i="3"/>
  <c r="AR147" i="3"/>
  <c r="AT147" i="3"/>
  <c r="AV147" i="3"/>
  <c r="BE147" i="3"/>
  <c r="BH147" i="3"/>
  <c r="BJ147" i="3"/>
  <c r="BK147" i="3"/>
  <c r="M148" i="3"/>
  <c r="Q148" i="3"/>
  <c r="V148" i="3"/>
  <c r="W148" i="3"/>
  <c r="AB148" i="3"/>
  <c r="AD148" i="3"/>
  <c r="AQ148" i="3"/>
  <c r="AR148" i="3"/>
  <c r="AT148" i="3"/>
  <c r="AV148" i="3"/>
  <c r="BE148" i="3"/>
  <c r="BH148" i="3"/>
  <c r="BJ148" i="3"/>
  <c r="BK148" i="3"/>
  <c r="BM148" i="3"/>
  <c r="M149" i="3"/>
  <c r="Q149" i="3"/>
  <c r="V149" i="3"/>
  <c r="W149" i="3"/>
  <c r="AB149" i="3"/>
  <c r="AD149" i="3"/>
  <c r="AQ149" i="3"/>
  <c r="AR149" i="3"/>
  <c r="AT149" i="3"/>
  <c r="AV149" i="3"/>
  <c r="BE149" i="3"/>
  <c r="BH149" i="3"/>
  <c r="BJ149" i="3"/>
  <c r="BK149" i="3"/>
  <c r="BM149" i="3"/>
  <c r="M150" i="3"/>
  <c r="Q150" i="3"/>
  <c r="V150" i="3"/>
  <c r="W150" i="3"/>
  <c r="AB150" i="3"/>
  <c r="AD150" i="3"/>
  <c r="AQ150" i="3"/>
  <c r="AR150" i="3"/>
  <c r="AT150" i="3"/>
  <c r="AV150" i="3"/>
  <c r="BE150" i="3"/>
  <c r="BH150" i="3"/>
  <c r="BJ150" i="3"/>
  <c r="BK150" i="3"/>
  <c r="BM150" i="3"/>
  <c r="M151" i="3"/>
  <c r="Q151" i="3"/>
  <c r="V151" i="3"/>
  <c r="W151" i="3"/>
  <c r="AB151" i="3"/>
  <c r="AD151" i="3"/>
  <c r="AQ151" i="3"/>
  <c r="AR151" i="3"/>
  <c r="AT151" i="3"/>
  <c r="AV151" i="3"/>
  <c r="BE151" i="3"/>
  <c r="BH151" i="3"/>
  <c r="BJ151" i="3"/>
  <c r="BK151" i="3"/>
  <c r="BM151" i="3"/>
  <c r="M152" i="3"/>
  <c r="Q152" i="3"/>
  <c r="V152" i="3"/>
  <c r="W152" i="3"/>
  <c r="AB152" i="3"/>
  <c r="AD152" i="3"/>
  <c r="AQ152" i="3"/>
  <c r="AR152" i="3"/>
  <c r="AT152" i="3"/>
  <c r="AV152" i="3"/>
  <c r="BE152" i="3"/>
  <c r="BH152" i="3"/>
  <c r="BJ152" i="3"/>
  <c r="BK152" i="3"/>
  <c r="BM152" i="3"/>
  <c r="M153" i="3"/>
  <c r="Q153" i="3"/>
  <c r="V153" i="3"/>
  <c r="W153" i="3"/>
  <c r="AB153" i="3"/>
  <c r="AD153" i="3"/>
  <c r="AQ153" i="3"/>
  <c r="AR153" i="3"/>
  <c r="AT153" i="3"/>
  <c r="AV153" i="3"/>
  <c r="BE153" i="3"/>
  <c r="BH153" i="3"/>
  <c r="BJ153" i="3"/>
  <c r="BK153" i="3"/>
  <c r="BM153" i="3"/>
  <c r="M154" i="3"/>
  <c r="Q154" i="3"/>
  <c r="V154" i="3"/>
  <c r="W154" i="3"/>
  <c r="AB154" i="3"/>
  <c r="AD154" i="3"/>
  <c r="AQ154" i="3"/>
  <c r="AR154" i="3"/>
  <c r="AT154" i="3"/>
  <c r="AV154" i="3"/>
  <c r="BE154" i="3"/>
  <c r="BH154" i="3"/>
  <c r="BJ154" i="3"/>
  <c r="BK154" i="3"/>
  <c r="BM154" i="3"/>
  <c r="M155" i="3"/>
  <c r="Q155" i="3"/>
  <c r="V155" i="3"/>
  <c r="W155" i="3"/>
  <c r="AB155" i="3"/>
  <c r="AD155" i="3"/>
  <c r="AQ155" i="3"/>
  <c r="AR155" i="3"/>
  <c r="AT155" i="3"/>
  <c r="AV155" i="3"/>
  <c r="BE155" i="3"/>
  <c r="BH155" i="3"/>
  <c r="BJ155" i="3"/>
  <c r="BK155" i="3"/>
  <c r="BM155" i="3"/>
  <c r="M156" i="3"/>
  <c r="Q156" i="3"/>
  <c r="V156" i="3"/>
  <c r="W156" i="3"/>
  <c r="AB156" i="3"/>
  <c r="AD156" i="3"/>
  <c r="AQ156" i="3"/>
  <c r="AR156" i="3"/>
  <c r="AT156" i="3"/>
  <c r="AV156" i="3"/>
  <c r="BE156" i="3"/>
  <c r="BH156" i="3"/>
  <c r="BJ156" i="3"/>
  <c r="BK156" i="3"/>
  <c r="BM156" i="3"/>
  <c r="M157" i="3"/>
  <c r="Q157" i="3"/>
  <c r="V157" i="3"/>
  <c r="W157" i="3"/>
  <c r="AB157" i="3"/>
  <c r="AD157" i="3"/>
  <c r="AQ157" i="3"/>
  <c r="AR157" i="3"/>
  <c r="AT157" i="3"/>
  <c r="AV157" i="3"/>
  <c r="BE157" i="3"/>
  <c r="BH157" i="3"/>
  <c r="BJ157" i="3"/>
  <c r="BK157" i="3"/>
  <c r="BM157" i="3"/>
  <c r="M158" i="3"/>
  <c r="Q158" i="3"/>
  <c r="V158" i="3"/>
  <c r="W158" i="3"/>
  <c r="AB158" i="3"/>
  <c r="AD158" i="3"/>
  <c r="AQ158" i="3"/>
  <c r="AR158" i="3"/>
  <c r="AT158" i="3"/>
  <c r="AV158" i="3"/>
  <c r="BE158" i="3"/>
  <c r="BH158" i="3"/>
  <c r="BJ158" i="3"/>
  <c r="BK158" i="3"/>
  <c r="BM158" i="3"/>
  <c r="M159" i="3"/>
  <c r="Q159" i="3"/>
  <c r="V159" i="3"/>
  <c r="W159" i="3"/>
  <c r="AB159" i="3"/>
  <c r="AD159" i="3"/>
  <c r="AQ159" i="3"/>
  <c r="AR159" i="3"/>
  <c r="AT159" i="3"/>
  <c r="AV159" i="3"/>
  <c r="BE159" i="3"/>
  <c r="BH159" i="3"/>
  <c r="BJ159" i="3"/>
  <c r="BK159" i="3"/>
  <c r="BM159" i="3"/>
  <c r="M160" i="3"/>
  <c r="Q160" i="3"/>
  <c r="V160" i="3"/>
  <c r="W160" i="3"/>
  <c r="AB160" i="3"/>
  <c r="AD160" i="3"/>
  <c r="AQ160" i="3"/>
  <c r="AR160" i="3"/>
  <c r="AT160" i="3"/>
  <c r="AV160" i="3"/>
  <c r="BE160" i="3"/>
  <c r="BH160" i="3"/>
  <c r="BJ160" i="3"/>
  <c r="BK160" i="3"/>
  <c r="BM160" i="3"/>
  <c r="M161" i="3"/>
  <c r="Q161" i="3"/>
  <c r="V161" i="3"/>
  <c r="W161" i="3"/>
  <c r="V171" i="3"/>
  <c r="W171" i="3"/>
  <c r="AB171" i="3"/>
  <c r="AD171" i="3"/>
  <c r="AQ171" i="3"/>
  <c r="AR171" i="3"/>
  <c r="AT171" i="3"/>
  <c r="AV171" i="3"/>
  <c r="BE171" i="3"/>
  <c r="BH171" i="3"/>
  <c r="BJ171" i="3"/>
  <c r="BK171" i="3"/>
  <c r="BM171" i="3"/>
  <c r="M172" i="3"/>
  <c r="Q172" i="3"/>
  <c r="V172" i="3"/>
  <c r="W172" i="3"/>
  <c r="AB172" i="3"/>
  <c r="AD172" i="3"/>
  <c r="AQ172" i="3"/>
  <c r="AR172" i="3"/>
  <c r="AT172" i="3"/>
  <c r="AV172" i="3"/>
  <c r="BE172" i="3"/>
  <c r="BH172" i="3"/>
  <c r="BJ172" i="3"/>
  <c r="BK172" i="3"/>
  <c r="M173" i="3"/>
  <c r="Q173" i="3"/>
  <c r="V173" i="3"/>
  <c r="W173" i="3"/>
  <c r="AB173" i="3"/>
  <c r="AD173" i="3"/>
  <c r="AQ173" i="3"/>
  <c r="AR173" i="3"/>
  <c r="AT173" i="3"/>
  <c r="AV173" i="3"/>
  <c r="BE173" i="3"/>
  <c r="BH173" i="3"/>
  <c r="BJ173" i="3"/>
  <c r="BK173" i="3"/>
  <c r="M174" i="3"/>
  <c r="Q174" i="3"/>
  <c r="V174" i="3"/>
  <c r="W174" i="3"/>
  <c r="AB174" i="3"/>
  <c r="AD174" i="3"/>
  <c r="AQ174" i="3"/>
  <c r="AR174" i="3"/>
  <c r="AT174" i="3"/>
  <c r="AV174" i="3"/>
  <c r="BE174" i="3"/>
  <c r="BH174" i="3"/>
  <c r="BJ174" i="3"/>
  <c r="BK174" i="3"/>
  <c r="M175" i="3"/>
  <c r="Q175" i="3"/>
  <c r="V175" i="3"/>
  <c r="W175" i="3"/>
  <c r="AB175" i="3"/>
  <c r="AD175" i="3"/>
  <c r="AQ175" i="3"/>
  <c r="AR175" i="3"/>
  <c r="AT175" i="3"/>
  <c r="AV175" i="3"/>
  <c r="BE175" i="3"/>
  <c r="BH175" i="3"/>
  <c r="BJ175" i="3"/>
  <c r="BK175" i="3"/>
  <c r="M176" i="3"/>
  <c r="Q176" i="3"/>
  <c r="V176" i="3"/>
  <c r="W176" i="3"/>
  <c r="AB176" i="3"/>
  <c r="AD176" i="3"/>
  <c r="AQ176" i="3"/>
  <c r="AR176" i="3"/>
  <c r="AT176" i="3"/>
  <c r="AV176" i="3"/>
  <c r="BE176" i="3"/>
  <c r="BH176" i="3"/>
  <c r="BJ176" i="3"/>
  <c r="BK176" i="3"/>
  <c r="M177" i="3"/>
  <c r="Q177" i="3"/>
  <c r="V177" i="3"/>
  <c r="W177" i="3"/>
  <c r="AB177" i="3"/>
  <c r="AD177" i="3"/>
  <c r="AQ177" i="3"/>
  <c r="AR177" i="3"/>
  <c r="AT177" i="3"/>
  <c r="AV177" i="3"/>
  <c r="BE177" i="3"/>
  <c r="BH177" i="3"/>
  <c r="BJ177" i="3"/>
  <c r="BK177" i="3"/>
  <c r="Q178" i="3"/>
  <c r="BE186" i="3"/>
  <c r="BK186" i="3"/>
  <c r="M190" i="3"/>
  <c r="AB197" i="3"/>
  <c r="Q204" i="3"/>
  <c r="V204" i="3"/>
  <c r="W204" i="3"/>
  <c r="AB204" i="3"/>
  <c r="AD204" i="3"/>
  <c r="AQ204" i="3"/>
  <c r="AR204" i="3"/>
  <c r="AT204" i="3"/>
  <c r="AV204" i="3"/>
  <c r="BE204" i="3"/>
  <c r="BH204" i="3"/>
  <c r="BJ204" i="3"/>
  <c r="BK204" i="3"/>
  <c r="M205" i="3"/>
  <c r="Q205" i="3"/>
  <c r="V205" i="3"/>
  <c r="W205" i="3"/>
  <c r="AB205" i="3"/>
  <c r="AD205" i="3"/>
  <c r="AQ205" i="3"/>
  <c r="AR205" i="3"/>
  <c r="AT205" i="3"/>
  <c r="AV205" i="3"/>
  <c r="BE205" i="3"/>
  <c r="BH205" i="3"/>
  <c r="BJ205" i="3"/>
  <c r="BK205" i="3"/>
  <c r="BM205" i="3"/>
  <c r="M206" i="3"/>
  <c r="Q206" i="3"/>
  <c r="V206" i="3"/>
  <c r="W206" i="3"/>
  <c r="AB206" i="3"/>
  <c r="AD206" i="3"/>
  <c r="AQ206" i="3"/>
  <c r="AR206" i="3"/>
  <c r="AT206" i="3"/>
  <c r="AV206" i="3"/>
  <c r="BE206" i="3"/>
  <c r="BH206" i="3"/>
  <c r="BJ206" i="3"/>
  <c r="BK206" i="3"/>
  <c r="BM206" i="3"/>
  <c r="M207" i="3"/>
  <c r="Q207" i="3"/>
  <c r="V207" i="3"/>
  <c r="W207" i="3"/>
  <c r="AB207" i="3"/>
  <c r="AD207" i="3"/>
  <c r="AQ207" i="3"/>
  <c r="AR207" i="3"/>
  <c r="AT207" i="3"/>
  <c r="AV207" i="3"/>
  <c r="BE207" i="3"/>
  <c r="BH207" i="3"/>
  <c r="BJ207" i="3"/>
  <c r="BK207" i="3"/>
  <c r="BM207" i="3"/>
  <c r="M208" i="3"/>
  <c r="Q208" i="3"/>
  <c r="V208" i="3"/>
  <c r="W208" i="3"/>
  <c r="AB208" i="3"/>
  <c r="AD208" i="3"/>
  <c r="AQ208" i="3"/>
  <c r="AR208" i="3"/>
  <c r="AT208" i="3"/>
  <c r="AV208" i="3"/>
  <c r="BE208" i="3"/>
  <c r="BH208" i="3"/>
  <c r="BJ208" i="3"/>
  <c r="BK208" i="3"/>
  <c r="BM208" i="3"/>
  <c r="M209" i="3"/>
  <c r="Q209" i="3"/>
  <c r="V209" i="3"/>
  <c r="W209" i="3"/>
  <c r="AB209" i="3"/>
  <c r="AD209" i="3"/>
  <c r="AQ209" i="3"/>
  <c r="AR209" i="3"/>
  <c r="AT209" i="3"/>
  <c r="AV209" i="3"/>
  <c r="BE209" i="3"/>
  <c r="BH209" i="3"/>
  <c r="BJ209" i="3"/>
  <c r="BK209" i="3"/>
  <c r="BM209" i="3"/>
  <c r="M210" i="3"/>
  <c r="Q210" i="3"/>
  <c r="V210" i="3"/>
  <c r="W210" i="3"/>
  <c r="AB210" i="3"/>
  <c r="AD210" i="3"/>
  <c r="AQ210" i="3"/>
  <c r="AR210" i="3"/>
  <c r="AT210" i="3"/>
  <c r="AV210" i="3"/>
  <c r="BE210" i="3"/>
  <c r="BH210" i="3"/>
  <c r="BJ210" i="3"/>
  <c r="BK210" i="3"/>
  <c r="BM210" i="3"/>
  <c r="M211" i="3"/>
  <c r="Q211" i="3"/>
  <c r="V211" i="3"/>
  <c r="W211" i="3"/>
  <c r="AB211" i="3"/>
  <c r="AD211" i="3"/>
  <c r="AQ211" i="3"/>
  <c r="AR211" i="3"/>
  <c r="AT211" i="3"/>
  <c r="AV211" i="3"/>
  <c r="BE211" i="3"/>
  <c r="BH211" i="3"/>
  <c r="BJ211" i="3"/>
  <c r="BK211" i="3"/>
  <c r="BM211" i="3"/>
  <c r="M212" i="3"/>
  <c r="Q212" i="3"/>
  <c r="V212" i="3"/>
  <c r="W212" i="3"/>
  <c r="AB212" i="3"/>
  <c r="AD212" i="3"/>
  <c r="AQ212" i="3"/>
  <c r="AR212" i="3"/>
  <c r="AT212" i="3"/>
  <c r="AV212" i="3"/>
  <c r="BE212" i="3"/>
  <c r="BH212" i="3"/>
  <c r="BJ212" i="3"/>
  <c r="BK212" i="3"/>
  <c r="BM212" i="3"/>
  <c r="M213" i="3"/>
  <c r="Q213" i="3"/>
  <c r="V213" i="3"/>
  <c r="W213" i="3"/>
  <c r="AB213" i="3"/>
  <c r="AD213" i="3"/>
  <c r="AQ213" i="3"/>
  <c r="AR213" i="3"/>
  <c r="AT213" i="3"/>
  <c r="AV213" i="3"/>
  <c r="BE213" i="3"/>
  <c r="BH213" i="3"/>
  <c r="BJ213" i="3"/>
  <c r="BK213" i="3"/>
  <c r="BM213" i="3"/>
  <c r="M214" i="3"/>
  <c r="Q214" i="3"/>
  <c r="V214" i="3"/>
  <c r="W214" i="3"/>
  <c r="AB214" i="3"/>
  <c r="AD214" i="3"/>
  <c r="AQ214" i="3"/>
  <c r="AR214" i="3"/>
  <c r="AT214" i="3"/>
  <c r="AV214" i="3"/>
  <c r="BE214" i="3"/>
  <c r="BH214" i="3"/>
  <c r="BJ214" i="3"/>
  <c r="BK214" i="3"/>
  <c r="BM214" i="3"/>
  <c r="M215" i="3"/>
  <c r="Q215" i="3"/>
  <c r="V215" i="3"/>
  <c r="W215" i="3"/>
  <c r="AB215" i="3"/>
  <c r="AD215" i="3"/>
  <c r="AQ215" i="3"/>
  <c r="AR215" i="3"/>
  <c r="AT215" i="3"/>
  <c r="AV215" i="3"/>
  <c r="BE215" i="3"/>
  <c r="BH215" i="3"/>
  <c r="BJ215" i="3"/>
  <c r="BK215" i="3"/>
  <c r="BM215" i="3"/>
  <c r="M216" i="3"/>
  <c r="Q216" i="3"/>
  <c r="V216" i="3"/>
  <c r="W216" i="3"/>
  <c r="AB216" i="3"/>
  <c r="AD216" i="3"/>
  <c r="AQ216" i="3"/>
  <c r="AR216" i="3"/>
  <c r="AT216" i="3"/>
  <c r="AV216" i="3"/>
  <c r="BE216" i="3"/>
  <c r="BH216" i="3"/>
  <c r="BJ216" i="3"/>
  <c r="BK216" i="3"/>
  <c r="BM216" i="3"/>
  <c r="M217" i="3"/>
  <c r="Q217" i="3"/>
  <c r="V217" i="3"/>
  <c r="W217" i="3"/>
  <c r="AB217" i="3"/>
  <c r="AD217" i="3"/>
  <c r="AQ217" i="3"/>
  <c r="AR217" i="3"/>
  <c r="AT217" i="3"/>
  <c r="AV217" i="3"/>
  <c r="BE217" i="3"/>
  <c r="BH217" i="3"/>
  <c r="BJ217" i="3"/>
  <c r="BK217" i="3"/>
  <c r="BM217" i="3"/>
  <c r="M218" i="3"/>
  <c r="Q218" i="3"/>
  <c r="V218" i="3"/>
  <c r="W218" i="3"/>
  <c r="AB218" i="3"/>
  <c r="AD218" i="3"/>
  <c r="AQ218" i="3"/>
  <c r="AR218" i="3"/>
  <c r="AT218" i="3"/>
  <c r="AV218" i="3"/>
  <c r="BE218" i="3"/>
  <c r="BH218" i="3"/>
  <c r="BJ218" i="3"/>
  <c r="BK218" i="3"/>
  <c r="BM218" i="3"/>
  <c r="M219" i="3"/>
  <c r="Q219" i="3"/>
  <c r="V219" i="3"/>
  <c r="W219" i="3"/>
  <c r="AB219" i="3"/>
  <c r="AD219" i="3"/>
  <c r="AQ219" i="3"/>
  <c r="AR219" i="3"/>
  <c r="AT219" i="3"/>
  <c r="AV219" i="3"/>
  <c r="BE219" i="3"/>
  <c r="BH219" i="3"/>
  <c r="BJ219" i="3"/>
  <c r="BK219" i="3"/>
  <c r="BM219" i="3"/>
  <c r="M220" i="3"/>
  <c r="Q220" i="3"/>
  <c r="V220" i="3"/>
  <c r="W220" i="3"/>
  <c r="AB220" i="3"/>
  <c r="AD220" i="3"/>
  <c r="AQ220" i="3"/>
  <c r="AR220" i="3"/>
  <c r="AT220" i="3"/>
  <c r="AV220" i="3"/>
  <c r="BE220" i="3"/>
  <c r="BH220" i="3"/>
  <c r="BJ220" i="3"/>
  <c r="BK220" i="3"/>
  <c r="BM220" i="3"/>
  <c r="M221" i="3"/>
  <c r="Q221" i="3"/>
  <c r="V221" i="3"/>
  <c r="W221" i="3"/>
  <c r="AB221" i="3"/>
  <c r="AD221" i="3"/>
  <c r="AQ221" i="3"/>
  <c r="AR221" i="3"/>
  <c r="AT221" i="3"/>
  <c r="AV221" i="3"/>
  <c r="BE221" i="3"/>
  <c r="BH221" i="3"/>
  <c r="BJ221" i="3"/>
  <c r="BK221" i="3"/>
  <c r="BM221" i="3"/>
  <c r="M222" i="3"/>
  <c r="Q222" i="3"/>
  <c r="V222" i="3"/>
  <c r="W222" i="3"/>
  <c r="AB222" i="3"/>
  <c r="AD222" i="3"/>
  <c r="AQ222" i="3"/>
  <c r="AR222" i="3"/>
  <c r="AT222" i="3"/>
  <c r="AV222" i="3"/>
  <c r="BE222" i="3"/>
  <c r="BH222" i="3"/>
  <c r="BJ222" i="3"/>
  <c r="BK222" i="3"/>
  <c r="BM222" i="3"/>
  <c r="M223" i="3"/>
  <c r="Q223" i="3"/>
  <c r="V223" i="3"/>
  <c r="W223" i="3"/>
  <c r="AB223" i="3"/>
  <c r="AD223" i="3"/>
  <c r="AQ223" i="3"/>
  <c r="AR223" i="3"/>
  <c r="AT223" i="3"/>
  <c r="AV223" i="3"/>
  <c r="BE223" i="3"/>
  <c r="BH223" i="3"/>
  <c r="BJ223" i="3"/>
  <c r="BK223" i="3"/>
  <c r="BM223" i="3"/>
  <c r="M224" i="3"/>
  <c r="Q224" i="3"/>
  <c r="V224" i="3"/>
  <c r="W224" i="3"/>
  <c r="AB224" i="3"/>
  <c r="AD224" i="3"/>
  <c r="AQ224" i="3"/>
  <c r="AR224" i="3"/>
  <c r="AT224" i="3"/>
  <c r="AV224" i="3"/>
  <c r="BE224" i="3"/>
  <c r="BH224" i="3"/>
  <c r="BJ224" i="3"/>
  <c r="BK224" i="3"/>
  <c r="M225" i="3"/>
  <c r="Q225" i="3"/>
  <c r="V225" i="3"/>
  <c r="W225" i="3"/>
  <c r="AB225" i="3"/>
  <c r="AD225" i="3"/>
  <c r="AQ225" i="3"/>
  <c r="AR225" i="3"/>
  <c r="AT225" i="3"/>
  <c r="AV225" i="3"/>
  <c r="BE225" i="3"/>
  <c r="BH225" i="3"/>
  <c r="BJ225" i="3"/>
  <c r="BK225" i="3"/>
  <c r="M226" i="3"/>
  <c r="Q226" i="3"/>
  <c r="V226" i="3"/>
  <c r="W226" i="3"/>
  <c r="AB226" i="3"/>
  <c r="AD226" i="3"/>
  <c r="AQ226" i="3"/>
  <c r="AR226" i="3"/>
  <c r="AT226" i="3"/>
  <c r="AV226" i="3"/>
  <c r="BE226" i="3"/>
  <c r="BH226" i="3"/>
  <c r="BJ226" i="3"/>
  <c r="BK226" i="3"/>
  <c r="M227" i="3"/>
  <c r="Q227" i="3"/>
  <c r="V227" i="3"/>
  <c r="W227" i="3"/>
  <c r="AB227" i="3"/>
  <c r="AD227" i="3"/>
  <c r="AQ227" i="3"/>
  <c r="AR227" i="3"/>
  <c r="AT227" i="3"/>
  <c r="AV227" i="3"/>
  <c r="BE227" i="3"/>
  <c r="BH227" i="3"/>
  <c r="BJ227" i="3"/>
  <c r="BK227" i="3"/>
  <c r="M228" i="3"/>
  <c r="Q228" i="3"/>
  <c r="V228" i="3"/>
  <c r="W228" i="3"/>
  <c r="AB228" i="3"/>
  <c r="AD228" i="3"/>
  <c r="AQ228" i="3"/>
  <c r="AR228" i="3"/>
  <c r="AT228" i="3"/>
  <c r="AV228" i="3"/>
  <c r="BE228" i="3"/>
  <c r="BH228" i="3"/>
  <c r="BJ228" i="3"/>
  <c r="BK228" i="3"/>
  <c r="BM228" i="3"/>
  <c r="M229" i="3"/>
  <c r="Q229" i="3"/>
  <c r="V229" i="3"/>
  <c r="W229" i="3"/>
  <c r="AB229" i="3"/>
  <c r="AD229" i="3"/>
  <c r="AQ229" i="3"/>
  <c r="AR229" i="3"/>
  <c r="AT229" i="3"/>
  <c r="AV229" i="3"/>
  <c r="BE229" i="3"/>
  <c r="BH229" i="3"/>
  <c r="BJ229" i="3"/>
  <c r="BK229" i="3"/>
  <c r="BM229" i="3"/>
  <c r="M230" i="3"/>
  <c r="Q230" i="3"/>
  <c r="V230" i="3"/>
  <c r="W230" i="3"/>
  <c r="AB230" i="3"/>
  <c r="AD230" i="3"/>
  <c r="AQ230" i="3"/>
  <c r="AR230" i="3"/>
  <c r="AT230" i="3"/>
  <c r="AV230" i="3"/>
  <c r="BE230" i="3"/>
  <c r="BH230" i="3"/>
  <c r="BJ230" i="3"/>
  <c r="BK230" i="3"/>
  <c r="BM230" i="3"/>
  <c r="M231" i="3"/>
  <c r="Q231" i="3"/>
  <c r="V231" i="3"/>
  <c r="W231" i="3"/>
  <c r="AB231" i="3"/>
  <c r="AD231" i="3"/>
  <c r="AQ231" i="3"/>
  <c r="AR231" i="3"/>
  <c r="AT231" i="3"/>
  <c r="AV231" i="3"/>
  <c r="BE231" i="3"/>
  <c r="BH231" i="3"/>
  <c r="BJ231" i="3"/>
  <c r="BK231" i="3"/>
  <c r="M232" i="3"/>
  <c r="Q232" i="3"/>
  <c r="V232" i="3"/>
  <c r="W232" i="3"/>
  <c r="AB232" i="3"/>
  <c r="AD232" i="3"/>
  <c r="AQ232" i="3"/>
  <c r="AR232" i="3"/>
  <c r="AT232" i="3"/>
  <c r="AV232" i="3"/>
  <c r="BE232" i="3"/>
  <c r="BH232" i="3"/>
  <c r="BJ232" i="3"/>
  <c r="BK232" i="3"/>
  <c r="M233" i="3"/>
  <c r="Q233" i="3"/>
  <c r="V233" i="3"/>
  <c r="W233" i="3"/>
  <c r="AB233" i="3"/>
  <c r="AD233" i="3"/>
  <c r="AQ233" i="3"/>
  <c r="AR233" i="3"/>
  <c r="AT233" i="3"/>
  <c r="AV233" i="3"/>
  <c r="BE233" i="3"/>
  <c r="BH233" i="3"/>
  <c r="BJ233" i="3"/>
  <c r="BK233" i="3"/>
  <c r="M234" i="3"/>
  <c r="Q234" i="3"/>
  <c r="V234" i="3"/>
  <c r="W234" i="3"/>
  <c r="AB234" i="3"/>
  <c r="AD234" i="3"/>
  <c r="AQ234" i="3"/>
  <c r="AR234" i="3"/>
  <c r="AT234" i="3"/>
  <c r="AV234" i="3"/>
  <c r="BE234" i="3"/>
  <c r="BH234" i="3"/>
  <c r="BJ234" i="3"/>
  <c r="BK234" i="3"/>
  <c r="M235" i="3"/>
  <c r="Q235" i="3"/>
  <c r="V235" i="3"/>
  <c r="W235" i="3"/>
  <c r="AB235" i="3"/>
  <c r="AD235" i="3"/>
  <c r="AQ235" i="3"/>
  <c r="AR235" i="3"/>
  <c r="AT235" i="3"/>
  <c r="AV235" i="3"/>
  <c r="BE235" i="3"/>
  <c r="BH235" i="3"/>
  <c r="BJ235" i="3"/>
  <c r="BK235" i="3"/>
  <c r="M236" i="3"/>
  <c r="Q236" i="3"/>
  <c r="V236" i="3"/>
  <c r="W236" i="3"/>
  <c r="AB236" i="3"/>
  <c r="AD236" i="3"/>
  <c r="AQ236" i="3"/>
  <c r="AR236" i="3"/>
  <c r="AT236" i="3"/>
  <c r="AV236" i="3"/>
  <c r="BE236" i="3"/>
  <c r="BH236" i="3"/>
  <c r="BJ236" i="3"/>
  <c r="BK236" i="3"/>
  <c r="AQ320" i="3"/>
  <c r="BE320" i="3"/>
  <c r="BK320" i="3"/>
  <c r="AD321" i="3"/>
  <c r="AV321" i="3"/>
  <c r="BJ321" i="3"/>
  <c r="W322" i="3"/>
  <c r="AR322" i="3"/>
  <c r="AV322" i="3"/>
  <c r="BE322" i="3"/>
  <c r="BH322" i="3"/>
  <c r="M323" i="3"/>
  <c r="Q323" i="3"/>
  <c r="AR323" i="3"/>
  <c r="BE323" i="3"/>
  <c r="BH323" i="3"/>
  <c r="BJ323" i="3"/>
  <c r="M324" i="3"/>
  <c r="AB324" i="3"/>
  <c r="BE324" i="3"/>
  <c r="BJ324" i="3"/>
  <c r="BK324" i="3"/>
  <c r="Q325" i="3"/>
  <c r="AQ325" i="3"/>
  <c r="AV325" i="3"/>
  <c r="BH325" i="3"/>
  <c r="BJ325" i="3"/>
  <c r="M326" i="3"/>
  <c r="W326" i="3"/>
  <c r="AB326" i="3"/>
  <c r="AR326" i="3"/>
  <c r="AV326" i="3"/>
  <c r="BH326" i="3"/>
  <c r="M327" i="3"/>
  <c r="W327" i="3"/>
  <c r="AB327" i="3"/>
  <c r="AV327" i="3"/>
  <c r="BE327" i="3"/>
  <c r="BJ327" i="3"/>
  <c r="V328" i="3"/>
  <c r="AB328" i="3"/>
  <c r="AV328" i="3"/>
  <c r="BE328" i="3"/>
  <c r="BK328" i="3"/>
  <c r="V329" i="3"/>
  <c r="W329" i="3"/>
  <c r="AQ329" i="3"/>
  <c r="BJ329" i="3"/>
  <c r="BK329" i="3"/>
  <c r="W330" i="3"/>
  <c r="AD330" i="3"/>
  <c r="AQ330" i="3"/>
  <c r="AV330" i="3"/>
  <c r="BE330" i="3"/>
  <c r="BK330" i="3"/>
  <c r="Q331" i="3"/>
  <c r="V331" i="3"/>
  <c r="AD331" i="3"/>
  <c r="AQ331" i="3"/>
  <c r="BH331" i="3"/>
  <c r="V332" i="3"/>
  <c r="W332" i="3"/>
  <c r="AD332" i="3"/>
  <c r="AQ332" i="3"/>
  <c r="BH332" i="3"/>
  <c r="BJ332" i="3"/>
  <c r="Q333" i="3"/>
  <c r="BH333" i="3"/>
  <c r="V334" i="3"/>
  <c r="AB334" i="3"/>
  <c r="AR334" i="3"/>
  <c r="AT334" i="3"/>
  <c r="BE334" i="3"/>
  <c r="BK334" i="3"/>
  <c r="M335" i="3"/>
  <c r="V335" i="3"/>
  <c r="AD335" i="3"/>
  <c r="AR335" i="3"/>
  <c r="AT335" i="3"/>
  <c r="BE335" i="3"/>
  <c r="BH335" i="3"/>
  <c r="BJ335" i="3"/>
  <c r="BK335" i="3"/>
  <c r="AB348" i="3"/>
  <c r="AD349" i="3"/>
  <c r="AQ349" i="3"/>
  <c r="AT349" i="3"/>
  <c r="BE349" i="3"/>
  <c r="BJ349" i="3"/>
  <c r="Q350" i="3"/>
  <c r="W350" i="3"/>
  <c r="AB350" i="3"/>
  <c r="AR350" i="3"/>
  <c r="AT350" i="3"/>
  <c r="W351" i="3"/>
  <c r="AB351" i="3"/>
  <c r="AQ351" i="3"/>
  <c r="BH351" i="3"/>
  <c r="Q352" i="3"/>
  <c r="AB352" i="3"/>
  <c r="AD352" i="3"/>
  <c r="AQ352" i="3"/>
  <c r="BJ352" i="3"/>
  <c r="BK352" i="3"/>
  <c r="M353" i="3"/>
  <c r="Q353" i="3"/>
  <c r="W353" i="3"/>
  <c r="AB353" i="3"/>
  <c r="AD353" i="3"/>
  <c r="AQ353" i="3"/>
  <c r="BH353" i="3"/>
  <c r="BK353" i="3"/>
  <c r="Q354" i="3"/>
  <c r="AD354" i="3"/>
  <c r="AV354" i="3"/>
  <c r="BE354" i="3"/>
  <c r="BH354" i="3"/>
  <c r="AB355" i="3"/>
  <c r="AR355" i="3"/>
  <c r="BH355" i="3"/>
  <c r="BJ355" i="3"/>
  <c r="V356" i="3"/>
  <c r="BH356" i="3"/>
  <c r="V357" i="3"/>
  <c r="W357" i="3"/>
  <c r="AR357" i="3"/>
  <c r="AV357" i="3"/>
  <c r="BK357" i="3"/>
  <c r="W358" i="3"/>
  <c r="AD358" i="3"/>
  <c r="AT358" i="3"/>
  <c r="BE358" i="3"/>
  <c r="BH358" i="3"/>
  <c r="BJ358" i="3"/>
  <c r="V359" i="3"/>
  <c r="AQ359" i="3"/>
  <c r="AV359" i="3"/>
  <c r="BE359" i="3"/>
  <c r="BJ359" i="3"/>
  <c r="V360" i="3"/>
  <c r="AD360" i="3"/>
  <c r="AV360" i="3"/>
  <c r="BH360" i="3"/>
  <c r="W361" i="3"/>
  <c r="AR361" i="3"/>
  <c r="AT361" i="3"/>
  <c r="BE361" i="3"/>
  <c r="BJ361" i="3"/>
  <c r="Q362" i="3"/>
  <c r="AD362" i="3"/>
  <c r="AR362" i="3"/>
  <c r="AT362" i="3"/>
  <c r="BH362" i="3"/>
  <c r="M363" i="3"/>
  <c r="V363" i="3"/>
  <c r="AB363" i="3"/>
  <c r="AV363" i="3"/>
  <c r="BH363" i="3"/>
  <c r="AT364" i="3"/>
  <c r="V365" i="3"/>
  <c r="AB365" i="3"/>
  <c r="AQ365" i="3"/>
  <c r="AV365" i="3"/>
  <c r="BH365" i="3"/>
  <c r="V366" i="3"/>
  <c r="W366" i="3"/>
  <c r="AR366" i="3"/>
  <c r="AT366" i="3"/>
  <c r="Q367" i="3"/>
  <c r="W367" i="3"/>
  <c r="AD367" i="3"/>
  <c r="BK367" i="3"/>
  <c r="Q368" i="3"/>
  <c r="W368" i="3"/>
  <c r="AD368" i="3"/>
  <c r="BE368" i="3"/>
  <c r="V203" i="3"/>
  <c r="M237" i="3"/>
  <c r="Q237" i="3"/>
  <c r="V237" i="3"/>
  <c r="W237" i="3"/>
  <c r="AB237" i="3"/>
  <c r="AD237" i="3"/>
  <c r="AQ237" i="3"/>
  <c r="AR237" i="3"/>
  <c r="AT237" i="3"/>
  <c r="AV237" i="3"/>
  <c r="BE237" i="3"/>
  <c r="BH237" i="3"/>
  <c r="BJ237" i="3"/>
  <c r="BK237" i="3"/>
  <c r="M238" i="3"/>
  <c r="Q238" i="3"/>
  <c r="V238" i="3"/>
  <c r="W238" i="3"/>
  <c r="AB238" i="3"/>
  <c r="AD238" i="3"/>
  <c r="AQ238" i="3"/>
  <c r="AR238" i="3"/>
  <c r="AT238" i="3"/>
  <c r="AV238" i="3"/>
  <c r="BE238" i="3"/>
  <c r="BH238" i="3"/>
  <c r="BJ238" i="3"/>
  <c r="BK238" i="3"/>
  <c r="M239" i="3"/>
  <c r="Q239" i="3"/>
  <c r="V239" i="3"/>
  <c r="W239" i="3"/>
  <c r="AB239" i="3"/>
  <c r="AD239" i="3"/>
  <c r="AQ239" i="3"/>
  <c r="AR239" i="3"/>
  <c r="AT239" i="3"/>
  <c r="AV239" i="3"/>
  <c r="BE239" i="3"/>
  <c r="BH239" i="3"/>
  <c r="BJ239" i="3"/>
  <c r="BK239" i="3"/>
  <c r="M240" i="3"/>
  <c r="Q240" i="3"/>
  <c r="V240" i="3"/>
  <c r="W240" i="3"/>
  <c r="AB240" i="3"/>
  <c r="AD240" i="3"/>
  <c r="AQ240" i="3"/>
  <c r="AR240" i="3"/>
  <c r="AT240" i="3"/>
  <c r="AV240" i="3"/>
  <c r="BE240" i="3"/>
  <c r="BH240" i="3"/>
  <c r="BJ240" i="3"/>
  <c r="BK240" i="3"/>
  <c r="M241" i="3"/>
  <c r="Q241" i="3"/>
  <c r="V241" i="3"/>
  <c r="W241" i="3"/>
  <c r="AB241" i="3"/>
  <c r="AD241" i="3"/>
  <c r="AQ241" i="3"/>
  <c r="AR241" i="3"/>
  <c r="AT241" i="3"/>
  <c r="AV241" i="3"/>
  <c r="BE241" i="3"/>
  <c r="BH241" i="3"/>
  <c r="BJ241" i="3"/>
  <c r="BK241" i="3"/>
  <c r="M242" i="3"/>
  <c r="Q242" i="3"/>
  <c r="V242" i="3"/>
  <c r="W242" i="3"/>
  <c r="AB242" i="3"/>
  <c r="AD242" i="3"/>
  <c r="AQ242" i="3"/>
  <c r="AR242" i="3"/>
  <c r="AT242" i="3"/>
  <c r="AV242" i="3"/>
  <c r="BE242" i="3"/>
  <c r="BH242" i="3"/>
  <c r="BJ242" i="3"/>
  <c r="BK242" i="3"/>
  <c r="M243" i="3"/>
  <c r="Q243" i="3"/>
  <c r="V243" i="3"/>
  <c r="W243" i="3"/>
  <c r="AB243" i="3"/>
  <c r="AD243" i="3"/>
  <c r="AQ243" i="3"/>
  <c r="AR243" i="3"/>
  <c r="AT243" i="3"/>
  <c r="AV243" i="3"/>
  <c r="BE243" i="3"/>
  <c r="BH243" i="3"/>
  <c r="BJ243" i="3"/>
  <c r="BK243" i="3"/>
  <c r="M244" i="3"/>
  <c r="Q244" i="3"/>
  <c r="V244" i="3"/>
  <c r="W244" i="3"/>
  <c r="AB244" i="3"/>
  <c r="AD244" i="3"/>
  <c r="AQ244" i="3"/>
  <c r="AR244" i="3"/>
  <c r="AT244" i="3"/>
  <c r="AV244" i="3"/>
  <c r="BE244" i="3"/>
  <c r="BH244" i="3"/>
  <c r="BJ244" i="3"/>
  <c r="BK244" i="3"/>
  <c r="M245" i="3"/>
  <c r="Q245" i="3"/>
  <c r="V245" i="3"/>
  <c r="W245" i="3"/>
  <c r="AB245" i="3"/>
  <c r="AD245" i="3"/>
  <c r="AQ245" i="3"/>
  <c r="AR245" i="3"/>
  <c r="AT245" i="3"/>
  <c r="AV245" i="3"/>
  <c r="BE245" i="3"/>
  <c r="BH245" i="3"/>
  <c r="BJ245" i="3"/>
  <c r="BK245" i="3"/>
  <c r="M246" i="3"/>
  <c r="Q246" i="3"/>
  <c r="V246" i="3"/>
  <c r="W246" i="3"/>
  <c r="AB246" i="3"/>
  <c r="AD246" i="3"/>
  <c r="AQ246" i="3"/>
  <c r="AR246" i="3"/>
  <c r="AT246" i="3"/>
  <c r="AV246" i="3"/>
  <c r="BE246" i="3"/>
  <c r="BH246" i="3"/>
  <c r="BJ246" i="3"/>
  <c r="BK246" i="3"/>
  <c r="M247" i="3"/>
  <c r="Q247" i="3"/>
  <c r="V247" i="3"/>
  <c r="W247" i="3"/>
  <c r="AB247" i="3"/>
  <c r="AD247" i="3"/>
  <c r="AQ247" i="3"/>
  <c r="AR247" i="3"/>
  <c r="AT247" i="3"/>
  <c r="AV247" i="3"/>
  <c r="BE247" i="3"/>
  <c r="BH247" i="3"/>
  <c r="BJ247" i="3"/>
  <c r="BK247" i="3"/>
  <c r="M248" i="3"/>
  <c r="Q248" i="3"/>
  <c r="V248" i="3"/>
  <c r="W248" i="3"/>
  <c r="AB248" i="3"/>
  <c r="AD248" i="3"/>
  <c r="AQ248" i="3"/>
  <c r="AR248" i="3"/>
  <c r="AT248" i="3"/>
  <c r="AV248" i="3"/>
  <c r="BE248" i="3"/>
  <c r="BH248" i="3"/>
  <c r="BJ248" i="3"/>
  <c r="BK248" i="3"/>
  <c r="M249" i="3"/>
  <c r="Q249" i="3"/>
  <c r="V249" i="3"/>
  <c r="W249" i="3"/>
  <c r="AB249" i="3"/>
  <c r="AD249" i="3"/>
  <c r="AQ249" i="3"/>
  <c r="AR249" i="3"/>
  <c r="AT249" i="3"/>
  <c r="AV249" i="3"/>
  <c r="BE249" i="3"/>
  <c r="BH249" i="3"/>
  <c r="BJ249" i="3"/>
  <c r="BK249" i="3"/>
  <c r="M250" i="3"/>
  <c r="Q250" i="3"/>
  <c r="V250" i="3"/>
  <c r="W250" i="3"/>
  <c r="AB250" i="3"/>
  <c r="AD250" i="3"/>
  <c r="AQ250" i="3"/>
  <c r="AR250" i="3"/>
  <c r="AT250" i="3"/>
  <c r="AV250" i="3"/>
  <c r="BE250" i="3"/>
  <c r="BH250" i="3"/>
  <c r="BJ250" i="3"/>
  <c r="BK250" i="3"/>
  <c r="M251" i="3"/>
  <c r="Q251" i="3"/>
  <c r="V251" i="3"/>
  <c r="W251" i="3"/>
  <c r="AB251" i="3"/>
  <c r="AD251" i="3"/>
  <c r="AQ251" i="3"/>
  <c r="AR251" i="3"/>
  <c r="AT251" i="3"/>
  <c r="AV251" i="3"/>
  <c r="BE251" i="3"/>
  <c r="BH251" i="3"/>
  <c r="BJ251" i="3"/>
  <c r="BK251" i="3"/>
  <c r="M252" i="3"/>
  <c r="Q252" i="3"/>
  <c r="V252" i="3"/>
  <c r="W252" i="3"/>
  <c r="AB252" i="3"/>
  <c r="AD252" i="3"/>
  <c r="AQ252" i="3"/>
  <c r="AR252" i="3"/>
  <c r="AT252" i="3"/>
  <c r="AV252" i="3"/>
  <c r="BE252" i="3"/>
  <c r="BH252" i="3"/>
  <c r="BJ252" i="3"/>
  <c r="BK252" i="3"/>
  <c r="M253" i="3"/>
  <c r="Q253" i="3"/>
  <c r="V253" i="3"/>
  <c r="W253" i="3"/>
  <c r="AB253" i="3"/>
  <c r="AD253" i="3"/>
  <c r="AQ253" i="3"/>
  <c r="AR253" i="3"/>
  <c r="AT253" i="3"/>
  <c r="AV253" i="3"/>
  <c r="BE253" i="3"/>
  <c r="BH253" i="3"/>
  <c r="BJ253" i="3"/>
  <c r="BK253" i="3"/>
  <c r="M254" i="3"/>
  <c r="Q254" i="3"/>
  <c r="V254" i="3"/>
  <c r="W254" i="3"/>
  <c r="AB254" i="3"/>
  <c r="AD254" i="3"/>
  <c r="AQ254" i="3"/>
  <c r="AR254" i="3"/>
  <c r="AT254" i="3"/>
  <c r="AV254" i="3"/>
  <c r="BE254" i="3"/>
  <c r="BH254" i="3"/>
  <c r="BJ254" i="3"/>
  <c r="BK254" i="3"/>
  <c r="M255" i="3"/>
  <c r="Q255" i="3"/>
  <c r="V255" i="3"/>
  <c r="W255" i="3"/>
  <c r="AB255" i="3"/>
  <c r="AD255" i="3"/>
  <c r="AQ255" i="3"/>
  <c r="AR255" i="3"/>
  <c r="AT255" i="3"/>
  <c r="AV255" i="3"/>
  <c r="BE255" i="3"/>
  <c r="BH255" i="3"/>
  <c r="BJ255" i="3"/>
  <c r="BK255" i="3"/>
  <c r="M256" i="3"/>
  <c r="Q256" i="3"/>
  <c r="V256" i="3"/>
  <c r="W256" i="3"/>
  <c r="AB256" i="3"/>
  <c r="AD256" i="3"/>
  <c r="AQ256" i="3"/>
  <c r="AR256" i="3"/>
  <c r="AT256" i="3"/>
  <c r="AV256" i="3"/>
  <c r="BE256" i="3"/>
  <c r="BH256" i="3"/>
  <c r="BJ256" i="3"/>
  <c r="BK256" i="3"/>
  <c r="M257" i="3"/>
  <c r="Q257" i="3"/>
  <c r="V257" i="3"/>
  <c r="W257" i="3"/>
  <c r="AB257" i="3"/>
  <c r="AD257" i="3"/>
  <c r="AQ257" i="3"/>
  <c r="AR257" i="3"/>
  <c r="AT257" i="3"/>
  <c r="AV257" i="3"/>
  <c r="BE257" i="3"/>
  <c r="BH257" i="3"/>
  <c r="BJ257" i="3"/>
  <c r="BK257" i="3"/>
  <c r="M258" i="3"/>
  <c r="Q258" i="3"/>
  <c r="V258" i="3"/>
  <c r="W258" i="3"/>
  <c r="AB258" i="3"/>
  <c r="AD258" i="3"/>
  <c r="AQ258" i="3"/>
  <c r="AR258" i="3"/>
  <c r="AT258" i="3"/>
  <c r="AV258" i="3"/>
  <c r="BE258" i="3"/>
  <c r="BH258" i="3"/>
  <c r="BJ258" i="3"/>
  <c r="BK258" i="3"/>
  <c r="M259" i="3"/>
  <c r="Q259" i="3"/>
  <c r="V259" i="3"/>
  <c r="W259" i="3"/>
  <c r="AB259" i="3"/>
  <c r="AD259" i="3"/>
  <c r="AQ259" i="3"/>
  <c r="AR259" i="3"/>
  <c r="AT259" i="3"/>
  <c r="AV259" i="3"/>
  <c r="BE259" i="3"/>
  <c r="BH259" i="3"/>
  <c r="BJ259" i="3"/>
  <c r="BK259" i="3"/>
  <c r="M260" i="3"/>
  <c r="Q260" i="3"/>
  <c r="V260" i="3"/>
  <c r="W260" i="3"/>
  <c r="AB260" i="3"/>
  <c r="AD260" i="3"/>
  <c r="AQ260" i="3"/>
  <c r="AR260" i="3"/>
  <c r="AT260" i="3"/>
  <c r="AV260" i="3"/>
  <c r="BE260" i="3"/>
  <c r="BH260" i="3"/>
  <c r="BJ260" i="3"/>
  <c r="BK260" i="3"/>
  <c r="BM260" i="3"/>
  <c r="M261" i="3"/>
  <c r="Q261" i="3"/>
  <c r="V261" i="3"/>
  <c r="W261" i="3"/>
  <c r="AB261" i="3"/>
  <c r="AD261" i="3"/>
  <c r="AQ261" i="3"/>
  <c r="AR261" i="3"/>
  <c r="AT261" i="3"/>
  <c r="AV261" i="3"/>
  <c r="BE261" i="3"/>
  <c r="BH261" i="3"/>
  <c r="BJ261" i="3"/>
  <c r="BK261" i="3"/>
  <c r="BM261" i="3"/>
  <c r="M262" i="3"/>
  <c r="Q262" i="3"/>
  <c r="V262" i="3"/>
  <c r="W262" i="3"/>
  <c r="AB262" i="3"/>
  <c r="AD262" i="3"/>
  <c r="AQ262" i="3"/>
  <c r="AR262" i="3"/>
  <c r="AT262" i="3"/>
  <c r="AV262" i="3"/>
  <c r="BE262" i="3"/>
  <c r="BH262" i="3"/>
  <c r="BJ262" i="3"/>
  <c r="BK262" i="3"/>
  <c r="BM262" i="3"/>
  <c r="M263" i="3"/>
  <c r="Q263" i="3"/>
  <c r="V263" i="3"/>
  <c r="W263" i="3"/>
  <c r="AB263" i="3"/>
  <c r="AD263" i="3"/>
  <c r="AQ263" i="3"/>
  <c r="AR263" i="3"/>
  <c r="AT263" i="3"/>
  <c r="AV263" i="3"/>
  <c r="BE263" i="3"/>
  <c r="BH263" i="3"/>
  <c r="BJ263" i="3"/>
  <c r="BK263" i="3"/>
  <c r="BM263" i="3"/>
  <c r="M264" i="3"/>
  <c r="Q264" i="3"/>
  <c r="V264" i="3"/>
  <c r="W264" i="3"/>
  <c r="AB264" i="3"/>
  <c r="AD264" i="3"/>
  <c r="AQ264" i="3"/>
  <c r="AR264" i="3"/>
  <c r="AT264" i="3"/>
  <c r="AV264" i="3"/>
  <c r="BE264" i="3"/>
  <c r="BH264" i="3"/>
  <c r="BJ264" i="3"/>
  <c r="BK264" i="3"/>
  <c r="BM264" i="3"/>
  <c r="M265" i="3"/>
  <c r="Q265" i="3"/>
  <c r="V265" i="3"/>
  <c r="W265" i="3"/>
  <c r="AB265" i="3"/>
  <c r="AD265" i="3"/>
  <c r="AQ265" i="3"/>
  <c r="AR265" i="3"/>
  <c r="AT265" i="3"/>
  <c r="AV265" i="3"/>
  <c r="BE265" i="3"/>
  <c r="BH265" i="3"/>
  <c r="BJ265" i="3"/>
  <c r="BK265" i="3"/>
  <c r="BM265" i="3"/>
  <c r="M266" i="3"/>
  <c r="Q266" i="3"/>
  <c r="V266" i="3"/>
  <c r="W266" i="3"/>
  <c r="AB266" i="3"/>
  <c r="AD266" i="3"/>
  <c r="AQ266" i="3"/>
  <c r="AR266" i="3"/>
  <c r="AT266" i="3"/>
  <c r="AV266" i="3"/>
  <c r="BE266" i="3"/>
  <c r="BH266" i="3"/>
  <c r="BJ266" i="3"/>
  <c r="BK266" i="3"/>
  <c r="BM266" i="3"/>
  <c r="M267" i="3"/>
  <c r="Q267" i="3"/>
  <c r="V267" i="3"/>
  <c r="W267" i="3"/>
  <c r="AB267" i="3"/>
  <c r="AD267" i="3"/>
  <c r="AQ267" i="3"/>
  <c r="AR267" i="3"/>
  <c r="AT267" i="3"/>
  <c r="AV267" i="3"/>
  <c r="BE267" i="3"/>
  <c r="BH267" i="3"/>
  <c r="BJ267" i="3"/>
  <c r="BK267" i="3"/>
  <c r="BM267" i="3"/>
  <c r="M268" i="3"/>
  <c r="Q268" i="3"/>
  <c r="V268" i="3"/>
  <c r="W268" i="3"/>
  <c r="AB268" i="3"/>
  <c r="AD268" i="3"/>
  <c r="AQ268" i="3"/>
  <c r="AR268" i="3"/>
  <c r="AT268" i="3"/>
  <c r="AV268" i="3"/>
  <c r="BE268" i="3"/>
  <c r="BH268" i="3"/>
  <c r="BJ268" i="3"/>
  <c r="BK268" i="3"/>
  <c r="BM268" i="3"/>
  <c r="M269" i="3"/>
  <c r="Q269" i="3"/>
  <c r="V269" i="3"/>
  <c r="W269" i="3"/>
  <c r="AB269" i="3"/>
  <c r="AD269" i="3"/>
  <c r="AQ269" i="3"/>
  <c r="AR269" i="3"/>
  <c r="AT269" i="3"/>
  <c r="AV269" i="3"/>
  <c r="BE269" i="3"/>
  <c r="BH269" i="3"/>
  <c r="BJ269" i="3"/>
  <c r="BK269" i="3"/>
  <c r="BM269" i="3"/>
  <c r="BE291" i="3"/>
  <c r="BK291" i="3"/>
  <c r="M292" i="3"/>
  <c r="V292" i="3"/>
  <c r="W292" i="3"/>
  <c r="AD292" i="3"/>
  <c r="AR292" i="3"/>
  <c r="AT292" i="3"/>
  <c r="BE292" i="3"/>
  <c r="BH292" i="3"/>
  <c r="BK292" i="3"/>
  <c r="M293" i="3"/>
  <c r="Q293" i="3"/>
  <c r="W293" i="3"/>
  <c r="AB293" i="3"/>
  <c r="AQ293" i="3"/>
  <c r="BH293" i="3"/>
  <c r="BK293" i="3"/>
  <c r="M294" i="3"/>
  <c r="AB294" i="3"/>
  <c r="AQ294" i="3"/>
  <c r="AV294" i="3"/>
  <c r="BH294" i="3"/>
  <c r="BK294" i="3"/>
  <c r="M295" i="3"/>
  <c r="Q295" i="3"/>
  <c r="V295" i="3"/>
  <c r="W295" i="3"/>
  <c r="AB295" i="3"/>
  <c r="AQ295" i="3"/>
  <c r="AV295" i="3"/>
  <c r="BH295" i="3"/>
  <c r="BJ295" i="3"/>
  <c r="BK295" i="3"/>
  <c r="M296" i="3"/>
  <c r="V296" i="3"/>
  <c r="AB296" i="3"/>
  <c r="AR296" i="3"/>
  <c r="AT296" i="3"/>
  <c r="BE296" i="3"/>
  <c r="BH296" i="3"/>
  <c r="BK296" i="3"/>
  <c r="W297" i="3"/>
  <c r="AD297" i="3"/>
  <c r="AQ297" i="3"/>
  <c r="AR297" i="3"/>
  <c r="AT297" i="3"/>
  <c r="BH297" i="3"/>
  <c r="BK297" i="3"/>
  <c r="W298" i="3"/>
  <c r="AD298" i="3"/>
  <c r="AQ298" i="3"/>
  <c r="AR298" i="3"/>
  <c r="AT298" i="3"/>
  <c r="BE298" i="3"/>
  <c r="BJ298" i="3"/>
  <c r="Q299" i="3"/>
  <c r="W299" i="3"/>
  <c r="AD299" i="3"/>
  <c r="AR299" i="3"/>
  <c r="AT299" i="3"/>
  <c r="BH299" i="3"/>
  <c r="BK299" i="3"/>
  <c r="M300" i="3"/>
  <c r="V300" i="3"/>
  <c r="AB300" i="3"/>
  <c r="AQ300" i="3"/>
  <c r="AV300" i="3"/>
  <c r="BH300" i="3"/>
  <c r="BK300" i="3"/>
  <c r="M301" i="3"/>
  <c r="Q301" i="3"/>
  <c r="W301" i="3"/>
  <c r="AQ301" i="3"/>
  <c r="AT301" i="3"/>
  <c r="AV301" i="3"/>
  <c r="BE301" i="3"/>
  <c r="BH301" i="3"/>
  <c r="BK301" i="3"/>
  <c r="Q302" i="3"/>
  <c r="V302" i="3"/>
  <c r="AB302" i="3"/>
  <c r="AQ302" i="3"/>
  <c r="AT302" i="3"/>
  <c r="BE302" i="3"/>
  <c r="BJ302" i="3"/>
  <c r="AD315" i="3"/>
  <c r="AQ315" i="3"/>
  <c r="AV315" i="3"/>
  <c r="BE315" i="3"/>
  <c r="BH315" i="3"/>
  <c r="BK315" i="3"/>
  <c r="Q316" i="3"/>
  <c r="W316" i="3"/>
  <c r="AB316" i="3"/>
  <c r="AR316" i="3"/>
  <c r="AT316" i="3"/>
  <c r="BJ316" i="3"/>
  <c r="M317" i="3"/>
  <c r="Q317" i="3"/>
  <c r="AB317" i="3"/>
  <c r="AQ317" i="3"/>
  <c r="AR317" i="3"/>
  <c r="AT317" i="3"/>
  <c r="BH317" i="3"/>
  <c r="BK317" i="3"/>
  <c r="Q318" i="3"/>
  <c r="V318" i="3"/>
  <c r="AB318" i="3"/>
  <c r="AQ318" i="3"/>
  <c r="AR318" i="3"/>
  <c r="AV318" i="3"/>
  <c r="BJ318" i="3"/>
  <c r="Q319" i="3"/>
  <c r="W319" i="3"/>
  <c r="AB319" i="3"/>
  <c r="AQ319" i="3"/>
  <c r="AR319" i="3"/>
  <c r="AT319" i="3"/>
  <c r="AV319" i="3"/>
  <c r="BH319" i="3"/>
  <c r="BK319" i="3"/>
  <c r="Q320" i="3"/>
  <c r="V320" i="3"/>
  <c r="AD320" i="3"/>
  <c r="AR320" i="3"/>
  <c r="AT320" i="3"/>
  <c r="BH320" i="3"/>
  <c r="BJ320" i="3"/>
  <c r="Q321" i="3"/>
  <c r="W321" i="3"/>
  <c r="AQ321" i="3"/>
  <c r="AR321" i="3"/>
  <c r="AT321" i="3"/>
  <c r="BE321" i="3"/>
  <c r="BK321" i="3"/>
  <c r="Q322" i="3"/>
  <c r="AD322" i="3"/>
  <c r="AT322" i="3"/>
  <c r="BK322" i="3"/>
  <c r="AB323" i="3"/>
  <c r="AQ323" i="3"/>
  <c r="AT323" i="3"/>
  <c r="BK323" i="3"/>
  <c r="Q324" i="3"/>
  <c r="W324" i="3"/>
  <c r="AQ324" i="3"/>
  <c r="AR324" i="3"/>
  <c r="AV324" i="3"/>
  <c r="M325" i="3"/>
  <c r="AB325" i="3"/>
  <c r="AD325" i="3"/>
  <c r="BE325" i="3"/>
  <c r="BK325" i="3"/>
  <c r="V326" i="3"/>
  <c r="AQ326" i="3"/>
  <c r="BE326" i="3"/>
  <c r="BK326" i="3"/>
  <c r="V327" i="3"/>
  <c r="BH327" i="3"/>
  <c r="M328" i="3"/>
  <c r="W328" i="3"/>
  <c r="AQ328" i="3"/>
  <c r="BH328" i="3"/>
  <c r="AD329" i="3"/>
  <c r="AV329" i="3"/>
  <c r="BE329" i="3"/>
  <c r="M330" i="3"/>
  <c r="Q330" i="3"/>
  <c r="BJ330" i="3"/>
  <c r="BJ331" i="3"/>
  <c r="Q332" i="3"/>
  <c r="AV332" i="3"/>
  <c r="V333" i="3"/>
  <c r="AD333" i="3"/>
  <c r="AQ333" i="3"/>
  <c r="AT333" i="3"/>
  <c r="BJ333" i="3"/>
  <c r="Q334" i="3"/>
  <c r="AD334" i="3"/>
  <c r="AQ334" i="3"/>
  <c r="AV334" i="3"/>
  <c r="BH334" i="3"/>
  <c r="BJ334" i="3"/>
  <c r="Q335" i="3"/>
  <c r="W335" i="3"/>
  <c r="AB335" i="3"/>
  <c r="AV335" i="3"/>
  <c r="V348" i="3"/>
  <c r="AD348" i="3"/>
  <c r="AV348" i="3"/>
  <c r="BH348" i="3"/>
  <c r="BJ348" i="3"/>
  <c r="Q349" i="3"/>
  <c r="AB349" i="3"/>
  <c r="BH349" i="3"/>
  <c r="M350" i="3"/>
  <c r="AQ350" i="3"/>
  <c r="AV350" i="3"/>
  <c r="BH350" i="3"/>
  <c r="BJ350" i="3"/>
  <c r="BK350" i="3"/>
  <c r="Q351" i="3"/>
  <c r="AT351" i="3"/>
  <c r="BK351" i="3"/>
  <c r="M352" i="3"/>
  <c r="V352" i="3"/>
  <c r="AV352" i="3"/>
  <c r="BE352" i="3"/>
  <c r="BH352" i="3"/>
  <c r="V355" i="3"/>
  <c r="AD355" i="3"/>
  <c r="AQ355" i="3"/>
  <c r="AV355" i="3"/>
  <c r="BE355" i="3"/>
  <c r="BK355" i="3"/>
  <c r="M356" i="3"/>
  <c r="W356" i="3"/>
  <c r="AB356" i="3"/>
  <c r="AQ356" i="3"/>
  <c r="AV356" i="3"/>
  <c r="BE356" i="3"/>
  <c r="BK356" i="3"/>
  <c r="M357" i="3"/>
  <c r="Q357" i="3"/>
  <c r="AB357" i="3"/>
  <c r="AQ357" i="3"/>
  <c r="AT357" i="3"/>
  <c r="BE357" i="3"/>
  <c r="BH357" i="3"/>
  <c r="M358" i="3"/>
  <c r="V358" i="3"/>
  <c r="AQ358" i="3"/>
  <c r="W359" i="3"/>
  <c r="AB359" i="3"/>
  <c r="AR359" i="3"/>
  <c r="AT359" i="3"/>
  <c r="BH359" i="3"/>
  <c r="Q360" i="3"/>
  <c r="AB360" i="3"/>
  <c r="AR360" i="3"/>
  <c r="AT360" i="3"/>
  <c r="BE360" i="3"/>
  <c r="BJ360" i="3"/>
  <c r="M361" i="3"/>
  <c r="Q361" i="3"/>
  <c r="AD361" i="3"/>
  <c r="AQ361" i="3"/>
  <c r="AB362" i="3"/>
  <c r="AQ362" i="3"/>
  <c r="BE362" i="3"/>
  <c r="BK362" i="3"/>
  <c r="Q363" i="3"/>
  <c r="W363" i="3"/>
  <c r="AR363" i="3"/>
  <c r="AT363" i="3"/>
  <c r="BJ363" i="3"/>
  <c r="BK363" i="3"/>
  <c r="V364" i="3"/>
  <c r="W364" i="3"/>
  <c r="AB364" i="3"/>
  <c r="AD364" i="3"/>
  <c r="AR364" i="3"/>
  <c r="AV364" i="3"/>
  <c r="BE364" i="3"/>
  <c r="BJ364" i="3"/>
  <c r="Q365" i="3"/>
  <c r="AD365" i="3"/>
  <c r="AT365" i="3"/>
  <c r="BE365" i="3"/>
  <c r="BJ365" i="3"/>
  <c r="BK365" i="3"/>
  <c r="Q366" i="3"/>
  <c r="AB366" i="3"/>
  <c r="AQ366" i="3"/>
  <c r="BE366" i="3"/>
  <c r="BK366" i="3"/>
  <c r="AQ367" i="3"/>
  <c r="AV367" i="3"/>
  <c r="BE367" i="3"/>
  <c r="BH367" i="3"/>
  <c r="AR368" i="3"/>
  <c r="AT368" i="3"/>
  <c r="BH368" i="3"/>
  <c r="AR203" i="3"/>
  <c r="AV203" i="3"/>
  <c r="M204" i="3"/>
  <c r="M270" i="3"/>
  <c r="Q270" i="3"/>
  <c r="V270" i="3"/>
  <c r="W270" i="3"/>
  <c r="AB270" i="3"/>
  <c r="AD270" i="3"/>
  <c r="AQ270" i="3"/>
  <c r="AR270" i="3"/>
  <c r="AT270" i="3"/>
  <c r="AV270" i="3"/>
  <c r="BE270" i="3"/>
  <c r="BH270" i="3"/>
  <c r="BJ270" i="3"/>
  <c r="BK270" i="3"/>
  <c r="BM270" i="3"/>
  <c r="M271" i="3"/>
  <c r="Q271" i="3"/>
  <c r="V271" i="3"/>
  <c r="W271" i="3"/>
  <c r="AB271" i="3"/>
  <c r="AD271" i="3"/>
  <c r="AQ271" i="3"/>
  <c r="AR271" i="3"/>
  <c r="AT271" i="3"/>
  <c r="AV271" i="3"/>
  <c r="BE271" i="3"/>
  <c r="BH271" i="3"/>
  <c r="BJ271" i="3"/>
  <c r="BK271" i="3"/>
  <c r="BM271" i="3"/>
  <c r="M272" i="3"/>
  <c r="Q272" i="3"/>
  <c r="V272" i="3"/>
  <c r="W272" i="3"/>
  <c r="AB272" i="3"/>
  <c r="AD272" i="3"/>
  <c r="AQ272" i="3"/>
  <c r="AR272" i="3"/>
  <c r="AT272" i="3"/>
  <c r="AV272" i="3"/>
  <c r="BE272" i="3"/>
  <c r="BH272" i="3"/>
  <c r="BJ272" i="3"/>
  <c r="BK272" i="3"/>
  <c r="BM272" i="3"/>
  <c r="M273" i="3"/>
  <c r="Q273" i="3"/>
  <c r="V273" i="3"/>
  <c r="W273" i="3"/>
  <c r="AB273" i="3"/>
  <c r="AD273" i="3"/>
  <c r="AQ273" i="3"/>
  <c r="AR273" i="3"/>
  <c r="AT273" i="3"/>
  <c r="AV273" i="3"/>
  <c r="BE273" i="3"/>
  <c r="BH273" i="3"/>
  <c r="BJ273" i="3"/>
  <c r="BK273" i="3"/>
  <c r="BM273" i="3"/>
  <c r="M274" i="3"/>
  <c r="Q274" i="3"/>
  <c r="V274" i="3"/>
  <c r="W274" i="3"/>
  <c r="AB274" i="3"/>
  <c r="AD274" i="3"/>
  <c r="AQ274" i="3"/>
  <c r="AR274" i="3"/>
  <c r="AT274" i="3"/>
  <c r="AV274" i="3"/>
  <c r="BE274" i="3"/>
  <c r="BH274" i="3"/>
  <c r="BJ274" i="3"/>
  <c r="BK274" i="3"/>
  <c r="BM274" i="3"/>
  <c r="M275" i="3"/>
  <c r="Q275" i="3"/>
  <c r="V275" i="3"/>
  <c r="W275" i="3"/>
  <c r="AB275" i="3"/>
  <c r="AD275" i="3"/>
  <c r="AQ275" i="3"/>
  <c r="AR275" i="3"/>
  <c r="AT275" i="3"/>
  <c r="AV275" i="3"/>
  <c r="BE275" i="3"/>
  <c r="BH275" i="3"/>
  <c r="BJ275" i="3"/>
  <c r="BK275" i="3"/>
  <c r="BM275" i="3"/>
  <c r="M276" i="3"/>
  <c r="Q276" i="3"/>
  <c r="V276" i="3"/>
  <c r="W276" i="3"/>
  <c r="AB276" i="3"/>
  <c r="AD276" i="3"/>
  <c r="AQ276" i="3"/>
  <c r="AR276" i="3"/>
  <c r="AT276" i="3"/>
  <c r="AV276" i="3"/>
  <c r="BE276" i="3"/>
  <c r="BH276" i="3"/>
  <c r="BJ276" i="3"/>
  <c r="BK276" i="3"/>
  <c r="BM276" i="3"/>
  <c r="M277" i="3"/>
  <c r="Q277" i="3"/>
  <c r="V277" i="3"/>
  <c r="W277" i="3"/>
  <c r="AB277" i="3"/>
  <c r="AD277" i="3"/>
  <c r="AQ277" i="3"/>
  <c r="AR277" i="3"/>
  <c r="AT277" i="3"/>
  <c r="AV277" i="3"/>
  <c r="BE277" i="3"/>
  <c r="BH277" i="3"/>
  <c r="BJ277" i="3"/>
  <c r="BK277" i="3"/>
  <c r="BM277" i="3"/>
  <c r="M278" i="3"/>
  <c r="Q278" i="3"/>
  <c r="V278" i="3"/>
  <c r="W278" i="3"/>
  <c r="AB278" i="3"/>
  <c r="AD278" i="3"/>
  <c r="AQ278" i="3"/>
  <c r="AR278" i="3"/>
  <c r="AT278" i="3"/>
  <c r="AV278" i="3"/>
  <c r="BE278" i="3"/>
  <c r="BH278" i="3"/>
  <c r="BJ278" i="3"/>
  <c r="BK278" i="3"/>
  <c r="BM278" i="3"/>
  <c r="M279" i="3"/>
  <c r="Q279" i="3"/>
  <c r="V279" i="3"/>
  <c r="W279" i="3"/>
  <c r="AB279" i="3"/>
  <c r="AD279" i="3"/>
  <c r="AQ279" i="3"/>
  <c r="AR279" i="3"/>
  <c r="AT279" i="3"/>
  <c r="AV279" i="3"/>
  <c r="BE279" i="3"/>
  <c r="BH279" i="3"/>
  <c r="BJ279" i="3"/>
  <c r="BK279" i="3"/>
  <c r="BM279" i="3"/>
  <c r="M280" i="3"/>
  <c r="Q280" i="3"/>
  <c r="V280" i="3"/>
  <c r="W280" i="3"/>
  <c r="AB280" i="3"/>
  <c r="AD280" i="3"/>
  <c r="AQ280" i="3"/>
  <c r="AR280" i="3"/>
  <c r="AT280" i="3"/>
  <c r="AV280" i="3"/>
  <c r="BE280" i="3"/>
  <c r="BH280" i="3"/>
  <c r="BJ280" i="3"/>
  <c r="BK280" i="3"/>
  <c r="BM280" i="3"/>
  <c r="M281" i="3"/>
  <c r="Q281" i="3"/>
  <c r="V281" i="3"/>
  <c r="W281" i="3"/>
  <c r="AB281" i="3"/>
  <c r="AD281" i="3"/>
  <c r="AQ281" i="3"/>
  <c r="AR281" i="3"/>
  <c r="AT281" i="3"/>
  <c r="AV281" i="3"/>
  <c r="BE281" i="3"/>
  <c r="BH281" i="3"/>
  <c r="BJ281" i="3"/>
  <c r="BK281" i="3"/>
  <c r="M282" i="3"/>
  <c r="Q282" i="3"/>
  <c r="V282" i="3"/>
  <c r="W282" i="3"/>
  <c r="AB282" i="3"/>
  <c r="AD282" i="3"/>
  <c r="AQ282" i="3"/>
  <c r="AR282" i="3"/>
  <c r="AT282" i="3"/>
  <c r="AV282" i="3"/>
  <c r="BE282" i="3"/>
  <c r="BH282" i="3"/>
  <c r="BJ282" i="3"/>
  <c r="BK282" i="3"/>
  <c r="M283" i="3"/>
  <c r="Q283" i="3"/>
  <c r="V283" i="3"/>
  <c r="W283" i="3"/>
  <c r="AB283" i="3"/>
  <c r="AD283" i="3"/>
  <c r="AQ283" i="3"/>
  <c r="AR283" i="3"/>
  <c r="AT283" i="3"/>
  <c r="AV283" i="3"/>
  <c r="BE283" i="3"/>
  <c r="BH283" i="3"/>
  <c r="BJ283" i="3"/>
  <c r="BK283" i="3"/>
  <c r="M284" i="3"/>
  <c r="Q284" i="3"/>
  <c r="V284" i="3"/>
  <c r="W284" i="3"/>
  <c r="AB284" i="3"/>
  <c r="AD284" i="3"/>
  <c r="AQ284" i="3"/>
  <c r="AR284" i="3"/>
  <c r="AT284" i="3"/>
  <c r="AV284" i="3"/>
  <c r="BE284" i="3"/>
  <c r="BH284" i="3"/>
  <c r="BJ284" i="3"/>
  <c r="BK284" i="3"/>
  <c r="M285" i="3"/>
  <c r="Q285" i="3"/>
  <c r="V285" i="3"/>
  <c r="W285" i="3"/>
  <c r="AB285" i="3"/>
  <c r="AD285" i="3"/>
  <c r="AQ285" i="3"/>
  <c r="AR285" i="3"/>
  <c r="AT285" i="3"/>
  <c r="AV285" i="3"/>
  <c r="BE285" i="3"/>
  <c r="BH285" i="3"/>
  <c r="BJ285" i="3"/>
  <c r="BK285" i="3"/>
  <c r="M286" i="3"/>
  <c r="Q286" i="3"/>
  <c r="V286" i="3"/>
  <c r="W286" i="3"/>
  <c r="AB286" i="3"/>
  <c r="AD286" i="3"/>
  <c r="AQ286" i="3"/>
  <c r="AR286" i="3"/>
  <c r="AT286" i="3"/>
  <c r="AV286" i="3"/>
  <c r="BE286" i="3"/>
  <c r="BH286" i="3"/>
  <c r="BJ286" i="3"/>
  <c r="BK286" i="3"/>
  <c r="M287" i="3"/>
  <c r="Q287" i="3"/>
  <c r="V287" i="3"/>
  <c r="W287" i="3"/>
  <c r="AB287" i="3"/>
  <c r="AD287" i="3"/>
  <c r="AQ287" i="3"/>
  <c r="AR287" i="3"/>
  <c r="AT287" i="3"/>
  <c r="AV287" i="3"/>
  <c r="BE287" i="3"/>
  <c r="BH287" i="3"/>
  <c r="BJ287" i="3"/>
  <c r="BK287" i="3"/>
  <c r="M288" i="3"/>
  <c r="Q288" i="3"/>
  <c r="V288" i="3"/>
  <c r="W288" i="3"/>
  <c r="AB288" i="3"/>
  <c r="AD288" i="3"/>
  <c r="AQ288" i="3"/>
  <c r="AR288" i="3"/>
  <c r="AT288" i="3"/>
  <c r="AV288" i="3"/>
  <c r="BE288" i="3"/>
  <c r="BH288" i="3"/>
  <c r="BJ288" i="3"/>
  <c r="BK288" i="3"/>
  <c r="M289" i="3"/>
  <c r="Q289" i="3"/>
  <c r="V289" i="3"/>
  <c r="W289" i="3"/>
  <c r="AB289" i="3"/>
  <c r="AD289" i="3"/>
  <c r="AQ289" i="3"/>
  <c r="AR289" i="3"/>
  <c r="AT289" i="3"/>
  <c r="AV289" i="3"/>
  <c r="BE289" i="3"/>
  <c r="BH289" i="3"/>
  <c r="BJ289" i="3"/>
  <c r="BK289" i="3"/>
  <c r="M290" i="3"/>
  <c r="Q290" i="3"/>
  <c r="V290" i="3"/>
  <c r="W290" i="3"/>
  <c r="AB290" i="3"/>
  <c r="AD290" i="3"/>
  <c r="AQ290" i="3"/>
  <c r="AR290" i="3"/>
  <c r="AT290" i="3"/>
  <c r="AV290" i="3"/>
  <c r="BE290" i="3"/>
  <c r="BH290" i="3"/>
  <c r="BJ290" i="3"/>
  <c r="BK290" i="3"/>
  <c r="M291" i="3"/>
  <c r="Q291" i="3"/>
  <c r="V291" i="3"/>
  <c r="W291" i="3"/>
  <c r="AB291" i="3"/>
  <c r="AD291" i="3"/>
  <c r="AQ291" i="3"/>
  <c r="AR291" i="3"/>
  <c r="AT291" i="3"/>
  <c r="AV291" i="3"/>
  <c r="BH291" i="3"/>
  <c r="BJ291" i="3"/>
  <c r="Q292" i="3"/>
  <c r="AB292" i="3"/>
  <c r="AQ292" i="3"/>
  <c r="AV292" i="3"/>
  <c r="BJ292" i="3"/>
  <c r="V293" i="3"/>
  <c r="AD293" i="3"/>
  <c r="AR293" i="3"/>
  <c r="AT293" i="3"/>
  <c r="AV293" i="3"/>
  <c r="BE293" i="3"/>
  <c r="BJ293" i="3"/>
  <c r="Q294" i="3"/>
  <c r="V294" i="3"/>
  <c r="W294" i="3"/>
  <c r="AD294" i="3"/>
  <c r="AR294" i="3"/>
  <c r="AT294" i="3"/>
  <c r="BE294" i="3"/>
  <c r="BJ294" i="3"/>
  <c r="AD295" i="3"/>
  <c r="AR295" i="3"/>
  <c r="AT295" i="3"/>
  <c r="BE295" i="3"/>
  <c r="Q296" i="3"/>
  <c r="W296" i="3"/>
  <c r="AD296" i="3"/>
  <c r="AQ296" i="3"/>
  <c r="AV296" i="3"/>
  <c r="BJ296" i="3"/>
  <c r="M297" i="3"/>
  <c r="Q297" i="3"/>
  <c r="V297" i="3"/>
  <c r="AB297" i="3"/>
  <c r="AV297" i="3"/>
  <c r="BE297" i="3"/>
  <c r="BJ297" i="3"/>
  <c r="M298" i="3"/>
  <c r="Q298" i="3"/>
  <c r="V298" i="3"/>
  <c r="AB298" i="3"/>
  <c r="AV298" i="3"/>
  <c r="BH298" i="3"/>
  <c r="BK298" i="3"/>
  <c r="M299" i="3"/>
  <c r="V299" i="3"/>
  <c r="AB299" i="3"/>
  <c r="AQ299" i="3"/>
  <c r="AV299" i="3"/>
  <c r="BE299" i="3"/>
  <c r="BJ299" i="3"/>
  <c r="Q300" i="3"/>
  <c r="W300" i="3"/>
  <c r="AD300" i="3"/>
  <c r="AR300" i="3"/>
  <c r="AT300" i="3"/>
  <c r="BE300" i="3"/>
  <c r="BJ300" i="3"/>
  <c r="V301" i="3"/>
  <c r="AB301" i="3"/>
  <c r="AD301" i="3"/>
  <c r="AR301" i="3"/>
  <c r="BJ301" i="3"/>
  <c r="M302" i="3"/>
  <c r="W302" i="3"/>
  <c r="AD302" i="3"/>
  <c r="AR302" i="3"/>
  <c r="AV302" i="3"/>
  <c r="BH302" i="3"/>
  <c r="BK302" i="3"/>
  <c r="V315" i="3"/>
  <c r="W315" i="3"/>
  <c r="AB315" i="3"/>
  <c r="AR315" i="3"/>
  <c r="AT315" i="3"/>
  <c r="BJ315" i="3"/>
  <c r="M316" i="3"/>
  <c r="V316" i="3"/>
  <c r="AD316" i="3"/>
  <c r="AQ316" i="3"/>
  <c r="AV316" i="3"/>
  <c r="BE316" i="3"/>
  <c r="BH316" i="3"/>
  <c r="BK316" i="3"/>
  <c r="V317" i="3"/>
  <c r="W317" i="3"/>
  <c r="AD317" i="3"/>
  <c r="AV317" i="3"/>
  <c r="BE317" i="3"/>
  <c r="BJ317" i="3"/>
  <c r="M318" i="3"/>
  <c r="W318" i="3"/>
  <c r="AD318" i="3"/>
  <c r="AT318" i="3"/>
  <c r="BE318" i="3"/>
  <c r="BH318" i="3"/>
  <c r="BK318" i="3"/>
  <c r="M319" i="3"/>
  <c r="V319" i="3"/>
  <c r="AD319" i="3"/>
  <c r="BE319" i="3"/>
  <c r="BJ319" i="3"/>
  <c r="M320" i="3"/>
  <c r="W320" i="3"/>
  <c r="AB320" i="3"/>
  <c r="AV320" i="3"/>
  <c r="M321" i="3"/>
  <c r="V321" i="3"/>
  <c r="AB321" i="3"/>
  <c r="BH321" i="3"/>
  <c r="M322" i="3"/>
  <c r="V322" i="3"/>
  <c r="AB322" i="3"/>
  <c r="AQ322" i="3"/>
  <c r="BJ322" i="3"/>
  <c r="V323" i="3"/>
  <c r="W323" i="3"/>
  <c r="AD323" i="3"/>
  <c r="AV323" i="3"/>
  <c r="V324" i="3"/>
  <c r="AD324" i="3"/>
  <c r="AT324" i="3"/>
  <c r="BH324" i="3"/>
  <c r="V325" i="3"/>
  <c r="W325" i="3"/>
  <c r="AR325" i="3"/>
  <c r="AT325" i="3"/>
  <c r="Q326" i="3"/>
  <c r="AD326" i="3"/>
  <c r="AT326" i="3"/>
  <c r="BJ326" i="3"/>
  <c r="Q327" i="3"/>
  <c r="AD327" i="3"/>
  <c r="AQ327" i="3"/>
  <c r="AR327" i="3"/>
  <c r="AT327" i="3"/>
  <c r="BK327" i="3"/>
  <c r="Q328" i="3"/>
  <c r="AD328" i="3"/>
  <c r="AR328" i="3"/>
  <c r="AT328" i="3"/>
  <c r="BJ328" i="3"/>
  <c r="M329" i="3"/>
  <c r="Q329" i="3"/>
  <c r="AB329" i="3"/>
  <c r="AR329" i="3"/>
  <c r="AT329" i="3"/>
  <c r="BH329" i="3"/>
  <c r="V330" i="3"/>
  <c r="AB330" i="3"/>
  <c r="AR330" i="3"/>
  <c r="AT330" i="3"/>
  <c r="BH330" i="3"/>
  <c r="M331" i="3"/>
  <c r="W331" i="3"/>
  <c r="AB331" i="3"/>
  <c r="AR331" i="3"/>
  <c r="AT331" i="3"/>
  <c r="AV331" i="3"/>
  <c r="BE331" i="3"/>
  <c r="BK331" i="3"/>
  <c r="M332" i="3"/>
  <c r="AB332" i="3"/>
  <c r="AR332" i="3"/>
  <c r="AT332" i="3"/>
  <c r="BE332" i="3"/>
  <c r="BK332" i="3"/>
  <c r="M333" i="3"/>
  <c r="W333" i="3"/>
  <c r="AB333" i="3"/>
  <c r="AR333" i="3"/>
  <c r="AV333" i="3"/>
  <c r="BE333" i="3"/>
  <c r="BK333" i="3"/>
  <c r="M334" i="3"/>
  <c r="W334" i="3"/>
  <c r="AQ335" i="3"/>
  <c r="W348" i="3"/>
  <c r="AQ348" i="3"/>
  <c r="AR348" i="3"/>
  <c r="AT348" i="3"/>
  <c r="BE348" i="3"/>
  <c r="BK348" i="3"/>
  <c r="M349" i="3"/>
  <c r="V349" i="3"/>
  <c r="W349" i="3"/>
  <c r="AR349" i="3"/>
  <c r="AV349" i="3"/>
  <c r="BK349" i="3"/>
  <c r="V350" i="3"/>
  <c r="AD350" i="3"/>
  <c r="BE350" i="3"/>
  <c r="M351" i="3"/>
  <c r="V351" i="3"/>
  <c r="AD351" i="3"/>
  <c r="AR351" i="3"/>
  <c r="AV351" i="3"/>
  <c r="BE351" i="3"/>
  <c r="BJ351" i="3"/>
  <c r="W352" i="3"/>
  <c r="AR352" i="3"/>
  <c r="AT352" i="3"/>
  <c r="V353" i="3"/>
  <c r="AR353" i="3"/>
  <c r="AT353" i="3"/>
  <c r="AV353" i="3"/>
  <c r="BE353" i="3"/>
  <c r="BJ353" i="3"/>
  <c r="M354" i="3"/>
  <c r="V354" i="3"/>
  <c r="W354" i="3"/>
  <c r="AB354" i="3"/>
  <c r="AQ354" i="3"/>
  <c r="AR354" i="3"/>
  <c r="AT354" i="3"/>
  <c r="BJ354" i="3"/>
  <c r="BK354" i="3"/>
  <c r="M355" i="3"/>
  <c r="Q355" i="3"/>
  <c r="W355" i="3"/>
  <c r="AT355" i="3"/>
  <c r="Q356" i="3"/>
  <c r="AD356" i="3"/>
  <c r="AR356" i="3"/>
  <c r="AT356" i="3"/>
  <c r="BJ356" i="3"/>
  <c r="AD357" i="3"/>
  <c r="BJ357" i="3"/>
  <c r="Q358" i="3"/>
  <c r="AB358" i="3"/>
  <c r="AR358" i="3"/>
  <c r="AV358" i="3"/>
  <c r="BK358" i="3"/>
  <c r="M359" i="3"/>
  <c r="Q359" i="3"/>
  <c r="AD359" i="3"/>
  <c r="BK359" i="3"/>
  <c r="M360" i="3"/>
  <c r="W360" i="3"/>
  <c r="AQ360" i="3"/>
  <c r="BK360" i="3"/>
  <c r="V361" i="3"/>
  <c r="AB361" i="3"/>
  <c r="AV361" i="3"/>
  <c r="BH361" i="3"/>
  <c r="BK361" i="3"/>
  <c r="M362" i="3"/>
  <c r="V362" i="3"/>
  <c r="W362" i="3"/>
  <c r="AV362" i="3"/>
  <c r="BJ362" i="3"/>
  <c r="AD363" i="3"/>
  <c r="AQ363" i="3"/>
  <c r="BE363" i="3"/>
  <c r="M364" i="3"/>
  <c r="Q364" i="3"/>
  <c r="AQ364" i="3"/>
  <c r="BH364" i="3"/>
  <c r="BK364" i="3"/>
  <c r="M365" i="3"/>
  <c r="W365" i="3"/>
  <c r="AR365" i="3"/>
  <c r="M366" i="3"/>
  <c r="AD366" i="3"/>
  <c r="AV366" i="3"/>
  <c r="BH366" i="3"/>
  <c r="BJ366" i="3"/>
  <c r="M367" i="3"/>
  <c r="V367" i="3"/>
  <c r="AB367" i="3"/>
  <c r="AR367" i="3"/>
  <c r="AT367" i="3"/>
  <c r="BJ367" i="3"/>
  <c r="M368" i="3"/>
  <c r="V368" i="3"/>
  <c r="AB368" i="3"/>
  <c r="AQ368" i="3"/>
  <c r="AV368" i="3"/>
  <c r="AB203" i="3"/>
  <c r="M303" i="3"/>
  <c r="Q303" i="3"/>
  <c r="V303" i="3"/>
  <c r="W303" i="3"/>
  <c r="AB303" i="3"/>
  <c r="AD303" i="3"/>
  <c r="AQ303" i="3"/>
  <c r="AR303" i="3"/>
  <c r="AT303" i="3"/>
  <c r="AV303" i="3"/>
  <c r="BE303" i="3"/>
  <c r="BH303" i="3"/>
  <c r="BJ303" i="3"/>
  <c r="BK303" i="3"/>
  <c r="M304" i="3"/>
  <c r="Q304" i="3"/>
  <c r="V304" i="3"/>
  <c r="W304" i="3"/>
  <c r="AB304" i="3"/>
  <c r="AD304" i="3"/>
  <c r="AQ304" i="3"/>
  <c r="AR304" i="3"/>
  <c r="AT304" i="3"/>
  <c r="AV304" i="3"/>
  <c r="BE304" i="3"/>
  <c r="BH304" i="3"/>
  <c r="BJ304" i="3"/>
  <c r="BK304" i="3"/>
  <c r="M305" i="3"/>
  <c r="Q305" i="3"/>
  <c r="V305" i="3"/>
  <c r="W305" i="3"/>
  <c r="AB305" i="3"/>
  <c r="AD305" i="3"/>
  <c r="AQ305" i="3"/>
  <c r="AR305" i="3"/>
  <c r="AT305" i="3"/>
  <c r="AV305" i="3"/>
  <c r="BE305" i="3"/>
  <c r="BH305" i="3"/>
  <c r="BJ305" i="3"/>
  <c r="BK305" i="3"/>
  <c r="M306" i="3"/>
  <c r="Q306" i="3"/>
  <c r="V306" i="3"/>
  <c r="W306" i="3"/>
  <c r="AB306" i="3"/>
  <c r="AD306" i="3"/>
  <c r="AQ306" i="3"/>
  <c r="AR306" i="3"/>
  <c r="AT306" i="3"/>
  <c r="AV306" i="3"/>
  <c r="BE306" i="3"/>
  <c r="BH306" i="3"/>
  <c r="BJ306" i="3"/>
  <c r="BK306" i="3"/>
  <c r="M307" i="3"/>
  <c r="Q307" i="3"/>
  <c r="V307" i="3"/>
  <c r="W307" i="3"/>
  <c r="AB307" i="3"/>
  <c r="AD307" i="3"/>
  <c r="AQ307" i="3"/>
  <c r="AR307" i="3"/>
  <c r="AT307" i="3"/>
  <c r="AV307" i="3"/>
  <c r="BE307" i="3"/>
  <c r="BH307" i="3"/>
  <c r="BJ307" i="3"/>
  <c r="BK307" i="3"/>
  <c r="M308" i="3"/>
  <c r="Q308" i="3"/>
  <c r="V308" i="3"/>
  <c r="W308" i="3"/>
  <c r="AB308" i="3"/>
  <c r="AD308" i="3"/>
  <c r="AQ308" i="3"/>
  <c r="AR308" i="3"/>
  <c r="AT308" i="3"/>
  <c r="AV308" i="3"/>
  <c r="BE308" i="3"/>
  <c r="BH308" i="3"/>
  <c r="BJ308" i="3"/>
  <c r="BK308" i="3"/>
  <c r="M309" i="3"/>
  <c r="Q309" i="3"/>
  <c r="V309" i="3"/>
  <c r="W309" i="3"/>
  <c r="AB309" i="3"/>
  <c r="AD309" i="3"/>
  <c r="AQ309" i="3"/>
  <c r="AR309" i="3"/>
  <c r="AT309" i="3"/>
  <c r="AV309" i="3"/>
  <c r="BE309" i="3"/>
  <c r="BH309" i="3"/>
  <c r="BJ309" i="3"/>
  <c r="BK309" i="3"/>
  <c r="M310" i="3"/>
  <c r="Q310" i="3"/>
  <c r="V310" i="3"/>
  <c r="W310" i="3"/>
  <c r="AB310" i="3"/>
  <c r="AD310" i="3"/>
  <c r="AQ310" i="3"/>
  <c r="AR310" i="3"/>
  <c r="AT310" i="3"/>
  <c r="AV310" i="3"/>
  <c r="BE310" i="3"/>
  <c r="BH310" i="3"/>
  <c r="BJ310" i="3"/>
  <c r="BK310" i="3"/>
  <c r="M311" i="3"/>
  <c r="Q311" i="3"/>
  <c r="V311" i="3"/>
  <c r="W311" i="3"/>
  <c r="AB311" i="3"/>
  <c r="AD311" i="3"/>
  <c r="AQ311" i="3"/>
  <c r="AR311" i="3"/>
  <c r="AT311" i="3"/>
  <c r="AV311" i="3"/>
  <c r="BE311" i="3"/>
  <c r="BH311" i="3"/>
  <c r="BJ311" i="3"/>
  <c r="BK311" i="3"/>
  <c r="M312" i="3"/>
  <c r="Q312" i="3"/>
  <c r="V312" i="3"/>
  <c r="W312" i="3"/>
  <c r="AB312" i="3"/>
  <c r="AD312" i="3"/>
  <c r="AQ312" i="3"/>
  <c r="AR312" i="3"/>
  <c r="AT312" i="3"/>
  <c r="AV312" i="3"/>
  <c r="BE312" i="3"/>
  <c r="BH312" i="3"/>
  <c r="BJ312" i="3"/>
  <c r="BK312" i="3"/>
  <c r="M313" i="3"/>
  <c r="Q313" i="3"/>
  <c r="V313" i="3"/>
  <c r="W313" i="3"/>
  <c r="AB313" i="3"/>
  <c r="AD313" i="3"/>
  <c r="AQ313" i="3"/>
  <c r="AR313" i="3"/>
  <c r="AT313" i="3"/>
  <c r="AV313" i="3"/>
  <c r="BE313" i="3"/>
  <c r="BH313" i="3"/>
  <c r="BJ313" i="3"/>
  <c r="BK313" i="3"/>
  <c r="M314" i="3"/>
  <c r="Q314" i="3"/>
  <c r="V314" i="3"/>
  <c r="W314" i="3"/>
  <c r="AB314" i="3"/>
  <c r="AD314" i="3"/>
  <c r="AQ314" i="3"/>
  <c r="AR314" i="3"/>
  <c r="AT314" i="3"/>
  <c r="AV314" i="3"/>
  <c r="BE314" i="3"/>
  <c r="BH314" i="3"/>
  <c r="BJ314" i="3"/>
  <c r="BK314" i="3"/>
  <c r="M315" i="3"/>
  <c r="Q315" i="3"/>
  <c r="M336" i="3"/>
  <c r="Q336" i="3"/>
  <c r="V336" i="3"/>
  <c r="W336" i="3"/>
  <c r="AB336" i="3"/>
  <c r="AD336" i="3"/>
  <c r="AQ336" i="3"/>
  <c r="AR336" i="3"/>
  <c r="AT336" i="3"/>
  <c r="AV336" i="3"/>
  <c r="BE336" i="3"/>
  <c r="BH336" i="3"/>
  <c r="BJ336" i="3"/>
  <c r="BK336" i="3"/>
  <c r="M337" i="3"/>
  <c r="Q337" i="3"/>
  <c r="V337" i="3"/>
  <c r="W337" i="3"/>
  <c r="AB337" i="3"/>
  <c r="AD337" i="3"/>
  <c r="AQ337" i="3"/>
  <c r="AR337" i="3"/>
  <c r="AT337" i="3"/>
  <c r="AV337" i="3"/>
  <c r="BE337" i="3"/>
  <c r="BH337" i="3"/>
  <c r="BJ337" i="3"/>
  <c r="BK337" i="3"/>
  <c r="M338" i="3"/>
  <c r="Q338" i="3"/>
  <c r="V338" i="3"/>
  <c r="W338" i="3"/>
  <c r="AB338" i="3"/>
  <c r="AD338" i="3"/>
  <c r="AQ338" i="3"/>
  <c r="AR338" i="3"/>
  <c r="AT338" i="3"/>
  <c r="AV338" i="3"/>
  <c r="BE338" i="3"/>
  <c r="BH338" i="3"/>
  <c r="BJ338" i="3"/>
  <c r="BK338" i="3"/>
  <c r="M339" i="3"/>
  <c r="Q339" i="3"/>
  <c r="V339" i="3"/>
  <c r="W339" i="3"/>
  <c r="AB339" i="3"/>
  <c r="AD339" i="3"/>
  <c r="AQ339" i="3"/>
  <c r="AR339" i="3"/>
  <c r="AT339" i="3"/>
  <c r="AV339" i="3"/>
  <c r="BE339" i="3"/>
  <c r="BH339" i="3"/>
  <c r="BJ339" i="3"/>
  <c r="BK339" i="3"/>
  <c r="M340" i="3"/>
  <c r="Q340" i="3"/>
  <c r="V340" i="3"/>
  <c r="W340" i="3"/>
  <c r="AB340" i="3"/>
  <c r="AD340" i="3"/>
  <c r="AQ340" i="3"/>
  <c r="AR340" i="3"/>
  <c r="AT340" i="3"/>
  <c r="AV340" i="3"/>
  <c r="BE340" i="3"/>
  <c r="BH340" i="3"/>
  <c r="BJ340" i="3"/>
  <c r="BK340" i="3"/>
  <c r="M341" i="3"/>
  <c r="Q341" i="3"/>
  <c r="V341" i="3"/>
  <c r="W341" i="3"/>
  <c r="AB341" i="3"/>
  <c r="AD341" i="3"/>
  <c r="AQ341" i="3"/>
  <c r="AR341" i="3"/>
  <c r="AT341" i="3"/>
  <c r="AV341" i="3"/>
  <c r="BE341" i="3"/>
  <c r="BH341" i="3"/>
  <c r="BJ341" i="3"/>
  <c r="BK341" i="3"/>
  <c r="M342" i="3"/>
  <c r="Q342" i="3"/>
  <c r="V342" i="3"/>
  <c r="W342" i="3"/>
  <c r="AB342" i="3"/>
  <c r="AD342" i="3"/>
  <c r="AQ342" i="3"/>
  <c r="AR342" i="3"/>
  <c r="AT342" i="3"/>
  <c r="AV342" i="3"/>
  <c r="BE342" i="3"/>
  <c r="BH342" i="3"/>
  <c r="BJ342" i="3"/>
  <c r="BK342" i="3"/>
  <c r="M343" i="3"/>
  <c r="Q343" i="3"/>
  <c r="V343" i="3"/>
  <c r="W343" i="3"/>
  <c r="AB343" i="3"/>
  <c r="AD343" i="3"/>
  <c r="AQ343" i="3"/>
  <c r="AR343" i="3"/>
  <c r="AT343" i="3"/>
  <c r="AV343" i="3"/>
  <c r="BE343" i="3"/>
  <c r="BH343" i="3"/>
  <c r="BJ343" i="3"/>
  <c r="BK343" i="3"/>
  <c r="M344" i="3"/>
  <c r="Q344" i="3"/>
  <c r="V344" i="3"/>
  <c r="W344" i="3"/>
  <c r="AB344" i="3"/>
  <c r="AD344" i="3"/>
  <c r="AQ344" i="3"/>
  <c r="AR344" i="3"/>
  <c r="AT344" i="3"/>
  <c r="AV344" i="3"/>
  <c r="BE344" i="3"/>
  <c r="BH344" i="3"/>
  <c r="BJ344" i="3"/>
  <c r="BK344" i="3"/>
  <c r="M345" i="3"/>
  <c r="Q345" i="3"/>
  <c r="V345" i="3"/>
  <c r="W345" i="3"/>
  <c r="AB345" i="3"/>
  <c r="AD345" i="3"/>
  <c r="AQ345" i="3"/>
  <c r="AR345" i="3"/>
  <c r="AT345" i="3"/>
  <c r="AV345" i="3"/>
  <c r="BE345" i="3"/>
  <c r="BH345" i="3"/>
  <c r="BJ345" i="3"/>
  <c r="BK345" i="3"/>
  <c r="M346" i="3"/>
  <c r="Q346" i="3"/>
  <c r="V346" i="3"/>
  <c r="W346" i="3"/>
  <c r="AB346" i="3"/>
  <c r="AD346" i="3"/>
  <c r="AQ346" i="3"/>
  <c r="AR346" i="3"/>
  <c r="AT346" i="3"/>
  <c r="AV346" i="3"/>
  <c r="BE346" i="3"/>
  <c r="BH346" i="3"/>
  <c r="BJ346" i="3"/>
  <c r="BK346" i="3"/>
  <c r="M347" i="3"/>
  <c r="Q347" i="3"/>
  <c r="V347" i="3"/>
  <c r="W347" i="3"/>
  <c r="AB347" i="3"/>
  <c r="AD347" i="3"/>
  <c r="AQ347" i="3"/>
  <c r="AR347" i="3"/>
  <c r="AT347" i="3"/>
  <c r="AV347" i="3"/>
  <c r="BE347" i="3"/>
  <c r="BH347" i="3"/>
  <c r="BJ347" i="3"/>
  <c r="BK347" i="3"/>
  <c r="M348" i="3"/>
  <c r="Q348" i="3"/>
  <c r="W203" i="3"/>
  <c r="BK368" i="3"/>
  <c r="M369" i="3"/>
  <c r="Q369" i="3"/>
  <c r="V369" i="3"/>
  <c r="W369" i="3"/>
  <c r="AB369" i="3"/>
  <c r="AD369" i="3"/>
  <c r="AQ369" i="3"/>
  <c r="AR369" i="3"/>
  <c r="AT369" i="3"/>
  <c r="AV369" i="3"/>
  <c r="BE369" i="3"/>
  <c r="BH369" i="3"/>
  <c r="BJ369" i="3"/>
  <c r="BK369" i="3"/>
  <c r="M370" i="3"/>
  <c r="Q370" i="3"/>
  <c r="V370" i="3"/>
  <c r="W370" i="3"/>
  <c r="AB370" i="3"/>
  <c r="AD370" i="3"/>
  <c r="AQ370" i="3"/>
  <c r="AR370" i="3"/>
  <c r="AT370" i="3"/>
  <c r="AV370" i="3"/>
  <c r="BE370" i="3"/>
  <c r="BH370" i="3"/>
  <c r="BJ370" i="3"/>
  <c r="BK370" i="3"/>
  <c r="M371" i="3"/>
  <c r="Q371" i="3"/>
  <c r="V371" i="3"/>
  <c r="W371" i="3"/>
  <c r="AB371" i="3"/>
  <c r="AD371" i="3"/>
  <c r="AQ371" i="3"/>
  <c r="AR371" i="3"/>
  <c r="AT371" i="3"/>
  <c r="AV371" i="3"/>
  <c r="BE371" i="3"/>
  <c r="BH371" i="3"/>
  <c r="BJ371" i="3"/>
  <c r="BK371" i="3"/>
  <c r="M372" i="3"/>
  <c r="Q372" i="3"/>
  <c r="V372" i="3"/>
  <c r="W372" i="3"/>
  <c r="AB372" i="3"/>
  <c r="AD372" i="3"/>
  <c r="AQ372" i="3"/>
  <c r="AR372" i="3"/>
  <c r="AT372" i="3"/>
  <c r="AV372" i="3"/>
  <c r="BE372" i="3"/>
  <c r="BH372" i="3"/>
  <c r="BJ372" i="3"/>
  <c r="BK372" i="3"/>
  <c r="M373" i="3"/>
  <c r="Q373" i="3"/>
  <c r="V373" i="3"/>
  <c r="W373" i="3"/>
  <c r="AB373" i="3"/>
  <c r="AD373" i="3"/>
  <c r="AQ373" i="3"/>
  <c r="AR373" i="3"/>
  <c r="AT373" i="3"/>
  <c r="AV373" i="3"/>
  <c r="BE373" i="3"/>
  <c r="BH373" i="3"/>
  <c r="BJ373" i="3"/>
  <c r="BK373" i="3"/>
  <c r="M374" i="3"/>
  <c r="Q374" i="3"/>
  <c r="V374" i="3"/>
  <c r="W374" i="3"/>
  <c r="AB374" i="3"/>
  <c r="AD374" i="3"/>
  <c r="AQ374" i="3"/>
  <c r="AR374" i="3"/>
  <c r="AT374" i="3"/>
  <c r="AV374" i="3"/>
  <c r="BE374" i="3"/>
  <c r="BH374" i="3"/>
  <c r="BJ374" i="3"/>
  <c r="BK374" i="3"/>
  <c r="M375" i="3"/>
  <c r="Q375" i="3"/>
  <c r="V375" i="3"/>
  <c r="W375" i="3"/>
  <c r="AB375" i="3"/>
  <c r="AD375" i="3"/>
  <c r="AQ375" i="3"/>
  <c r="AR375" i="3"/>
  <c r="AT375" i="3"/>
  <c r="AV375" i="3"/>
  <c r="BE375" i="3"/>
  <c r="BH375" i="3"/>
  <c r="BJ375" i="3"/>
  <c r="BK375" i="3"/>
  <c r="M376" i="3"/>
  <c r="Q376" i="3"/>
  <c r="V376" i="3"/>
  <c r="W376" i="3"/>
  <c r="AB376" i="3"/>
  <c r="AD376" i="3"/>
  <c r="AQ376" i="3"/>
  <c r="AR376" i="3"/>
  <c r="AT376" i="3"/>
  <c r="AV376" i="3"/>
  <c r="BE376" i="3"/>
  <c r="BH376" i="3"/>
  <c r="BJ376" i="3"/>
  <c r="BK376" i="3"/>
  <c r="M377" i="3"/>
  <c r="Q377" i="3"/>
  <c r="V377" i="3"/>
  <c r="W377" i="3"/>
  <c r="AB377" i="3"/>
  <c r="AD377" i="3"/>
  <c r="AQ377" i="3"/>
  <c r="AR377" i="3"/>
  <c r="AT377" i="3"/>
  <c r="AV377" i="3"/>
  <c r="BE377" i="3"/>
  <c r="BH377" i="3"/>
  <c r="BJ377" i="3"/>
  <c r="BK377" i="3"/>
  <c r="M378" i="3"/>
  <c r="Q378" i="3"/>
  <c r="V378" i="3"/>
  <c r="W378" i="3"/>
  <c r="AB378" i="3"/>
  <c r="AD378" i="3"/>
  <c r="AQ378" i="3"/>
  <c r="AR378" i="3"/>
  <c r="AT378" i="3"/>
  <c r="AV378" i="3"/>
  <c r="BE378" i="3"/>
  <c r="BH378" i="3"/>
  <c r="BJ378" i="3"/>
  <c r="BK378" i="3"/>
  <c r="M379" i="3"/>
  <c r="Q379" i="3"/>
  <c r="V379" i="3"/>
  <c r="W379" i="3"/>
  <c r="AB379" i="3"/>
  <c r="AD379" i="3"/>
  <c r="AQ379" i="3"/>
  <c r="AR379" i="3"/>
  <c r="AT379" i="3"/>
  <c r="AV379" i="3"/>
  <c r="BE379" i="3"/>
  <c r="BH379" i="3"/>
  <c r="BJ379" i="3"/>
  <c r="BK379" i="3"/>
  <c r="M380" i="3"/>
  <c r="Q380" i="3"/>
  <c r="V380" i="3"/>
  <c r="W380" i="3"/>
  <c r="AB380" i="3"/>
  <c r="AD380" i="3"/>
  <c r="AQ380" i="3"/>
  <c r="AR380" i="3"/>
  <c r="AT380" i="3"/>
  <c r="AV380" i="3"/>
  <c r="BE380" i="3"/>
  <c r="BH380" i="3"/>
  <c r="BJ380" i="3"/>
  <c r="BK380" i="3"/>
  <c r="M381" i="3"/>
  <c r="Q381" i="3"/>
  <c r="V381" i="3"/>
  <c r="W381" i="3"/>
  <c r="AB381" i="3"/>
  <c r="AD381" i="3"/>
  <c r="AQ381" i="3"/>
  <c r="AR381" i="3"/>
  <c r="AT381" i="3"/>
  <c r="AV381" i="3"/>
  <c r="BE381" i="3"/>
  <c r="BH381" i="3"/>
  <c r="BJ381" i="3"/>
  <c r="BK381" i="3"/>
  <c r="M382" i="3"/>
  <c r="Q382" i="3"/>
  <c r="V382" i="3"/>
  <c r="W382" i="3"/>
  <c r="AB382" i="3"/>
  <c r="AD382" i="3"/>
  <c r="AQ382" i="3"/>
  <c r="AR382" i="3"/>
  <c r="AT382" i="3"/>
  <c r="AV382" i="3"/>
  <c r="BE382" i="3"/>
  <c r="BH382" i="3"/>
  <c r="BJ382" i="3"/>
  <c r="BK382" i="3"/>
  <c r="M383" i="3"/>
  <c r="Q383" i="3"/>
  <c r="V383" i="3"/>
  <c r="W383" i="3"/>
  <c r="AB383" i="3"/>
  <c r="AD383" i="3"/>
  <c r="AQ383" i="3"/>
  <c r="AR383" i="3"/>
  <c r="AT383" i="3"/>
  <c r="AV383" i="3"/>
  <c r="BE383" i="3"/>
  <c r="BH383" i="3"/>
  <c r="BJ383" i="3"/>
  <c r="BK383" i="3"/>
  <c r="M384" i="3"/>
  <c r="Q384" i="3"/>
  <c r="V384" i="3"/>
  <c r="W384" i="3"/>
  <c r="AB384" i="3"/>
  <c r="AD384" i="3"/>
  <c r="AQ384" i="3"/>
  <c r="AR384" i="3"/>
  <c r="AT384" i="3"/>
  <c r="AV384" i="3"/>
  <c r="BE384" i="3"/>
  <c r="BH384" i="3"/>
  <c r="BJ384" i="3"/>
  <c r="BK384" i="3"/>
  <c r="M385" i="3"/>
  <c r="Q385" i="3"/>
  <c r="V385" i="3"/>
  <c r="W385" i="3"/>
  <c r="AB385" i="3"/>
  <c r="AD385" i="3"/>
  <c r="AQ385" i="3"/>
  <c r="AR385" i="3"/>
  <c r="AT385" i="3"/>
  <c r="AV385" i="3"/>
  <c r="BE385" i="3"/>
  <c r="BH385" i="3"/>
  <c r="BJ385" i="3"/>
  <c r="BK385" i="3"/>
  <c r="M386" i="3"/>
  <c r="Q386" i="3"/>
  <c r="V386" i="3"/>
  <c r="W386" i="3"/>
  <c r="AB386" i="3"/>
  <c r="AD386" i="3"/>
  <c r="AQ386" i="3"/>
  <c r="AR386" i="3"/>
  <c r="AT386" i="3"/>
  <c r="AV386" i="3"/>
  <c r="BE386" i="3"/>
  <c r="BH386" i="3"/>
  <c r="BJ386" i="3"/>
  <c r="BK386" i="3"/>
  <c r="M387" i="3"/>
  <c r="Q387" i="3"/>
  <c r="V387" i="3"/>
  <c r="W387" i="3"/>
  <c r="AB387" i="3"/>
  <c r="AD387" i="3"/>
  <c r="AQ387" i="3"/>
  <c r="AR387" i="3"/>
  <c r="AT387" i="3"/>
  <c r="AV387" i="3"/>
  <c r="BE387" i="3"/>
  <c r="BH387" i="3"/>
  <c r="BJ387" i="3"/>
  <c r="BK387" i="3"/>
  <c r="M388" i="3"/>
  <c r="Q388" i="3"/>
  <c r="V388" i="3"/>
  <c r="W388" i="3"/>
  <c r="AB388" i="3"/>
  <c r="AD388" i="3"/>
  <c r="AQ388" i="3"/>
  <c r="AR388" i="3"/>
  <c r="AT388" i="3"/>
  <c r="AV388" i="3"/>
  <c r="BE388" i="3"/>
  <c r="BH388" i="3"/>
  <c r="BJ388" i="3"/>
  <c r="BK388" i="3"/>
  <c r="M389" i="3"/>
  <c r="Q389" i="3"/>
  <c r="V389" i="3"/>
  <c r="W389" i="3"/>
  <c r="AB389" i="3"/>
  <c r="AD389" i="3"/>
  <c r="AQ389" i="3"/>
  <c r="AR389" i="3"/>
  <c r="AT389" i="3"/>
  <c r="AV389" i="3"/>
  <c r="BE389" i="3"/>
  <c r="BH389" i="3"/>
  <c r="BJ389" i="3"/>
  <c r="BK389" i="3"/>
  <c r="M390" i="3"/>
  <c r="Q390" i="3"/>
  <c r="V390" i="3"/>
  <c r="W390" i="3"/>
  <c r="AB390" i="3"/>
  <c r="AD390" i="3"/>
  <c r="AQ390" i="3"/>
  <c r="AR390" i="3"/>
  <c r="AT390" i="3"/>
  <c r="AV390" i="3"/>
  <c r="BE390" i="3"/>
  <c r="BH390" i="3"/>
  <c r="BJ390" i="3"/>
  <c r="BK390" i="3"/>
  <c r="M391" i="3"/>
  <c r="Q391" i="3"/>
  <c r="V391" i="3"/>
  <c r="W391" i="3"/>
  <c r="AB391" i="3"/>
  <c r="AD391" i="3"/>
  <c r="AQ391" i="3"/>
  <c r="AR391" i="3"/>
  <c r="AT391" i="3"/>
  <c r="AV391" i="3"/>
  <c r="BE391" i="3"/>
  <c r="BH391" i="3"/>
  <c r="BJ391" i="3"/>
  <c r="BK391" i="3"/>
  <c r="M392" i="3"/>
  <c r="Q392" i="3"/>
  <c r="V392" i="3"/>
  <c r="W392" i="3"/>
  <c r="AB392" i="3"/>
  <c r="AD392" i="3"/>
  <c r="AQ392" i="3"/>
  <c r="AR392" i="3"/>
  <c r="AT392" i="3"/>
  <c r="AV392" i="3"/>
  <c r="BE392" i="3"/>
  <c r="BH392" i="3"/>
  <c r="BJ392" i="3"/>
  <c r="BK392" i="3"/>
  <c r="M393" i="3"/>
  <c r="Q393" i="3"/>
  <c r="V393" i="3"/>
  <c r="W393" i="3"/>
  <c r="AB393" i="3"/>
  <c r="AD393" i="3"/>
  <c r="AQ393" i="3"/>
  <c r="AR393" i="3"/>
  <c r="AT393" i="3"/>
  <c r="AV393" i="3"/>
  <c r="BE393" i="3"/>
  <c r="BH393" i="3"/>
  <c r="BJ393" i="3"/>
  <c r="BK393" i="3"/>
  <c r="M394" i="3"/>
  <c r="Q394" i="3"/>
  <c r="V394" i="3"/>
  <c r="W394" i="3"/>
  <c r="AB394" i="3"/>
  <c r="AD394" i="3"/>
  <c r="AQ394" i="3"/>
  <c r="AR394" i="3"/>
  <c r="AT394" i="3"/>
  <c r="AV394" i="3"/>
  <c r="BE394" i="3"/>
  <c r="BH394" i="3"/>
  <c r="BJ394" i="3"/>
  <c r="BK394" i="3"/>
  <c r="M137" i="3"/>
  <c r="Q137" i="3"/>
  <c r="AQ137" i="3"/>
  <c r="BJ137" i="3"/>
  <c r="M138" i="3"/>
  <c r="AB161" i="3"/>
  <c r="BH161" i="3"/>
  <c r="W162" i="3"/>
  <c r="AD162" i="3"/>
  <c r="AR162" i="3"/>
  <c r="AT162" i="3"/>
  <c r="AV162" i="3"/>
  <c r="BJ162" i="3"/>
  <c r="Q163" i="3"/>
  <c r="W163" i="3"/>
  <c r="AD163" i="3"/>
  <c r="AT163" i="3"/>
  <c r="BJ163" i="3"/>
  <c r="V164" i="3"/>
  <c r="AD164" i="3"/>
  <c r="AQ164" i="3"/>
  <c r="AV164" i="3"/>
  <c r="M166" i="3"/>
  <c r="V166" i="3"/>
  <c r="AB166" i="3"/>
  <c r="AT166" i="3"/>
  <c r="BH166" i="3"/>
  <c r="AB167" i="3"/>
  <c r="BE167" i="3"/>
  <c r="BK167" i="3"/>
  <c r="M168" i="3"/>
  <c r="W168" i="3"/>
  <c r="AB168" i="3"/>
  <c r="BE168" i="3"/>
  <c r="BH168" i="3"/>
  <c r="Q169" i="3"/>
  <c r="AB169" i="3"/>
  <c r="AT169" i="3"/>
  <c r="BH169" i="3"/>
  <c r="AB170" i="3"/>
  <c r="AT170" i="3"/>
  <c r="W178" i="3"/>
  <c r="AB178" i="3"/>
  <c r="AD178" i="3"/>
  <c r="AT178" i="3"/>
  <c r="AV178" i="3"/>
  <c r="Q179" i="3"/>
  <c r="BE179" i="3"/>
  <c r="BK179" i="3"/>
  <c r="AD180" i="3"/>
  <c r="BJ180" i="3"/>
  <c r="Q181" i="3"/>
  <c r="AD181" i="3"/>
  <c r="AQ181" i="3"/>
  <c r="AT181" i="3"/>
  <c r="BH181" i="3"/>
  <c r="M182" i="3"/>
  <c r="Q182" i="3"/>
  <c r="AD182" i="3"/>
  <c r="BH182" i="3"/>
  <c r="BJ182" i="3"/>
  <c r="BK182" i="3"/>
  <c r="V183" i="3"/>
  <c r="AQ183" i="3"/>
  <c r="BH183" i="3"/>
  <c r="BJ183" i="3"/>
  <c r="BK183" i="3"/>
  <c r="V184" i="3"/>
  <c r="AB184" i="3"/>
  <c r="AQ184" i="3"/>
  <c r="BH184" i="3"/>
  <c r="V185" i="3"/>
  <c r="AQ185" i="3"/>
  <c r="AR185" i="3"/>
  <c r="BJ185" i="3"/>
  <c r="AB186" i="3"/>
  <c r="BJ186" i="3"/>
  <c r="BE187" i="3"/>
  <c r="BJ187" i="3"/>
  <c r="AB188" i="3"/>
  <c r="AD188" i="3"/>
  <c r="AQ188" i="3"/>
  <c r="AR188" i="3"/>
  <c r="AT188" i="3"/>
  <c r="BE188" i="3"/>
  <c r="BJ188" i="3"/>
  <c r="AD189" i="3"/>
  <c r="AT189" i="3"/>
  <c r="AR190" i="3"/>
  <c r="AV190" i="3"/>
  <c r="M191" i="3"/>
  <c r="Q191" i="3"/>
  <c r="AB191" i="3"/>
  <c r="AR191" i="3"/>
  <c r="Q192" i="3"/>
  <c r="AQ192" i="3"/>
  <c r="AV192" i="3"/>
  <c r="BE192" i="3"/>
  <c r="M193" i="3"/>
  <c r="W193" i="3"/>
  <c r="AT193" i="3"/>
  <c r="BK193" i="3"/>
  <c r="M194" i="3"/>
  <c r="AR194" i="3"/>
  <c r="AT194" i="3"/>
  <c r="BJ194" i="3"/>
  <c r="BK194" i="3"/>
  <c r="V196" i="3"/>
  <c r="AQ196" i="3"/>
  <c r="AV196" i="3"/>
  <c r="BK196" i="3"/>
  <c r="V197" i="3"/>
  <c r="BK197" i="3"/>
  <c r="M198" i="3"/>
  <c r="Q198" i="3"/>
  <c r="W198" i="3"/>
  <c r="AD198" i="3"/>
  <c r="AV198" i="3"/>
  <c r="AQ199" i="3"/>
  <c r="AR199" i="3"/>
  <c r="AT199" i="3"/>
  <c r="Q200" i="3"/>
  <c r="AR200" i="3"/>
  <c r="BE200" i="3"/>
  <c r="BK200" i="3"/>
  <c r="AD201" i="3"/>
  <c r="AR201" i="3"/>
  <c r="B38" i="20" l="1"/>
  <c r="C35" i="20"/>
  <c r="AQ395" i="3"/>
  <c r="AB395" i="3"/>
  <c r="AV395" i="3"/>
  <c r="D11" i="20" s="1"/>
  <c r="E11" i="20" s="1"/>
  <c r="Q395" i="3"/>
  <c r="BK395" i="3"/>
  <c r="D17" i="20" s="1"/>
  <c r="E17" i="20" s="1"/>
  <c r="V395" i="3"/>
  <c r="W395" i="3"/>
  <c r="D5" i="20" s="1"/>
  <c r="E5" i="20" s="1"/>
  <c r="AD395" i="3"/>
  <c r="F5" i="20" s="1"/>
  <c r="G5" i="20" s="1"/>
  <c r="AR395" i="3"/>
  <c r="B11" i="20" s="1"/>
  <c r="C11" i="20" s="1"/>
  <c r="AT395" i="3"/>
  <c r="BE395" i="3"/>
  <c r="F11" i="20" s="1"/>
  <c r="G11" i="20" s="1"/>
  <c r="BH395" i="3"/>
  <c r="BJ395" i="3"/>
  <c r="B17" i="20" s="1"/>
  <c r="C17" i="20" s="1"/>
  <c r="C37" i="20" l="1"/>
  <c r="C36" i="20"/>
  <c r="C38" i="20"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Auteur</author>
  </authors>
  <commentList>
    <comment ref="M3" authorId="0" shapeId="0" xr:uid="{AF6C4DAE-DD70-45AA-82F4-877D301581FD}">
      <text>
        <r>
          <rPr>
            <b/>
            <sz val="9"/>
            <color indexed="81"/>
            <rFont val="Tahoma"/>
            <family val="2"/>
          </rPr>
          <t xml:space="preserve">Article 20 : Planification de la passation des marchés publics
20.1 : Toutes les personnes morales mentionnées à l’article 2 du présent Code sont 
tenues, dans un délai maximal de quinze (15) jours à compter de la notification ou de 
l’approbation du budget, de préparer, avant la passation de tout nouveau marché, un plan 
prévisionnel et révisable de passation des marchés en conformité avec les crédits qui 
leur sont alloués et leur programme d'activités annuel.
Le plan de passation des marchés et ses mises à jour comprennent notamment les 
éléments suivants : (i) une description succincte des activités, (ii) les méthodes de 
sélection à appliquer, (iii) la dotation, (iv) les calendriers et toute autre information 
pertinente en rapport avec la passation des marchés.
Ce plan est communiqué dans le délai indiqué ci-dessus à la structure administrative 
chargée du contrôle des marchés publics et à l’organe de régulation des marchés publics 
qui en assurent la publicité selon les modalités définies par chacune d’entre elles. </t>
        </r>
      </text>
    </comment>
    <comment ref="R3" authorId="0" shapeId="0" xr:uid="{40AA8A04-23C4-4D67-985D-F72BB8AE5575}">
      <text>
        <r>
          <rPr>
            <b/>
            <sz val="9"/>
            <color indexed="81"/>
            <rFont val="Tahoma"/>
            <family val="2"/>
          </rPr>
          <t>Article 19 : Détermination des besoins à satisfaire
19.4 : Chaque autorité contractante réserve annuellement aux petites et moyennes 
entreprises une part minimale de trente pour cent (30%) de la valeur prévisionnelle des 
marchés de travaux, de fourniture de biens ou de services. La liste de ces marchés doit 
apparaître dans le plan prévisionnel de chaque autorité contractante.</t>
        </r>
      </text>
    </comment>
    <comment ref="E5" authorId="0" shapeId="0" xr:uid="{7CF3E9BC-B792-42F1-A533-710256AD7082}">
      <text>
        <r>
          <rPr>
            <b/>
            <sz val="9"/>
            <color indexed="81"/>
            <rFont val="Tahoma"/>
            <family val="2"/>
          </rPr>
          <t>AC</t>
        </r>
      </text>
    </comment>
    <comment ref="I5" authorId="0" shapeId="0" xr:uid="{6B73B170-47AB-441A-9FFD-80C0FE75430E}">
      <text>
        <r>
          <rPr>
            <b/>
            <sz val="9"/>
            <color indexed="81"/>
            <rFont val="Tahoma"/>
            <family val="2"/>
          </rPr>
          <t>Se référer à la codification mentionnée sur le formulaire type.</t>
        </r>
      </text>
    </comment>
    <comment ref="M5" authorId="0" shapeId="0" xr:uid="{1EEC5343-8B02-426B-A7F5-985FF00C04FB}">
      <text>
        <r>
          <rPr>
            <sz val="9"/>
            <color indexed="81"/>
            <rFont val="Tahoma"/>
            <family val="2"/>
          </rPr>
          <t>Les PSPM devront être élaborés dans un délai maximal de 15 jours francs à compter de la notification ou de l'approbation du budget.</t>
        </r>
      </text>
    </comment>
    <comment ref="R5" authorId="0" shapeId="0" xr:uid="{C3012D7A-380C-4F3B-B27F-7AA4D18D623E}">
      <text>
        <r>
          <rPr>
            <b/>
            <sz val="9"/>
            <color indexed="81"/>
            <rFont val="Tahoma"/>
            <family val="2"/>
          </rPr>
          <t xml:space="preserve">L'opération est-elle réservée aux PME ?
Vérifier dans le PSPM </t>
        </r>
      </text>
    </comment>
    <comment ref="AT5" authorId="0" shapeId="0" xr:uid="{4B309391-DD60-4315-B6A6-E08D3DC4E785}">
      <text>
        <r>
          <rPr>
            <b/>
            <sz val="9"/>
            <color indexed="81"/>
            <rFont val="Tahoma"/>
            <family val="2"/>
          </rPr>
          <t>Crédit restant sur la ligne budgétaire.</t>
        </r>
      </text>
    </comment>
    <comment ref="AZ5" authorId="0" shapeId="0" xr:uid="{808DC4B6-1439-4C08-BE20-D6DF0A2BF6D8}">
      <text>
        <r>
          <rPr>
            <b/>
            <sz val="9"/>
            <color indexed="81"/>
            <rFont val="Tahoma"/>
            <family val="2"/>
          </rPr>
          <t xml:space="preserve">
Liste des documents :
- le formulaire de demande de cotation ;
- le formulaire de sélection ;
- le courrier de notification d'attribution du marché ;
- le courrier de notification aux candidats non retenus.</t>
        </r>
      </text>
    </comment>
    <comment ref="B6" authorId="0" shapeId="0" xr:uid="{ECAD4683-A5AA-482E-AAA4-E892B7ED8DB5}">
      <text>
        <r>
          <rPr>
            <b/>
            <sz val="9"/>
            <color indexed="81"/>
            <rFont val="Tahoma"/>
            <family val="2"/>
          </rPr>
          <t>Chargé de la saisie</t>
        </r>
      </text>
    </comment>
    <comment ref="L6" authorId="0" shapeId="0" xr:uid="{463F0F51-E439-4BF8-BED9-80D97963DCD0}">
      <text>
        <r>
          <rPr>
            <b/>
            <sz val="9"/>
            <color indexed="81"/>
            <rFont val="Tahoma"/>
            <family val="2"/>
          </rPr>
          <t xml:space="preserve">Expliquer ou préciser la spécificité de la nature de l'opération le cas échéant 
</t>
        </r>
      </text>
    </comment>
    <comment ref="W6" authorId="0" shapeId="0" xr:uid="{101C5987-0B76-488C-B815-05F4B384E0D6}">
      <text>
        <r>
          <rPr>
            <sz val="9"/>
            <color indexed="81"/>
            <rFont val="Tahoma"/>
            <family val="2"/>
          </rPr>
          <t xml:space="preserve">
En cas d'une dérogation, saisir les références du courrier autorisant la consultation d'un (1) ou deux (2) fournisseurs, entrtepreneurs ou prestataires.</t>
        </r>
      </text>
    </comment>
    <comment ref="X7" authorId="0" shapeId="0" xr:uid="{D0F050F0-263F-46EA-A49E-152FA09C5DEB}">
      <text>
        <r>
          <rPr>
            <b/>
            <sz val="9"/>
            <color indexed="81"/>
            <rFont val="Tahoma"/>
            <family val="2"/>
          </rPr>
          <t>Auteur:</t>
        </r>
        <r>
          <rPr>
            <sz val="9"/>
            <color indexed="81"/>
            <rFont val="Tahoma"/>
            <family val="2"/>
          </rPr>
          <t xml:space="preserve">
Inscrire la raison sociale (nom) de l'entreprise</t>
        </r>
      </text>
    </comment>
    <comment ref="Y7" authorId="0" shapeId="0" xr:uid="{F1D47FBB-DAAE-4D0A-B2A0-31B3AE4CCAAC}">
      <text>
        <r>
          <rPr>
            <b/>
            <sz val="9"/>
            <color indexed="81"/>
            <rFont val="Tahoma"/>
            <family val="2"/>
          </rPr>
          <t>Auteur:</t>
        </r>
        <r>
          <rPr>
            <sz val="9"/>
            <color indexed="81"/>
            <rFont val="Tahoma"/>
            <family val="2"/>
          </rPr>
          <t xml:space="preserve">
Inscrire le NCC de l'entreprise</t>
        </r>
      </text>
    </comment>
    <comment ref="Z7" authorId="0" shapeId="0" xr:uid="{D6DB010D-A7D7-4BE2-A7A1-157923EBD506}">
      <text>
        <r>
          <rPr>
            <b/>
            <sz val="9"/>
            <color indexed="81"/>
            <rFont val="Tahoma"/>
            <family val="2"/>
          </rPr>
          <t>Inscrire le montant de l'offre</t>
        </r>
      </text>
    </comment>
    <comment ref="AA7" authorId="0" shapeId="0" xr:uid="{F4BFC2CF-129F-434A-8E97-12E4E5FFB477}">
      <text>
        <r>
          <rPr>
            <b/>
            <sz val="9"/>
            <color indexed="81"/>
            <rFont val="Tahoma"/>
            <family val="2"/>
          </rPr>
          <t>Auteur:</t>
        </r>
        <r>
          <rPr>
            <sz val="9"/>
            <color indexed="81"/>
            <rFont val="Tahoma"/>
            <family val="2"/>
          </rPr>
          <t xml:space="preserve">
Inscrire la raison sociale (nom) de l'entreprise</t>
        </r>
      </text>
    </comment>
    <comment ref="AB7" authorId="0" shapeId="0" xr:uid="{87DCA852-6101-4327-8253-C1804A50FDBD}">
      <text>
        <r>
          <rPr>
            <b/>
            <sz val="9"/>
            <color indexed="81"/>
            <rFont val="Tahoma"/>
            <family val="2"/>
          </rPr>
          <t>Auteur:</t>
        </r>
        <r>
          <rPr>
            <sz val="9"/>
            <color indexed="81"/>
            <rFont val="Tahoma"/>
            <family val="2"/>
          </rPr>
          <t xml:space="preserve">
Inscrire le NCC de l'entreprise</t>
        </r>
      </text>
    </comment>
    <comment ref="AC7" authorId="0" shapeId="0" xr:uid="{CFD1BE38-2992-444C-B51B-D1CA5DC1598D}">
      <text>
        <r>
          <rPr>
            <b/>
            <sz val="9"/>
            <color indexed="81"/>
            <rFont val="Tahoma"/>
            <family val="2"/>
          </rPr>
          <t>Inscrire le montant de l'offre</t>
        </r>
      </text>
    </comment>
    <comment ref="AD7" authorId="0" shapeId="0" xr:uid="{AB279FEB-4CE9-478B-9CCE-16F751AFAF13}">
      <text>
        <r>
          <rPr>
            <b/>
            <sz val="9"/>
            <color indexed="81"/>
            <rFont val="Tahoma"/>
            <family val="2"/>
          </rPr>
          <t>Auteur:</t>
        </r>
        <r>
          <rPr>
            <sz val="9"/>
            <color indexed="81"/>
            <rFont val="Tahoma"/>
            <family val="2"/>
          </rPr>
          <t xml:space="preserve">
Inscrire la raison sociale (nom) de l'entreprise</t>
        </r>
      </text>
    </comment>
    <comment ref="AE7" authorId="0" shapeId="0" xr:uid="{525A85E2-3DB2-458F-ACF7-0FFD6FB68CB0}">
      <text>
        <r>
          <rPr>
            <b/>
            <sz val="9"/>
            <color indexed="81"/>
            <rFont val="Tahoma"/>
            <family val="2"/>
          </rPr>
          <t>Auteur:</t>
        </r>
        <r>
          <rPr>
            <sz val="9"/>
            <color indexed="81"/>
            <rFont val="Tahoma"/>
            <family val="2"/>
          </rPr>
          <t xml:space="preserve">
Inscrire le NCC de l'entreprise</t>
        </r>
      </text>
    </comment>
    <comment ref="AF7" authorId="0" shapeId="0" xr:uid="{A9ACB1E9-5F0D-49EE-AF14-5870F80CB549}">
      <text>
        <r>
          <rPr>
            <b/>
            <sz val="9"/>
            <color indexed="81"/>
            <rFont val="Tahoma"/>
            <family val="2"/>
          </rPr>
          <t>Inscrire le montant de l'offre</t>
        </r>
      </text>
    </comment>
    <comment ref="AO7" authorId="0" shapeId="0" xr:uid="{706D85DD-2263-45CD-9664-DAF757399447}">
      <text>
        <r>
          <rPr>
            <b/>
            <sz val="9"/>
            <color indexed="81"/>
            <rFont val="Tahoma"/>
            <family val="2"/>
          </rPr>
          <t>Auteur:</t>
        </r>
        <r>
          <rPr>
            <sz val="9"/>
            <color indexed="81"/>
            <rFont val="Tahoma"/>
            <family val="2"/>
          </rPr>
          <t xml:space="preserve">
Inscrire la raison sociale (nom) de l'entreprise</t>
        </r>
      </text>
    </comment>
    <comment ref="AP7" authorId="0" shapeId="0" xr:uid="{0A3E7A43-D113-4568-8D5E-B1C0650277B9}">
      <text>
        <r>
          <rPr>
            <b/>
            <sz val="9"/>
            <color indexed="81"/>
            <rFont val="Tahoma"/>
            <family val="2"/>
          </rPr>
          <t>Auteur:</t>
        </r>
        <r>
          <rPr>
            <sz val="9"/>
            <color indexed="81"/>
            <rFont val="Tahoma"/>
            <family val="2"/>
          </rPr>
          <t xml:space="preserve">
Inscrire le NCC de l'entreprise</t>
        </r>
      </text>
    </comment>
    <comment ref="X136" authorId="0" shapeId="0" xr:uid="{18ED9636-ED8F-4F6E-ACC3-1FFF2CCD1D44}">
      <text>
        <r>
          <rPr>
            <b/>
            <sz val="9"/>
            <color indexed="81"/>
            <rFont val="Tahoma"/>
            <family val="2"/>
          </rPr>
          <t>Inscrire le NCC et le nom de l'entreprise</t>
        </r>
      </text>
    </comment>
    <comment ref="Z136" authorId="0" shapeId="0" xr:uid="{55C8D7D6-97BF-4BA2-A9A4-F00002D08DDD}">
      <text>
        <r>
          <rPr>
            <b/>
            <sz val="9"/>
            <color indexed="81"/>
            <rFont val="Tahoma"/>
            <family val="2"/>
          </rPr>
          <t>Inscrire le montant de l'offre</t>
        </r>
      </text>
    </comment>
    <comment ref="AA136" authorId="0" shapeId="0" xr:uid="{296B27EA-C788-4C05-8D28-25EE94CF997B}">
      <text>
        <r>
          <rPr>
            <b/>
            <sz val="9"/>
            <color indexed="81"/>
            <rFont val="Tahoma"/>
            <family val="2"/>
          </rPr>
          <t>Inscrire le NCC et le nom de l'entreprise</t>
        </r>
      </text>
    </comment>
    <comment ref="AC136" authorId="0" shapeId="0" xr:uid="{B0931AA0-AB3E-4141-AA10-FEBF81F467E5}">
      <text>
        <r>
          <rPr>
            <b/>
            <sz val="9"/>
            <color indexed="81"/>
            <rFont val="Tahoma"/>
            <family val="2"/>
          </rPr>
          <t>Inscrire le montant de l'offre</t>
        </r>
      </text>
    </comment>
    <comment ref="AD136" authorId="0" shapeId="0" xr:uid="{D05EBC4C-64CC-43FA-A299-F033D8A64310}">
      <text>
        <r>
          <rPr>
            <b/>
            <sz val="9"/>
            <color indexed="81"/>
            <rFont val="Tahoma"/>
            <family val="2"/>
          </rPr>
          <t>Inscrire le NCC et le nom de l'entreprise</t>
        </r>
      </text>
    </comment>
    <comment ref="AF136" authorId="0" shapeId="0" xr:uid="{BCED2FC8-6569-49D9-AF74-A2514C32B3CC}">
      <text>
        <r>
          <rPr>
            <b/>
            <sz val="9"/>
            <color indexed="81"/>
            <rFont val="Tahoma"/>
            <family val="2"/>
          </rPr>
          <t>Inscrire le montant de l'offre</t>
        </r>
      </text>
    </comment>
    <comment ref="X137" authorId="0" shapeId="0" xr:uid="{34A53708-F892-42EF-826F-E449801610B0}">
      <text>
        <r>
          <rPr>
            <b/>
            <sz val="9"/>
            <color indexed="81"/>
            <rFont val="Tahoma"/>
            <family val="2"/>
          </rPr>
          <t>Inscrire le NCC et le nom de l'entreprise</t>
        </r>
      </text>
    </comment>
    <comment ref="Z137" authorId="0" shapeId="0" xr:uid="{62856BAD-3D8B-4F17-9A71-18912F71E56C}">
      <text>
        <r>
          <rPr>
            <b/>
            <sz val="9"/>
            <color indexed="81"/>
            <rFont val="Tahoma"/>
            <family val="2"/>
          </rPr>
          <t>Inscrire le montant de l'offre</t>
        </r>
      </text>
    </comment>
    <comment ref="AA137" authorId="0" shapeId="0" xr:uid="{A9D1674E-4C09-4B83-B8FA-6FE57619A687}">
      <text>
        <r>
          <rPr>
            <b/>
            <sz val="9"/>
            <color indexed="81"/>
            <rFont val="Tahoma"/>
            <family val="2"/>
          </rPr>
          <t>Inscrire le NCC et le nom de l'entreprise</t>
        </r>
      </text>
    </comment>
    <comment ref="AC137" authorId="0" shapeId="0" xr:uid="{DA3764AE-1832-4741-87B6-1F91F9E36031}">
      <text>
        <r>
          <rPr>
            <b/>
            <sz val="9"/>
            <color indexed="81"/>
            <rFont val="Tahoma"/>
            <family val="2"/>
          </rPr>
          <t>Inscrire le montant de l'offre</t>
        </r>
      </text>
    </comment>
    <comment ref="AD137" authorId="0" shapeId="0" xr:uid="{9A93EBB0-9EEA-43BC-965E-DAF86BBF0327}">
      <text>
        <r>
          <rPr>
            <b/>
            <sz val="9"/>
            <color indexed="81"/>
            <rFont val="Tahoma"/>
            <family val="2"/>
          </rPr>
          <t>Inscrire le NCC et le nom de l'entreprise</t>
        </r>
      </text>
    </comment>
    <comment ref="AF137" authorId="0" shapeId="0" xr:uid="{A8C8EE92-6BB8-4329-A746-5F23DDD7B62D}">
      <text>
        <r>
          <rPr>
            <b/>
            <sz val="9"/>
            <color indexed="81"/>
            <rFont val="Tahoma"/>
            <family val="2"/>
          </rPr>
          <t>Inscrire le montant de l'offre</t>
        </r>
      </text>
    </comment>
    <comment ref="X142" authorId="0" shapeId="0" xr:uid="{5694C54D-6318-4220-9B84-4ABB1AB789AE}">
      <text>
        <r>
          <rPr>
            <b/>
            <sz val="9"/>
            <color indexed="81"/>
            <rFont val="Tahoma"/>
            <family val="2"/>
          </rPr>
          <t>Inscrire le NCC et le nom de l'entreprise</t>
        </r>
      </text>
    </comment>
    <comment ref="Z142" authorId="0" shapeId="0" xr:uid="{ED6AB788-2EF0-4F52-8AF8-DEA1220CD6EB}">
      <text>
        <r>
          <rPr>
            <b/>
            <sz val="9"/>
            <color indexed="81"/>
            <rFont val="Tahoma"/>
            <family val="2"/>
          </rPr>
          <t>Inscrire le montant de l'offre</t>
        </r>
      </text>
    </comment>
    <comment ref="AA142" authorId="0" shapeId="0" xr:uid="{F8FA0667-0953-47F7-9D09-A0BFCE8AB456}">
      <text>
        <r>
          <rPr>
            <b/>
            <sz val="9"/>
            <color indexed="81"/>
            <rFont val="Tahoma"/>
            <family val="2"/>
          </rPr>
          <t>Inscrire le NCC et le nom de l'entreprise</t>
        </r>
      </text>
    </comment>
    <comment ref="AC142" authorId="0" shapeId="0" xr:uid="{0500459B-86CC-49E5-AB01-C9836FF1C934}">
      <text>
        <r>
          <rPr>
            <b/>
            <sz val="9"/>
            <color indexed="81"/>
            <rFont val="Tahoma"/>
            <family val="2"/>
          </rPr>
          <t>Inscrire le montant de l'offre</t>
        </r>
      </text>
    </comment>
    <comment ref="AD142" authorId="0" shapeId="0" xr:uid="{ECF2D286-4AB7-438B-83CF-7768DC6C188A}">
      <text>
        <r>
          <rPr>
            <b/>
            <sz val="9"/>
            <color indexed="81"/>
            <rFont val="Tahoma"/>
            <family val="2"/>
          </rPr>
          <t>Inscrire le NCC et le nom de l'entreprise</t>
        </r>
      </text>
    </comment>
    <comment ref="AF142" authorId="0" shapeId="0" xr:uid="{067E7734-375B-427C-B0FC-C911E5E9740E}">
      <text>
        <r>
          <rPr>
            <b/>
            <sz val="9"/>
            <color indexed="81"/>
            <rFont val="Tahoma"/>
            <family val="2"/>
          </rPr>
          <t>Inscrire le montant de l'offre</t>
        </r>
      </text>
    </comment>
    <comment ref="AO142" authorId="0" shapeId="0" xr:uid="{F4739ED2-A581-495A-948B-6EF04C1714FE}">
      <text>
        <r>
          <rPr>
            <b/>
            <sz val="9"/>
            <color indexed="81"/>
            <rFont val="Tahoma"/>
            <family val="2"/>
          </rPr>
          <t>Inscrire le NCC et le nom de l'entreprise</t>
        </r>
      </text>
    </comment>
    <comment ref="X143" authorId="0" shapeId="0" xr:uid="{BFD5C421-B19B-4EF1-8429-684172D6D10D}">
      <text>
        <r>
          <rPr>
            <b/>
            <sz val="9"/>
            <color indexed="81"/>
            <rFont val="Tahoma"/>
            <family val="2"/>
          </rPr>
          <t>Inscrire le NCC et le nom de l'entreprise</t>
        </r>
      </text>
    </comment>
    <comment ref="AO143" authorId="0" shapeId="0" xr:uid="{62BF6ABE-F4A6-4013-A2F3-45820B4EB1C4}">
      <text>
        <r>
          <rPr>
            <b/>
            <sz val="9"/>
            <color indexed="81"/>
            <rFont val="Tahoma"/>
            <family val="2"/>
          </rPr>
          <t>Inscrire le NCC et le nom de l'entreprise</t>
        </r>
      </text>
    </comment>
    <comment ref="X145" authorId="0" shapeId="0" xr:uid="{02041573-5210-4766-9FDA-47CC536FB17C}">
      <text>
        <r>
          <rPr>
            <b/>
            <sz val="9"/>
            <color indexed="81"/>
            <rFont val="Tahoma"/>
            <family val="2"/>
          </rPr>
          <t>Inscrire le NCC et le nom de l'entreprise</t>
        </r>
      </text>
    </comment>
    <comment ref="AA145" authorId="0" shapeId="0" xr:uid="{50A4ADAA-E7CB-4D83-844C-06668FEF4D92}">
      <text>
        <r>
          <rPr>
            <b/>
            <sz val="9"/>
            <color indexed="81"/>
            <rFont val="Tahoma"/>
            <family val="2"/>
          </rPr>
          <t>Inscrire le NCC et le nom de l'entreprise</t>
        </r>
      </text>
    </comment>
    <comment ref="AD145" authorId="0" shapeId="0" xr:uid="{8F084AAD-5F0F-46F3-940B-41AC3854B17C}">
      <text>
        <r>
          <rPr>
            <b/>
            <sz val="9"/>
            <color indexed="81"/>
            <rFont val="Tahoma"/>
            <family val="2"/>
          </rPr>
          <t>Inscrire le NCC et le nom de l'entreprise</t>
        </r>
      </text>
    </comment>
    <comment ref="AO145" authorId="0" shapeId="0" xr:uid="{41A99A19-A19A-49CA-9617-E65D988BA9BD}">
      <text>
        <r>
          <rPr>
            <b/>
            <sz val="9"/>
            <color indexed="81"/>
            <rFont val="Tahoma"/>
            <family val="2"/>
          </rPr>
          <t>Inscrire le NCC et le nom de l'entreprise</t>
        </r>
      </text>
    </comment>
    <comment ref="X146" authorId="0" shapeId="0" xr:uid="{D37BF7B6-CC7B-4244-84B3-4DCF0A2217D4}">
      <text>
        <r>
          <rPr>
            <b/>
            <sz val="9"/>
            <color indexed="81"/>
            <rFont val="Tahoma"/>
            <family val="2"/>
          </rPr>
          <t>Inscrire le NCC et le nom de l'entreprise</t>
        </r>
      </text>
    </comment>
    <comment ref="AA146" authorId="0" shapeId="0" xr:uid="{D35F0083-F95C-4645-AF92-3966C6F1672D}">
      <text>
        <r>
          <rPr>
            <b/>
            <sz val="9"/>
            <color indexed="81"/>
            <rFont val="Tahoma"/>
            <family val="2"/>
          </rPr>
          <t>Inscrire le NCC et le nom de l'entreprise</t>
        </r>
      </text>
    </comment>
    <comment ref="AD146" authorId="0" shapeId="0" xr:uid="{E6E1C731-8258-4C69-9BD3-4296AA608533}">
      <text>
        <r>
          <rPr>
            <b/>
            <sz val="9"/>
            <color indexed="81"/>
            <rFont val="Tahoma"/>
            <family val="2"/>
          </rPr>
          <t>Inscrire le NCC et le nom de l'entreprise</t>
        </r>
      </text>
    </comment>
    <comment ref="X148" authorId="0" shapeId="0" xr:uid="{072EC42D-58B7-454D-8341-50F63D88AA67}">
      <text>
        <r>
          <rPr>
            <b/>
            <sz val="9"/>
            <color indexed="81"/>
            <rFont val="Tahoma"/>
            <family val="2"/>
          </rPr>
          <t>Inscrire le NCC et le nom de l'entreprise</t>
        </r>
      </text>
    </comment>
    <comment ref="Z148" authorId="0" shapeId="0" xr:uid="{506E9A99-FF02-444E-A35C-FEB587C716AD}">
      <text>
        <r>
          <rPr>
            <b/>
            <sz val="9"/>
            <color indexed="81"/>
            <rFont val="Tahoma"/>
            <family val="2"/>
          </rPr>
          <t>Inscrire le montant de l'offre</t>
        </r>
      </text>
    </comment>
    <comment ref="AA148" authorId="0" shapeId="0" xr:uid="{63422576-1E14-4168-B6BE-9D148105913B}">
      <text>
        <r>
          <rPr>
            <b/>
            <sz val="9"/>
            <color indexed="81"/>
            <rFont val="Tahoma"/>
            <family val="2"/>
          </rPr>
          <t>Inscrire le NCC et le nom de l'entreprise</t>
        </r>
      </text>
    </comment>
    <comment ref="AC148" authorId="0" shapeId="0" xr:uid="{CC3A2846-429C-4E68-8EF9-285334928B24}">
      <text>
        <r>
          <rPr>
            <b/>
            <sz val="9"/>
            <color indexed="81"/>
            <rFont val="Tahoma"/>
            <family val="2"/>
          </rPr>
          <t>Inscrire le montant de l'offre</t>
        </r>
      </text>
    </comment>
    <comment ref="AD148" authorId="0" shapeId="0" xr:uid="{BE512261-B4C2-43AC-932F-54D50092E47E}">
      <text>
        <r>
          <rPr>
            <b/>
            <sz val="9"/>
            <color indexed="81"/>
            <rFont val="Tahoma"/>
            <family val="2"/>
          </rPr>
          <t>Inscrire le NCC et le nom de l'entreprise</t>
        </r>
      </text>
    </comment>
    <comment ref="AF148" authorId="0" shapeId="0" xr:uid="{2F6834BD-74EE-42CB-9E40-65ECC2B3F3EE}">
      <text>
        <r>
          <rPr>
            <b/>
            <sz val="9"/>
            <color indexed="81"/>
            <rFont val="Tahoma"/>
            <family val="2"/>
          </rPr>
          <t>Inscrire le montant de l'offre</t>
        </r>
      </text>
    </comment>
    <comment ref="X205" authorId="0" shapeId="0" xr:uid="{B21AB119-574A-4951-93CC-A7BDFAA23B27}">
      <text>
        <r>
          <rPr>
            <b/>
            <sz val="9"/>
            <color indexed="81"/>
            <rFont val="Tahoma"/>
            <family val="2"/>
          </rPr>
          <t>Inscrire le NCC et le nom de l'entreprise</t>
        </r>
      </text>
    </comment>
    <comment ref="Z205" authorId="0" shapeId="0" xr:uid="{E894A119-32EB-4B45-AFFE-7F87742339F6}">
      <text>
        <r>
          <rPr>
            <b/>
            <sz val="9"/>
            <color indexed="81"/>
            <rFont val="Tahoma"/>
            <family val="2"/>
          </rPr>
          <t>Inscrire le montant de l'offre</t>
        </r>
      </text>
    </comment>
    <comment ref="AA205" authorId="0" shapeId="0" xr:uid="{04ADB52E-B37A-4E85-8881-288077BF7272}">
      <text>
        <r>
          <rPr>
            <b/>
            <sz val="9"/>
            <color indexed="81"/>
            <rFont val="Tahoma"/>
            <family val="2"/>
          </rPr>
          <t>Inscrire le NCC et le nom de l'entreprise</t>
        </r>
      </text>
    </comment>
    <comment ref="AC205" authorId="0" shapeId="0" xr:uid="{0D705ED6-2DBF-4472-B924-CD62D3F6C5DD}">
      <text>
        <r>
          <rPr>
            <b/>
            <sz val="9"/>
            <color indexed="81"/>
            <rFont val="Tahoma"/>
            <family val="2"/>
          </rPr>
          <t>Inscrire le montant de l'offre</t>
        </r>
      </text>
    </comment>
    <comment ref="AD205" authorId="0" shapeId="0" xr:uid="{C92E4D9B-A631-4AE0-80A1-52538123AAC7}">
      <text>
        <r>
          <rPr>
            <b/>
            <sz val="9"/>
            <color indexed="81"/>
            <rFont val="Tahoma"/>
            <family val="2"/>
          </rPr>
          <t>Inscrire le NCC et le nom de l'entreprise</t>
        </r>
      </text>
    </comment>
    <comment ref="AF205" authorId="0" shapeId="0" xr:uid="{58C362D0-9074-44BD-A6E6-46C9610DFB97}">
      <text>
        <r>
          <rPr>
            <b/>
            <sz val="9"/>
            <color indexed="81"/>
            <rFont val="Tahoma"/>
            <family val="2"/>
          </rPr>
          <t>Inscrire le montant de l'offre</t>
        </r>
      </text>
    </comment>
    <comment ref="AI205" authorId="0" shapeId="0" xr:uid="{55CCBB62-8050-4D54-BFE3-55FF35BECD07}">
      <text>
        <r>
          <rPr>
            <b/>
            <sz val="9"/>
            <color indexed="81"/>
            <rFont val="Tahoma"/>
            <family val="2"/>
          </rPr>
          <t>Inscrire le montant de l'offre</t>
        </r>
      </text>
    </comment>
    <comment ref="AL205" authorId="0" shapeId="0" xr:uid="{917BA726-F57A-481A-BB9E-176A47C7DDBF}">
      <text>
        <r>
          <rPr>
            <b/>
            <sz val="9"/>
            <color indexed="81"/>
            <rFont val="Tahoma"/>
            <family val="2"/>
          </rPr>
          <t>Inscrire le montant de l'offre</t>
        </r>
      </text>
    </comment>
    <comment ref="AM205" authorId="0" shapeId="0" xr:uid="{BB79811C-C91D-44DE-BB6D-C40156B51D08}">
      <text>
        <r>
          <rPr>
            <b/>
            <sz val="9"/>
            <color indexed="81"/>
            <rFont val="Tahoma"/>
            <family val="2"/>
          </rPr>
          <t>Inscrire le montant de l'offre</t>
        </r>
      </text>
    </comment>
    <comment ref="AO205" authorId="0" shapeId="0" xr:uid="{E8F13C69-0BBA-4B4C-8C49-120C072339A2}">
      <text>
        <r>
          <rPr>
            <b/>
            <sz val="9"/>
            <color indexed="81"/>
            <rFont val="Tahoma"/>
            <family val="2"/>
          </rPr>
          <t>Inscrire le NCC et le nom de l'entreprise</t>
        </r>
      </text>
    </comment>
    <comment ref="X206" authorId="0" shapeId="0" xr:uid="{419983DD-D214-4016-9DFD-ADC523E9533F}">
      <text>
        <r>
          <rPr>
            <b/>
            <sz val="9"/>
            <color indexed="81"/>
            <rFont val="Tahoma"/>
            <family val="2"/>
          </rPr>
          <t>Inscrire le NCC et le nom de l'entreprise</t>
        </r>
      </text>
    </comment>
    <comment ref="Z206" authorId="0" shapeId="0" xr:uid="{7511FFB5-D768-40CF-8A7E-842D4A37C4D9}">
      <text>
        <r>
          <rPr>
            <b/>
            <sz val="9"/>
            <color indexed="81"/>
            <rFont val="Tahoma"/>
            <family val="2"/>
          </rPr>
          <t>Inscrire le montant de l'offre</t>
        </r>
      </text>
    </comment>
    <comment ref="AA206" authorId="0" shapeId="0" xr:uid="{C54BF61E-6982-47E6-B373-4B537E0242E3}">
      <text>
        <r>
          <rPr>
            <b/>
            <sz val="9"/>
            <color indexed="81"/>
            <rFont val="Tahoma"/>
            <family val="2"/>
          </rPr>
          <t>Inscrire le NCC et le nom de l'entreprise</t>
        </r>
      </text>
    </comment>
    <comment ref="AC206" authorId="0" shapeId="0" xr:uid="{F8A29CEF-8CFF-4B49-880C-804B1E928CDB}">
      <text>
        <r>
          <rPr>
            <b/>
            <sz val="9"/>
            <color indexed="81"/>
            <rFont val="Tahoma"/>
            <family val="2"/>
          </rPr>
          <t>Inscrire le montant de l'offre</t>
        </r>
      </text>
    </comment>
    <comment ref="AD206" authorId="0" shapeId="0" xr:uid="{19993B70-1BD0-4934-9502-8E560CA9F11F}">
      <text>
        <r>
          <rPr>
            <b/>
            <sz val="9"/>
            <color indexed="81"/>
            <rFont val="Tahoma"/>
            <family val="2"/>
          </rPr>
          <t>Inscrire le NCC et le nom de l'entreprise</t>
        </r>
      </text>
    </comment>
    <comment ref="AF206" authorId="0" shapeId="0" xr:uid="{42BACC68-2C69-4DF3-860F-5C4B4F64759B}">
      <text>
        <r>
          <rPr>
            <b/>
            <sz val="9"/>
            <color indexed="81"/>
            <rFont val="Tahoma"/>
            <family val="2"/>
          </rPr>
          <t>Inscrire le montant de l'offre</t>
        </r>
      </text>
    </comment>
    <comment ref="AI206" authorId="0" shapeId="0" xr:uid="{BD5B60CE-22A9-43D1-B88F-634D05C3D11F}">
      <text>
        <r>
          <rPr>
            <b/>
            <sz val="9"/>
            <color indexed="81"/>
            <rFont val="Tahoma"/>
            <family val="2"/>
          </rPr>
          <t>Inscrire le montant de l'offre</t>
        </r>
      </text>
    </comment>
    <comment ref="AK206" authorId="0" shapeId="0" xr:uid="{F5BF35D9-3ABC-460D-943B-689909D71535}">
      <text>
        <r>
          <rPr>
            <b/>
            <sz val="9"/>
            <color indexed="81"/>
            <rFont val="Tahoma"/>
            <family val="2"/>
          </rPr>
          <t>Inscrire le montant de l'offre</t>
        </r>
      </text>
    </comment>
    <comment ref="AL206" authorId="0" shapeId="0" xr:uid="{F9F9635C-4796-4389-B0DC-E5E9821858EB}">
      <text>
        <r>
          <rPr>
            <b/>
            <sz val="9"/>
            <color indexed="81"/>
            <rFont val="Tahoma"/>
            <family val="2"/>
          </rPr>
          <t>Inscrire le montant de l'offre</t>
        </r>
      </text>
    </comment>
    <comment ref="AM206" authorId="0" shapeId="0" xr:uid="{AA6147BE-12E8-442A-8402-9046E317EEA7}">
      <text>
        <r>
          <rPr>
            <b/>
            <sz val="9"/>
            <color indexed="81"/>
            <rFont val="Tahoma"/>
            <family val="2"/>
          </rPr>
          <t>Inscrire le montant de l'offre</t>
        </r>
      </text>
    </comment>
    <comment ref="AO206" authorId="0" shapeId="0" xr:uid="{BD6364B3-47A2-4203-B77F-36F2F86A6C60}">
      <text>
        <r>
          <rPr>
            <b/>
            <sz val="9"/>
            <color indexed="81"/>
            <rFont val="Tahoma"/>
            <family val="2"/>
          </rPr>
          <t>Inscrire le NCC et le nom de l'entreprise</t>
        </r>
      </text>
    </comment>
    <comment ref="X207" authorId="0" shapeId="0" xr:uid="{3E3F9A81-FDC8-4BBB-BA3C-3DF39D7C87C3}">
      <text>
        <r>
          <rPr>
            <b/>
            <sz val="9"/>
            <color indexed="81"/>
            <rFont val="Tahoma"/>
            <family val="2"/>
          </rPr>
          <t>Inscrire le NCC et le nom de l'entreprise</t>
        </r>
      </text>
    </comment>
    <comment ref="Z207" authorId="0" shapeId="0" xr:uid="{AAFCCDAB-EE20-4E81-9953-7FE9A4420E4C}">
      <text>
        <r>
          <rPr>
            <b/>
            <sz val="9"/>
            <color indexed="81"/>
            <rFont val="Tahoma"/>
            <family val="2"/>
          </rPr>
          <t>Inscrire le montant de l'offre</t>
        </r>
      </text>
    </comment>
    <comment ref="AA207" authorId="0" shapeId="0" xr:uid="{68F4F482-BBBC-4C23-9C33-F2ECE4D942C0}">
      <text>
        <r>
          <rPr>
            <b/>
            <sz val="9"/>
            <color indexed="81"/>
            <rFont val="Tahoma"/>
            <family val="2"/>
          </rPr>
          <t>Inscrire le NCC et le nom de l'entreprise</t>
        </r>
      </text>
    </comment>
    <comment ref="AC207" authorId="0" shapeId="0" xr:uid="{0CB2DFD4-1E68-4975-BBE1-98949040863B}">
      <text>
        <r>
          <rPr>
            <b/>
            <sz val="9"/>
            <color indexed="81"/>
            <rFont val="Tahoma"/>
            <family val="2"/>
          </rPr>
          <t>Inscrire le montant de l'offre</t>
        </r>
      </text>
    </comment>
    <comment ref="AD207" authorId="0" shapeId="0" xr:uid="{00B99066-CD8A-4C93-8F0F-9849E58A3021}">
      <text>
        <r>
          <rPr>
            <b/>
            <sz val="9"/>
            <color indexed="81"/>
            <rFont val="Tahoma"/>
            <family val="2"/>
          </rPr>
          <t>Inscrire le NCC et le nom de l'entreprise</t>
        </r>
      </text>
    </comment>
    <comment ref="AF207" authorId="0" shapeId="0" xr:uid="{66169889-0F4E-48B2-9CE1-A2886AA3AF77}">
      <text>
        <r>
          <rPr>
            <b/>
            <sz val="9"/>
            <color indexed="81"/>
            <rFont val="Tahoma"/>
            <family val="2"/>
          </rPr>
          <t>Inscrire le montant de l'offre</t>
        </r>
      </text>
    </comment>
    <comment ref="AI207" authorId="0" shapeId="0" xr:uid="{CC5DBA6B-B645-45D5-B954-89CBE70AB77E}">
      <text>
        <r>
          <rPr>
            <b/>
            <sz val="9"/>
            <color indexed="81"/>
            <rFont val="Tahoma"/>
            <family val="2"/>
          </rPr>
          <t>Inscrire le montant de l'offre</t>
        </r>
      </text>
    </comment>
    <comment ref="AK207" authorId="0" shapeId="0" xr:uid="{31F3AC6E-0061-4FE8-8206-CBF66B4D88A4}">
      <text>
        <r>
          <rPr>
            <b/>
            <sz val="9"/>
            <color indexed="81"/>
            <rFont val="Tahoma"/>
            <family val="2"/>
          </rPr>
          <t>Inscrire le montant de l'offre</t>
        </r>
      </text>
    </comment>
    <comment ref="AL207" authorId="0" shapeId="0" xr:uid="{D9AC3845-CBD8-45DF-9C3B-E15232FE529E}">
      <text>
        <r>
          <rPr>
            <b/>
            <sz val="9"/>
            <color indexed="81"/>
            <rFont val="Tahoma"/>
            <family val="2"/>
          </rPr>
          <t>Inscrire le montant de l'offre</t>
        </r>
      </text>
    </comment>
    <comment ref="AM207" authorId="0" shapeId="0" xr:uid="{5D53E28B-F840-4F7E-99F2-7DBA53308722}">
      <text>
        <r>
          <rPr>
            <b/>
            <sz val="9"/>
            <color indexed="81"/>
            <rFont val="Tahoma"/>
            <family val="2"/>
          </rPr>
          <t>Inscrire le montant de l'offre</t>
        </r>
      </text>
    </comment>
    <comment ref="AO207" authorId="0" shapeId="0" xr:uid="{FD5658F5-718E-4C31-9876-29C2C7D4A3CA}">
      <text>
        <r>
          <rPr>
            <b/>
            <sz val="9"/>
            <color indexed="81"/>
            <rFont val="Tahoma"/>
            <family val="2"/>
          </rPr>
          <t>Inscrire le NCC et le nom de l'entreprise</t>
        </r>
      </text>
    </comment>
    <comment ref="X208" authorId="0" shapeId="0" xr:uid="{7F54D987-4C0F-4FB8-B835-BF5F9A5F573D}">
      <text>
        <r>
          <rPr>
            <b/>
            <sz val="9"/>
            <color indexed="81"/>
            <rFont val="Tahoma"/>
            <family val="2"/>
          </rPr>
          <t>Inscrire le NCC et le nom de l'entreprise</t>
        </r>
      </text>
    </comment>
    <comment ref="Z208" authorId="0" shapeId="0" xr:uid="{CA4145D7-AB4F-4403-AD0D-224E4E81AB95}">
      <text>
        <r>
          <rPr>
            <b/>
            <sz val="9"/>
            <color indexed="81"/>
            <rFont val="Tahoma"/>
            <family val="2"/>
          </rPr>
          <t>Inscrire le montant de l'offre</t>
        </r>
      </text>
    </comment>
    <comment ref="AA208" authorId="0" shapeId="0" xr:uid="{4337858A-3D40-4589-B924-BA8609ED1257}">
      <text>
        <r>
          <rPr>
            <b/>
            <sz val="9"/>
            <color indexed="81"/>
            <rFont val="Tahoma"/>
            <family val="2"/>
          </rPr>
          <t>Inscrire le NCC et le nom de l'entreprise</t>
        </r>
      </text>
    </comment>
    <comment ref="AC208" authorId="0" shapeId="0" xr:uid="{E9E1B043-AB7E-4B45-8851-9AC05B645D0D}">
      <text>
        <r>
          <rPr>
            <b/>
            <sz val="9"/>
            <color indexed="81"/>
            <rFont val="Tahoma"/>
            <family val="2"/>
          </rPr>
          <t>Inscrire le montant de l'offre</t>
        </r>
      </text>
    </comment>
    <comment ref="AD208" authorId="0" shapeId="0" xr:uid="{3E34B9EB-E2A0-4487-A77B-24F0A63E0F94}">
      <text>
        <r>
          <rPr>
            <b/>
            <sz val="9"/>
            <color indexed="81"/>
            <rFont val="Tahoma"/>
            <family val="2"/>
          </rPr>
          <t>Inscrire le NCC et le nom de l'entreprise</t>
        </r>
      </text>
    </comment>
    <comment ref="AF208" authorId="0" shapeId="0" xr:uid="{EDAFB614-3BC4-4D24-BBD8-D40654EBD2FF}">
      <text>
        <r>
          <rPr>
            <b/>
            <sz val="9"/>
            <color indexed="81"/>
            <rFont val="Tahoma"/>
            <family val="2"/>
          </rPr>
          <t>Inscrire le montant de l'offre</t>
        </r>
      </text>
    </comment>
    <comment ref="AI208" authorId="0" shapeId="0" xr:uid="{0E867051-9C97-4F9F-98E5-3CCC48B095E9}">
      <text>
        <r>
          <rPr>
            <b/>
            <sz val="9"/>
            <color indexed="81"/>
            <rFont val="Tahoma"/>
            <family val="2"/>
          </rPr>
          <t>Inscrire le montant de l'offre</t>
        </r>
      </text>
    </comment>
    <comment ref="AK208" authorId="0" shapeId="0" xr:uid="{DD030170-E2D4-4BFF-A84B-0A9D48245870}">
      <text>
        <r>
          <rPr>
            <b/>
            <sz val="9"/>
            <color indexed="81"/>
            <rFont val="Tahoma"/>
            <family val="2"/>
          </rPr>
          <t>Inscrire le montant de l'offre</t>
        </r>
      </text>
    </comment>
    <comment ref="AL208" authorId="0" shapeId="0" xr:uid="{50F95A5D-951F-4924-A7DF-743791A6B1A8}">
      <text>
        <r>
          <rPr>
            <b/>
            <sz val="9"/>
            <color indexed="81"/>
            <rFont val="Tahoma"/>
            <family val="2"/>
          </rPr>
          <t>Inscrire le montant de l'offre</t>
        </r>
      </text>
    </comment>
    <comment ref="AM208" authorId="0" shapeId="0" xr:uid="{DB844A57-503C-4F53-B513-0ADEABE10DEF}">
      <text>
        <r>
          <rPr>
            <b/>
            <sz val="9"/>
            <color indexed="81"/>
            <rFont val="Tahoma"/>
            <family val="2"/>
          </rPr>
          <t>Inscrire le montant de l'offre</t>
        </r>
      </text>
    </comment>
    <comment ref="AO208" authorId="0" shapeId="0" xr:uid="{E38868DE-599E-4234-80E1-9D6E0F5577F2}">
      <text>
        <r>
          <rPr>
            <b/>
            <sz val="9"/>
            <color indexed="81"/>
            <rFont val="Tahoma"/>
            <family val="2"/>
          </rPr>
          <t>Inscrire le NCC et le nom de l'entreprise</t>
        </r>
      </text>
    </comment>
    <comment ref="AA216" authorId="0" shapeId="0" xr:uid="{DFFFBA08-2BC6-4BF0-9DA9-1D5579BB8BDB}">
      <text>
        <r>
          <rPr>
            <b/>
            <sz val="9"/>
            <color indexed="81"/>
            <rFont val="Tahoma"/>
            <family val="2"/>
          </rPr>
          <t>Inscrire le NCC et le nom de l'entreprise</t>
        </r>
      </text>
    </comment>
    <comment ref="AC216" authorId="0" shapeId="0" xr:uid="{3F58F376-414B-495A-8BD6-F994C8083D6A}">
      <text>
        <r>
          <rPr>
            <b/>
            <sz val="9"/>
            <color indexed="81"/>
            <rFont val="Tahoma"/>
            <family val="2"/>
          </rPr>
          <t>Inscrire le montant de l'offre</t>
        </r>
      </text>
    </comment>
    <comment ref="AD216" authorId="0" shapeId="0" xr:uid="{036AF452-2503-4E80-8941-1F566EC1F87C}">
      <text>
        <r>
          <rPr>
            <b/>
            <sz val="9"/>
            <color indexed="81"/>
            <rFont val="Tahoma"/>
            <family val="2"/>
          </rPr>
          <t>Inscrire le NCC et le nom de l'entreprise</t>
        </r>
      </text>
    </comment>
    <comment ref="AF216" authorId="0" shapeId="0" xr:uid="{D59883F6-B3F6-41B6-B197-E634CB7D8B1F}">
      <text>
        <r>
          <rPr>
            <b/>
            <sz val="9"/>
            <color indexed="81"/>
            <rFont val="Tahoma"/>
            <family val="2"/>
          </rPr>
          <t>Inscrire le montant de l'offre</t>
        </r>
      </text>
    </comment>
    <comment ref="X221" authorId="0" shapeId="0" xr:uid="{E91EE6AB-95B7-432C-B8FB-5ABFA13BA1B5}">
      <text>
        <r>
          <rPr>
            <b/>
            <sz val="9"/>
            <color indexed="81"/>
            <rFont val="Tahoma"/>
            <family val="2"/>
          </rPr>
          <t>Auteur:</t>
        </r>
        <r>
          <rPr>
            <sz val="9"/>
            <color indexed="81"/>
            <rFont val="Tahoma"/>
            <family val="2"/>
          </rPr>
          <t xml:space="preserve">
Inscrire la raison sociale (nom) de l'entreprise</t>
        </r>
      </text>
    </comment>
    <comment ref="Y221" authorId="0" shapeId="0" xr:uid="{8C6C1EB9-00FA-40CE-BD01-A7CE673FF8D4}">
      <text>
        <r>
          <rPr>
            <b/>
            <sz val="9"/>
            <color indexed="81"/>
            <rFont val="Tahoma"/>
            <family val="2"/>
          </rPr>
          <t>Auteur:</t>
        </r>
        <r>
          <rPr>
            <sz val="9"/>
            <color indexed="81"/>
            <rFont val="Tahoma"/>
            <family val="2"/>
          </rPr>
          <t xml:space="preserve">
Inscrire le NCC de l'entreprise</t>
        </r>
      </text>
    </comment>
    <comment ref="Z221" authorId="0" shapeId="0" xr:uid="{352CB244-C30F-488A-B44C-654D37C8834D}">
      <text>
        <r>
          <rPr>
            <b/>
            <sz val="9"/>
            <color indexed="81"/>
            <rFont val="Tahoma"/>
            <family val="2"/>
          </rPr>
          <t>Inscrire le montant de l'offre</t>
        </r>
      </text>
    </comment>
    <comment ref="AA221" authorId="0" shapeId="0" xr:uid="{6DFC48BD-FD99-4250-B1EC-EBC050FB265F}">
      <text>
        <r>
          <rPr>
            <b/>
            <sz val="9"/>
            <color indexed="81"/>
            <rFont val="Tahoma"/>
            <family val="2"/>
          </rPr>
          <t>Auteur:</t>
        </r>
        <r>
          <rPr>
            <sz val="9"/>
            <color indexed="81"/>
            <rFont val="Tahoma"/>
            <family val="2"/>
          </rPr>
          <t xml:space="preserve">
Inscrire la raison sociale (nom) de l'entreprise</t>
        </r>
      </text>
    </comment>
    <comment ref="AB221" authorId="0" shapeId="0" xr:uid="{07E22685-27A0-47C1-B17A-454443DFB45C}">
      <text>
        <r>
          <rPr>
            <b/>
            <sz val="9"/>
            <color indexed="81"/>
            <rFont val="Tahoma"/>
            <family val="2"/>
          </rPr>
          <t>Auteur:</t>
        </r>
        <r>
          <rPr>
            <sz val="9"/>
            <color indexed="81"/>
            <rFont val="Tahoma"/>
            <family val="2"/>
          </rPr>
          <t xml:space="preserve">
Inscrire le NCC de l'entreprise</t>
        </r>
      </text>
    </comment>
    <comment ref="AC221" authorId="0" shapeId="0" xr:uid="{E6C8FBB1-AE8C-4F19-99D1-9A69B88CD53A}">
      <text>
        <r>
          <rPr>
            <b/>
            <sz val="9"/>
            <color indexed="81"/>
            <rFont val="Tahoma"/>
            <family val="2"/>
          </rPr>
          <t>Inscrire le montant de l'offre</t>
        </r>
      </text>
    </comment>
    <comment ref="AD221" authorId="0" shapeId="0" xr:uid="{7514AA39-2820-4F12-901A-7DDFE425DDC4}">
      <text>
        <r>
          <rPr>
            <b/>
            <sz val="9"/>
            <color indexed="81"/>
            <rFont val="Tahoma"/>
            <family val="2"/>
          </rPr>
          <t>Auteur:</t>
        </r>
        <r>
          <rPr>
            <sz val="9"/>
            <color indexed="81"/>
            <rFont val="Tahoma"/>
            <family val="2"/>
          </rPr>
          <t xml:space="preserve">
Inscrire la raison sociale (nom) de l'entreprise</t>
        </r>
      </text>
    </comment>
    <comment ref="AE221" authorId="0" shapeId="0" xr:uid="{0C6D4531-1D11-4914-A14F-3175EB6182F7}">
      <text>
        <r>
          <rPr>
            <b/>
            <sz val="9"/>
            <color indexed="81"/>
            <rFont val="Tahoma"/>
            <family val="2"/>
          </rPr>
          <t>Auteur:</t>
        </r>
        <r>
          <rPr>
            <sz val="9"/>
            <color indexed="81"/>
            <rFont val="Tahoma"/>
            <family val="2"/>
          </rPr>
          <t xml:space="preserve">
Inscrire le NCC de l'entreprise</t>
        </r>
      </text>
    </comment>
    <comment ref="AF221" authorId="0" shapeId="0" xr:uid="{5B658626-0D99-4CC3-860C-C9E1B8570AD5}">
      <text>
        <r>
          <rPr>
            <b/>
            <sz val="9"/>
            <color indexed="81"/>
            <rFont val="Tahoma"/>
            <family val="2"/>
          </rPr>
          <t>Inscrire le montant de l'offre</t>
        </r>
      </text>
    </comment>
    <comment ref="AO221" authorId="0" shapeId="0" xr:uid="{36C71B43-2C5B-4070-ACAC-25EEA14F1112}">
      <text>
        <r>
          <rPr>
            <b/>
            <sz val="9"/>
            <color indexed="81"/>
            <rFont val="Tahoma"/>
            <family val="2"/>
          </rPr>
          <t>Auteur:</t>
        </r>
        <r>
          <rPr>
            <sz val="9"/>
            <color indexed="81"/>
            <rFont val="Tahoma"/>
            <family val="2"/>
          </rPr>
          <t xml:space="preserve">
Inscrire la raison sociale (nom) de l'entreprise</t>
        </r>
      </text>
    </comment>
    <comment ref="AP221" authorId="0" shapeId="0" xr:uid="{AF9008E2-15A8-467A-BCFF-506A9B0162BD}">
      <text>
        <r>
          <rPr>
            <b/>
            <sz val="9"/>
            <color indexed="81"/>
            <rFont val="Tahoma"/>
            <family val="2"/>
          </rPr>
          <t>Auteur:</t>
        </r>
        <r>
          <rPr>
            <sz val="9"/>
            <color indexed="81"/>
            <rFont val="Tahoma"/>
            <family val="2"/>
          </rPr>
          <t xml:space="preserve">
Inscrire le NCC de l'entreprise</t>
        </r>
      </text>
    </comment>
    <comment ref="AQ221" authorId="0" shapeId="0" xr:uid="{78B4BDCA-F341-438E-9B8F-23A449B98BC6}">
      <text>
        <r>
          <rPr>
            <b/>
            <sz val="9"/>
            <color indexed="81"/>
            <rFont val="Tahoma"/>
            <family val="2"/>
          </rPr>
          <t>Inscrire le montant de l'offre</t>
        </r>
      </text>
    </comment>
    <comment ref="AD222" authorId="0" shapeId="0" xr:uid="{7BD5D28B-7EEF-43AE-8F27-D9B7C876E56D}">
      <text>
        <r>
          <rPr>
            <b/>
            <sz val="9"/>
            <color indexed="81"/>
            <rFont val="Tahoma"/>
            <family val="2"/>
          </rPr>
          <t>Auteur:</t>
        </r>
        <r>
          <rPr>
            <sz val="9"/>
            <color indexed="81"/>
            <rFont val="Tahoma"/>
            <family val="2"/>
          </rPr>
          <t xml:space="preserve">
Inscrire la raison sociale (nom) de l'entreprise</t>
        </r>
      </text>
    </comment>
    <comment ref="AE222" authorId="0" shapeId="0" xr:uid="{DEE1EEA2-376D-46B3-9D08-079C4BD430D3}">
      <text>
        <r>
          <rPr>
            <b/>
            <sz val="9"/>
            <color indexed="81"/>
            <rFont val="Tahoma"/>
            <family val="2"/>
          </rPr>
          <t>Auteur:</t>
        </r>
        <r>
          <rPr>
            <sz val="9"/>
            <color indexed="81"/>
            <rFont val="Tahoma"/>
            <family val="2"/>
          </rPr>
          <t xml:space="preserve">
Inscrire le NCC de l'entreprise</t>
        </r>
      </text>
    </comment>
    <comment ref="AD223" authorId="0" shapeId="0" xr:uid="{CAA8BA09-AADA-45AE-94BA-6831F4DDCFAB}">
      <text>
        <r>
          <rPr>
            <b/>
            <sz val="9"/>
            <color indexed="81"/>
            <rFont val="Tahoma"/>
            <family val="2"/>
          </rPr>
          <t>Auteur:</t>
        </r>
        <r>
          <rPr>
            <sz val="9"/>
            <color indexed="81"/>
            <rFont val="Tahoma"/>
            <family val="2"/>
          </rPr>
          <t xml:space="preserve">
Inscrire la raison sociale (nom) de l'entreprise</t>
        </r>
      </text>
    </comment>
    <comment ref="AE223" authorId="0" shapeId="0" xr:uid="{218A05BE-8DC1-4FB5-B5B5-B0310A0037E5}">
      <text>
        <r>
          <rPr>
            <b/>
            <sz val="9"/>
            <color indexed="81"/>
            <rFont val="Tahoma"/>
            <family val="2"/>
          </rPr>
          <t>Auteur:</t>
        </r>
        <r>
          <rPr>
            <sz val="9"/>
            <color indexed="81"/>
            <rFont val="Tahoma"/>
            <family val="2"/>
          </rPr>
          <t xml:space="preserve">
Inscrire le NCC de l'entreprise</t>
        </r>
      </text>
    </comment>
    <comment ref="X260" authorId="0" shapeId="0" xr:uid="{07038519-3403-4283-B6A1-DD791B693D26}">
      <text>
        <r>
          <rPr>
            <b/>
            <sz val="9"/>
            <color indexed="81"/>
            <rFont val="Tahoma"/>
            <family val="2"/>
          </rPr>
          <t>Inscrire le NCC et le nom de l'entreprise</t>
        </r>
      </text>
    </comment>
    <comment ref="Z260" authorId="0" shapeId="0" xr:uid="{033516E2-CF78-413B-9A90-0E27AF210CBA}">
      <text>
        <r>
          <rPr>
            <b/>
            <sz val="9"/>
            <color indexed="81"/>
            <rFont val="Tahoma"/>
            <family val="2"/>
          </rPr>
          <t>Inscrire le montant de l'offre</t>
        </r>
      </text>
    </comment>
    <comment ref="AA260" authorId="0" shapeId="0" xr:uid="{809C59DA-85DF-4658-97C9-23B4F7C79045}">
      <text>
        <r>
          <rPr>
            <b/>
            <sz val="9"/>
            <color indexed="81"/>
            <rFont val="Tahoma"/>
            <family val="2"/>
          </rPr>
          <t>Inscrire le NCC et le nom de l'entreprise</t>
        </r>
      </text>
    </comment>
    <comment ref="AC260" authorId="0" shapeId="0" xr:uid="{15C8BDD1-B436-4A0B-A871-5A881DD9183A}">
      <text>
        <r>
          <rPr>
            <b/>
            <sz val="9"/>
            <color indexed="81"/>
            <rFont val="Tahoma"/>
            <family val="2"/>
          </rPr>
          <t>Inscrire le montant de l'offre</t>
        </r>
      </text>
    </comment>
    <comment ref="AD260" authorId="0" shapeId="0" xr:uid="{FA57011E-FB81-4B1A-BB37-6C476317685A}">
      <text>
        <r>
          <rPr>
            <b/>
            <sz val="9"/>
            <color indexed="81"/>
            <rFont val="Tahoma"/>
            <family val="2"/>
          </rPr>
          <t>Inscrire le NCC et le nom de l'entreprise</t>
        </r>
      </text>
    </comment>
    <comment ref="AF260" authorId="0" shapeId="0" xr:uid="{A8506E4E-4F73-4C45-9C84-FB269BAF7BA3}">
      <text>
        <r>
          <rPr>
            <b/>
            <sz val="9"/>
            <color indexed="81"/>
            <rFont val="Tahoma"/>
            <family val="2"/>
          </rPr>
          <t>Inscrire le montant de l'offre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Auteur</author>
  </authors>
  <commentList>
    <comment ref="M3" authorId="0" shapeId="0" xr:uid="{642F4CAB-F8A3-4BD5-A3DE-F1A6BECB3872}">
      <text>
        <r>
          <rPr>
            <b/>
            <sz val="9"/>
            <color indexed="81"/>
            <rFont val="Tahoma"/>
            <family val="2"/>
          </rPr>
          <t xml:space="preserve">Article 20 : Planification de la passation des marchés publics
20.1 : Toutes les personnes morales mentionnées à l’article 2 du présent Code sont 
tenues, dans un délai maximal de quinze (15) jours à compter de la notification ou de 
l’approbation du budget, de préparer, avant la passation de tout nouveau marché, un plan 
prévisionnel et révisable de passation des marchés en conformité avec les crédits qui 
leur sont alloués et leur programme d'activités annuel.
Le plan de passation des marchés et ses mises à jour comprennent notamment les 
éléments suivants : (i) une description succincte des activités, (ii) les méthodes de 
sélection à appliquer, (iii) la dotation, (iv) les calendriers et toute autre information 
pertinente en rapport avec la passation des marchés.
Ce plan est communiqué dans le délai indiqué ci-dessus à la structure administrative 
chargée du contrôle des marchés publics et à l’organe de régulation des marchés publics 
qui en assurent la publicité selon les modalités définies par chacune d’entre elles. </t>
        </r>
      </text>
    </comment>
    <comment ref="Q3" authorId="0" shapeId="0" xr:uid="{C0870670-80EA-47E7-BF38-716A97EBD900}">
      <text>
        <r>
          <rPr>
            <b/>
            <sz val="9"/>
            <color indexed="81"/>
            <rFont val="Tahoma"/>
            <family val="2"/>
          </rPr>
          <t>Article 20 : Planification de la passation des marchés publics
20.2 : Le plan de passation est publié, à trois (3) reprises, espacées de trois (3) mois, 
dans le Bulletin Officiel des Marchés Publics de la République de Côte d'Ivoire et sur le 
portail des marchés publics.
Un modèle de plan prévisionnel est élaboré par la structure administrative chargée du 
contrôle des marchés publics en collaboration avec l’organe de régulation. Ces structures 
en assurent la diffusion.</t>
        </r>
      </text>
    </comment>
    <comment ref="V3" authorId="0" shapeId="0" xr:uid="{DFBF7692-6E63-4339-9301-E0F1D9844FC6}">
      <text>
        <r>
          <rPr>
            <sz val="9"/>
            <color indexed="81"/>
            <rFont val="Tahoma"/>
            <family val="2"/>
          </rPr>
          <t xml:space="preserve">Article 20 : Planification de la passation des marchés publics
20.3 : Les marchés passés par les autorités contractantes doivent avoir été 
préalablement inscrits dans ces plans prévisionnels ou révisés, sous peine de nullité, 
sous réserve d’une décision motivée de la structure administrative chargée du contrôle 
des marchés publics. Une copie de cette décision est communiquée à l’organe de 
régulation.
</t>
        </r>
      </text>
    </comment>
    <comment ref="AB3" authorId="0" shapeId="0" xr:uid="{F62EBC77-D926-418B-9E27-D1D9F8500FC1}">
      <text>
        <r>
          <rPr>
            <b/>
            <sz val="9"/>
            <color indexed="81"/>
            <rFont val="Tahoma"/>
            <family val="2"/>
          </rPr>
          <t>Article 19 : Détermination des besoins à satisfaire
19.4 : Chaque autorité contractante réserve annuellement aux petites et moyennes 
entreprises une part minimale de trente pour cent (30%) de la valeur prévisionnelle des 
marchés de travaux, de fourniture de biens ou de services. La liste de ces marchés doit 
apparaître dans le plan prévisionnel de chaque autorité contractante.</t>
        </r>
      </text>
    </comment>
    <comment ref="E5" authorId="0" shapeId="0" xr:uid="{188383C5-939C-40C9-9E78-B3A328265978}">
      <text>
        <r>
          <rPr>
            <b/>
            <sz val="9"/>
            <color indexed="81"/>
            <rFont val="Tahoma"/>
            <family val="2"/>
          </rPr>
          <t>AC</t>
        </r>
      </text>
    </comment>
    <comment ref="H5" authorId="0" shapeId="0" xr:uid="{70A5C1AF-D30A-4530-A033-E102C016E0AF}">
      <text>
        <r>
          <rPr>
            <b/>
            <sz val="9"/>
            <color indexed="81"/>
            <rFont val="Tahoma"/>
            <family val="2"/>
          </rPr>
          <t>Se référer à la codification mentionnée sur le formulaire type.</t>
        </r>
      </text>
    </comment>
    <comment ref="M5" authorId="0" shapeId="0" xr:uid="{3C8C222D-80EE-4355-A3D3-E958C6D938AC}">
      <text>
        <r>
          <rPr>
            <sz val="9"/>
            <color indexed="81"/>
            <rFont val="Tahoma"/>
            <family val="2"/>
          </rPr>
          <t>Les PSPM devront être élaborés dans un délai maximal de 15 jours francs à compter de la notification ou de l'approbation du budget.</t>
        </r>
      </text>
    </comment>
    <comment ref="Z5" authorId="0" shapeId="0" xr:uid="{84C40EF7-1CE1-4838-B995-208E0145612B}">
      <text>
        <r>
          <rPr>
            <b/>
            <sz val="9"/>
            <color indexed="81"/>
            <rFont val="Tahoma"/>
            <family val="2"/>
          </rPr>
          <t>Verifier le montant qui reste sur la ligne budgétaire.</t>
        </r>
      </text>
    </comment>
    <comment ref="AB5" authorId="0" shapeId="0" xr:uid="{94086A4E-1482-436E-A62A-2B05C165F70D}">
      <text>
        <r>
          <rPr>
            <b/>
            <sz val="9"/>
            <color indexed="81"/>
            <rFont val="Tahoma"/>
            <family val="2"/>
          </rPr>
          <t xml:space="preserve">L'opération est-elle réservée aux PME ?
Vérifier dans le PSPM </t>
        </r>
      </text>
    </comment>
    <comment ref="BD5" authorId="0" shapeId="0" xr:uid="{58300586-B475-4F41-AE80-5E662A2EABB3}">
      <text>
        <r>
          <rPr>
            <b/>
            <sz val="9"/>
            <color indexed="81"/>
            <rFont val="Tahoma"/>
            <family val="2"/>
          </rPr>
          <t>Crédit restant sur la ligne budgétaire.</t>
        </r>
      </text>
    </comment>
    <comment ref="BJ5" authorId="0" shapeId="0" xr:uid="{5996DDC1-1190-48AB-BDF1-C1A1D53095E0}">
      <text>
        <r>
          <rPr>
            <b/>
            <sz val="9"/>
            <color indexed="81"/>
            <rFont val="Tahoma"/>
            <family val="2"/>
          </rPr>
          <t>Se référer à l'article 7 de l'arrêté interministériel N° 484 MEF/DGBF/DMP du 09 novembre 2011 portant organisation des archives sur les marchés publics.</t>
        </r>
      </text>
    </comment>
    <comment ref="B6" authorId="0" shapeId="0" xr:uid="{67584241-49F5-49F8-8142-037F16D00613}">
      <text>
        <r>
          <rPr>
            <b/>
            <sz val="9"/>
            <color indexed="81"/>
            <rFont val="Tahoma"/>
            <family val="2"/>
          </rPr>
          <t>Chargé de la saisie</t>
        </r>
      </text>
    </comment>
    <comment ref="K6" authorId="0" shapeId="0" xr:uid="{696B57B4-0CC4-47C9-A19C-524871AFB77C}">
      <text>
        <r>
          <rPr>
            <b/>
            <sz val="9"/>
            <color indexed="81"/>
            <rFont val="Tahoma"/>
            <family val="2"/>
          </rPr>
          <t xml:space="preserve">Expliquer ou préciser la spécificité de la nature de l'opération le cas échéant 
</t>
        </r>
      </text>
    </comment>
    <comment ref="N6" authorId="0" shapeId="0" xr:uid="{764F309C-4BE3-4923-9F27-2C525B0CF82A}">
      <text>
        <r>
          <rPr>
            <b/>
            <sz val="9"/>
            <color indexed="81"/>
            <rFont val="Tahoma"/>
            <family val="2"/>
          </rPr>
          <t>Se référer à la date indiquée sur le document attestant la notification des crédits autorisés au titre de l'année ...</t>
        </r>
      </text>
    </comment>
    <comment ref="AG6" authorId="0" shapeId="0" xr:uid="{E4618038-2453-4B56-976E-34E55D9CC750}">
      <text>
        <r>
          <rPr>
            <sz val="9"/>
            <color indexed="81"/>
            <rFont val="Tahoma"/>
            <family val="2"/>
          </rPr>
          <t xml:space="preserve">En cas d'une dérogation.
Ce nombre ne doit pas être en deça de trois (03)
</t>
        </r>
      </text>
    </comment>
    <comment ref="AH7" authorId="0" shapeId="0" xr:uid="{2B890B15-B4BD-4FC2-A393-7B95C249FEE1}">
      <text>
        <r>
          <rPr>
            <b/>
            <sz val="9"/>
            <color indexed="81"/>
            <rFont val="Tahoma"/>
            <family val="2"/>
          </rPr>
          <t>Auteur:</t>
        </r>
        <r>
          <rPr>
            <sz val="9"/>
            <color indexed="81"/>
            <rFont val="Tahoma"/>
            <family val="2"/>
          </rPr>
          <t xml:space="preserve">
Inscrire la raison sociale (nom) de l'entreprise</t>
        </r>
      </text>
    </comment>
    <comment ref="AI7" authorId="0" shapeId="0" xr:uid="{8175E4A8-8955-4651-B18A-FBBC8E9B6661}">
      <text>
        <r>
          <rPr>
            <b/>
            <sz val="9"/>
            <color indexed="81"/>
            <rFont val="Tahoma"/>
            <family val="2"/>
          </rPr>
          <t>Auteur:</t>
        </r>
        <r>
          <rPr>
            <sz val="9"/>
            <color indexed="81"/>
            <rFont val="Tahoma"/>
            <family val="2"/>
          </rPr>
          <t xml:space="preserve">
Inscrire le NCC de l'entreprise</t>
        </r>
      </text>
    </comment>
    <comment ref="AJ7" authorId="0" shapeId="0" xr:uid="{FE60E82C-EDAA-4DFF-ADA1-6489F91BBF29}">
      <text>
        <r>
          <rPr>
            <b/>
            <sz val="9"/>
            <color indexed="81"/>
            <rFont val="Tahoma"/>
            <family val="2"/>
          </rPr>
          <t>Inscrire le montant de l'offre</t>
        </r>
      </text>
    </comment>
    <comment ref="AK7" authorId="0" shapeId="0" xr:uid="{DFCC00C8-713A-4FB4-A77D-919A6C6F6736}">
      <text>
        <r>
          <rPr>
            <b/>
            <sz val="9"/>
            <color indexed="81"/>
            <rFont val="Tahoma"/>
            <family val="2"/>
          </rPr>
          <t>Auteur:</t>
        </r>
        <r>
          <rPr>
            <sz val="9"/>
            <color indexed="81"/>
            <rFont val="Tahoma"/>
            <family val="2"/>
          </rPr>
          <t xml:space="preserve">
Inscrire la raison sociale (nom) de l'entreprise</t>
        </r>
      </text>
    </comment>
    <comment ref="AL7" authorId="0" shapeId="0" xr:uid="{FDBEC196-82B3-468E-8CE8-3BFBCCA658B1}">
      <text>
        <r>
          <rPr>
            <b/>
            <sz val="9"/>
            <color indexed="81"/>
            <rFont val="Tahoma"/>
            <family val="2"/>
          </rPr>
          <t>Auteur:</t>
        </r>
        <r>
          <rPr>
            <sz val="9"/>
            <color indexed="81"/>
            <rFont val="Tahoma"/>
            <family val="2"/>
          </rPr>
          <t xml:space="preserve">
Inscrire le NCC de l'entreprise</t>
        </r>
      </text>
    </comment>
    <comment ref="AM7" authorId="0" shapeId="0" xr:uid="{43273B8A-515B-421F-904D-2ACD02CA7873}">
      <text>
        <r>
          <rPr>
            <b/>
            <sz val="9"/>
            <color indexed="81"/>
            <rFont val="Tahoma"/>
            <family val="2"/>
          </rPr>
          <t>Inscrire le montant de l'offre</t>
        </r>
      </text>
    </comment>
    <comment ref="AN7" authorId="0" shapeId="0" xr:uid="{0AA795D7-2CE8-4149-8937-A6732CEBFEF7}">
      <text>
        <r>
          <rPr>
            <b/>
            <sz val="9"/>
            <color indexed="81"/>
            <rFont val="Tahoma"/>
            <family val="2"/>
          </rPr>
          <t>Auteur:</t>
        </r>
        <r>
          <rPr>
            <sz val="9"/>
            <color indexed="81"/>
            <rFont val="Tahoma"/>
            <family val="2"/>
          </rPr>
          <t xml:space="preserve">
Inscrire la raison sociale (nom) de l'entreprise</t>
        </r>
      </text>
    </comment>
    <comment ref="AO7" authorId="0" shapeId="0" xr:uid="{A295AE21-3B28-4A51-9262-1CA3FEDA1781}">
      <text>
        <r>
          <rPr>
            <b/>
            <sz val="9"/>
            <color indexed="81"/>
            <rFont val="Tahoma"/>
            <family val="2"/>
          </rPr>
          <t>Auteur:</t>
        </r>
        <r>
          <rPr>
            <sz val="9"/>
            <color indexed="81"/>
            <rFont val="Tahoma"/>
            <family val="2"/>
          </rPr>
          <t xml:space="preserve">
Inscrire le NCC de l'entreprise</t>
        </r>
      </text>
    </comment>
    <comment ref="AP7" authorId="0" shapeId="0" xr:uid="{ED5AC779-9A3B-45DC-B64E-57821318B3F1}">
      <text>
        <r>
          <rPr>
            <b/>
            <sz val="9"/>
            <color indexed="81"/>
            <rFont val="Tahoma"/>
            <family val="2"/>
          </rPr>
          <t>Inscrire le montant de l'offre</t>
        </r>
      </text>
    </comment>
    <comment ref="AY7" authorId="0" shapeId="0" xr:uid="{C879B417-812D-4E20-8A48-2488DDA9D547}">
      <text>
        <r>
          <rPr>
            <b/>
            <sz val="9"/>
            <color indexed="81"/>
            <rFont val="Tahoma"/>
            <family val="2"/>
          </rPr>
          <t>Auteur:</t>
        </r>
        <r>
          <rPr>
            <sz val="9"/>
            <color indexed="81"/>
            <rFont val="Tahoma"/>
            <family val="2"/>
          </rPr>
          <t xml:space="preserve">
Inscrire la raison sociale (nom) de l'entreprise</t>
        </r>
      </text>
    </comment>
    <comment ref="AZ7" authorId="0" shapeId="0" xr:uid="{6B45FC94-A697-4CB4-9594-6911EB649A47}">
      <text>
        <r>
          <rPr>
            <b/>
            <sz val="9"/>
            <color indexed="81"/>
            <rFont val="Tahoma"/>
            <family val="2"/>
          </rPr>
          <t>Auteur:</t>
        </r>
        <r>
          <rPr>
            <sz val="9"/>
            <color indexed="81"/>
            <rFont val="Tahoma"/>
            <family val="2"/>
          </rPr>
          <t xml:space="preserve">
Inscrire le NCC de l'entreprise</t>
        </r>
      </text>
    </comment>
    <comment ref="AH136" authorId="0" shapeId="0" xr:uid="{CE935A25-1373-42D1-A1FF-9AABDDDD98A1}">
      <text>
        <r>
          <rPr>
            <b/>
            <sz val="9"/>
            <color indexed="81"/>
            <rFont val="Tahoma"/>
            <family val="2"/>
          </rPr>
          <t>Inscrire le NCC et le nom de l'entreprise</t>
        </r>
      </text>
    </comment>
    <comment ref="AJ136" authorId="0" shapeId="0" xr:uid="{E0841854-2B98-4169-A06A-1F8FB2F1878F}">
      <text>
        <r>
          <rPr>
            <b/>
            <sz val="9"/>
            <color indexed="81"/>
            <rFont val="Tahoma"/>
            <family val="2"/>
          </rPr>
          <t>Inscrire le montant de l'offre</t>
        </r>
      </text>
    </comment>
    <comment ref="AK136" authorId="0" shapeId="0" xr:uid="{CC5B3879-1FF0-4AC6-A8E7-DC1E873457ED}">
      <text>
        <r>
          <rPr>
            <b/>
            <sz val="9"/>
            <color indexed="81"/>
            <rFont val="Tahoma"/>
            <family val="2"/>
          </rPr>
          <t>Inscrire le NCC et le nom de l'entreprise</t>
        </r>
      </text>
    </comment>
    <comment ref="AM136" authorId="0" shapeId="0" xr:uid="{2BDF7823-B2BA-4A76-A6FD-E53D51B42D5C}">
      <text>
        <r>
          <rPr>
            <b/>
            <sz val="9"/>
            <color indexed="81"/>
            <rFont val="Tahoma"/>
            <family val="2"/>
          </rPr>
          <t>Inscrire le montant de l'offre</t>
        </r>
      </text>
    </comment>
    <comment ref="AN136" authorId="0" shapeId="0" xr:uid="{72235D9F-E577-497C-B609-6F0F40EA7373}">
      <text>
        <r>
          <rPr>
            <b/>
            <sz val="9"/>
            <color indexed="81"/>
            <rFont val="Tahoma"/>
            <family val="2"/>
          </rPr>
          <t>Inscrire le NCC et le nom de l'entreprise</t>
        </r>
      </text>
    </comment>
    <comment ref="AP136" authorId="0" shapeId="0" xr:uid="{04A4AD5D-DE0B-4E24-9517-1B7F3861DB07}">
      <text>
        <r>
          <rPr>
            <b/>
            <sz val="9"/>
            <color indexed="81"/>
            <rFont val="Tahoma"/>
            <family val="2"/>
          </rPr>
          <t>Inscrire le montant de l'offre</t>
        </r>
      </text>
    </comment>
    <comment ref="AH137" authorId="0" shapeId="0" xr:uid="{D0DCC189-48EA-4DE7-A537-FDC538FAF309}">
      <text>
        <r>
          <rPr>
            <b/>
            <sz val="9"/>
            <color indexed="81"/>
            <rFont val="Tahoma"/>
            <family val="2"/>
          </rPr>
          <t>Inscrire le NCC et le nom de l'entreprise</t>
        </r>
      </text>
    </comment>
    <comment ref="AJ137" authorId="0" shapeId="0" xr:uid="{09469EC4-3C9B-4D87-8F95-CB7D5618F2D2}">
      <text>
        <r>
          <rPr>
            <b/>
            <sz val="9"/>
            <color indexed="81"/>
            <rFont val="Tahoma"/>
            <family val="2"/>
          </rPr>
          <t>Inscrire le montant de l'offre</t>
        </r>
      </text>
    </comment>
    <comment ref="AK137" authorId="0" shapeId="0" xr:uid="{7102CD33-06ED-4C60-BECC-DD7BB462F4CB}">
      <text>
        <r>
          <rPr>
            <b/>
            <sz val="9"/>
            <color indexed="81"/>
            <rFont val="Tahoma"/>
            <family val="2"/>
          </rPr>
          <t>Inscrire le NCC et le nom de l'entreprise</t>
        </r>
      </text>
    </comment>
    <comment ref="AM137" authorId="0" shapeId="0" xr:uid="{74CA7B7C-0E2E-4D21-BDC4-216576E65FE2}">
      <text>
        <r>
          <rPr>
            <b/>
            <sz val="9"/>
            <color indexed="81"/>
            <rFont val="Tahoma"/>
            <family val="2"/>
          </rPr>
          <t>Inscrire le montant de l'offre</t>
        </r>
      </text>
    </comment>
    <comment ref="AN137" authorId="0" shapeId="0" xr:uid="{7A1F5BF9-E997-44DF-846B-BF0303EB3952}">
      <text>
        <r>
          <rPr>
            <b/>
            <sz val="9"/>
            <color indexed="81"/>
            <rFont val="Tahoma"/>
            <family val="2"/>
          </rPr>
          <t>Inscrire le NCC et le nom de l'entreprise</t>
        </r>
      </text>
    </comment>
    <comment ref="AP137" authorId="0" shapeId="0" xr:uid="{C0D0F1EF-71F1-40C0-AC46-8F48BD76A520}">
      <text>
        <r>
          <rPr>
            <b/>
            <sz val="9"/>
            <color indexed="81"/>
            <rFont val="Tahoma"/>
            <family val="2"/>
          </rPr>
          <t>Inscrire le montant de l'offre</t>
        </r>
      </text>
    </comment>
    <comment ref="AH142" authorId="0" shapeId="0" xr:uid="{46A07AC7-3E2E-47C6-9BB7-130C4C7C3E9E}">
      <text>
        <r>
          <rPr>
            <b/>
            <sz val="9"/>
            <color indexed="81"/>
            <rFont val="Tahoma"/>
            <family val="2"/>
          </rPr>
          <t>Inscrire le NCC et le nom de l'entreprise</t>
        </r>
      </text>
    </comment>
    <comment ref="AJ142" authorId="0" shapeId="0" xr:uid="{B146DD86-309D-48EA-8091-5D51A703960D}">
      <text>
        <r>
          <rPr>
            <b/>
            <sz val="9"/>
            <color indexed="81"/>
            <rFont val="Tahoma"/>
            <family val="2"/>
          </rPr>
          <t>Inscrire le montant de l'offre</t>
        </r>
      </text>
    </comment>
    <comment ref="AK142" authorId="0" shapeId="0" xr:uid="{A65FFB30-ADB7-4A49-A301-9C1020DF44FD}">
      <text>
        <r>
          <rPr>
            <b/>
            <sz val="9"/>
            <color indexed="81"/>
            <rFont val="Tahoma"/>
            <family val="2"/>
          </rPr>
          <t>Inscrire le NCC et le nom de l'entreprise</t>
        </r>
      </text>
    </comment>
    <comment ref="AM142" authorId="0" shapeId="0" xr:uid="{FC3438E4-C5C0-4FB0-95CB-169A1CD9EA6B}">
      <text>
        <r>
          <rPr>
            <b/>
            <sz val="9"/>
            <color indexed="81"/>
            <rFont val="Tahoma"/>
            <family val="2"/>
          </rPr>
          <t>Inscrire le montant de l'offre</t>
        </r>
      </text>
    </comment>
    <comment ref="AN142" authorId="0" shapeId="0" xr:uid="{F89A5A97-DD46-4663-917F-7DE7581EA2B1}">
      <text>
        <r>
          <rPr>
            <b/>
            <sz val="9"/>
            <color indexed="81"/>
            <rFont val="Tahoma"/>
            <family val="2"/>
          </rPr>
          <t>Inscrire le NCC et le nom de l'entreprise</t>
        </r>
      </text>
    </comment>
    <comment ref="AP142" authorId="0" shapeId="0" xr:uid="{E6F2E2AE-194B-4F54-9914-3C1F776CA99D}">
      <text>
        <r>
          <rPr>
            <b/>
            <sz val="9"/>
            <color indexed="81"/>
            <rFont val="Tahoma"/>
            <family val="2"/>
          </rPr>
          <t>Inscrire le montant de l'offre</t>
        </r>
      </text>
    </comment>
    <comment ref="AY142" authorId="0" shapeId="0" xr:uid="{700AD989-0577-4BD9-8518-55730949B0B4}">
      <text>
        <r>
          <rPr>
            <b/>
            <sz val="9"/>
            <color indexed="81"/>
            <rFont val="Tahoma"/>
            <family val="2"/>
          </rPr>
          <t>Inscrire le NCC et le nom de l'entreprise</t>
        </r>
      </text>
    </comment>
    <comment ref="AH143" authorId="0" shapeId="0" xr:uid="{E7374E1B-1748-41E4-AB18-FD180340A67C}">
      <text>
        <r>
          <rPr>
            <b/>
            <sz val="9"/>
            <color indexed="81"/>
            <rFont val="Tahoma"/>
            <family val="2"/>
          </rPr>
          <t>Inscrire le NCC et le nom de l'entreprise</t>
        </r>
      </text>
    </comment>
    <comment ref="AY143" authorId="0" shapeId="0" xr:uid="{A8C9B6BC-3C97-4D04-B57E-7115B236C5B9}">
      <text>
        <r>
          <rPr>
            <b/>
            <sz val="9"/>
            <color indexed="81"/>
            <rFont val="Tahoma"/>
            <family val="2"/>
          </rPr>
          <t>Inscrire le NCC et le nom de l'entreprise</t>
        </r>
      </text>
    </comment>
    <comment ref="AH145" authorId="0" shapeId="0" xr:uid="{E8BAB032-9194-42E4-BBA0-ABF4CF50E0E9}">
      <text>
        <r>
          <rPr>
            <b/>
            <sz val="9"/>
            <color indexed="81"/>
            <rFont val="Tahoma"/>
            <family val="2"/>
          </rPr>
          <t>Inscrire le NCC et le nom de l'entreprise</t>
        </r>
      </text>
    </comment>
    <comment ref="AK145" authorId="0" shapeId="0" xr:uid="{C45DF013-46A5-47B2-83E9-8C109793B950}">
      <text>
        <r>
          <rPr>
            <b/>
            <sz val="9"/>
            <color indexed="81"/>
            <rFont val="Tahoma"/>
            <family val="2"/>
          </rPr>
          <t>Inscrire le NCC et le nom de l'entreprise</t>
        </r>
      </text>
    </comment>
    <comment ref="AN145" authorId="0" shapeId="0" xr:uid="{E5124625-790B-49C6-B69C-4BC9F7E019B6}">
      <text>
        <r>
          <rPr>
            <b/>
            <sz val="9"/>
            <color indexed="81"/>
            <rFont val="Tahoma"/>
            <family val="2"/>
          </rPr>
          <t>Inscrire le NCC et le nom de l'entreprise</t>
        </r>
      </text>
    </comment>
    <comment ref="AY145" authorId="0" shapeId="0" xr:uid="{84B201F3-6D79-4DA6-AC2B-B050AF91F29B}">
      <text>
        <r>
          <rPr>
            <b/>
            <sz val="9"/>
            <color indexed="81"/>
            <rFont val="Tahoma"/>
            <family val="2"/>
          </rPr>
          <t>Inscrire le NCC et le nom de l'entreprise</t>
        </r>
      </text>
    </comment>
    <comment ref="AH146" authorId="0" shapeId="0" xr:uid="{CC807359-6AD2-4B2F-9F53-987CB897F697}">
      <text>
        <r>
          <rPr>
            <b/>
            <sz val="9"/>
            <color indexed="81"/>
            <rFont val="Tahoma"/>
            <family val="2"/>
          </rPr>
          <t>Inscrire le NCC et le nom de l'entreprise</t>
        </r>
      </text>
    </comment>
    <comment ref="AK146" authorId="0" shapeId="0" xr:uid="{DFB6CBBC-E4BD-4393-86C3-B45BFE098426}">
      <text>
        <r>
          <rPr>
            <b/>
            <sz val="9"/>
            <color indexed="81"/>
            <rFont val="Tahoma"/>
            <family val="2"/>
          </rPr>
          <t>Inscrire le NCC et le nom de l'entreprise</t>
        </r>
      </text>
    </comment>
    <comment ref="AN146" authorId="0" shapeId="0" xr:uid="{3E06EA6D-CD0B-4E67-BAD1-2BA8A42212A5}">
      <text>
        <r>
          <rPr>
            <b/>
            <sz val="9"/>
            <color indexed="81"/>
            <rFont val="Tahoma"/>
            <family val="2"/>
          </rPr>
          <t>Inscrire le NCC et le nom de l'entreprise</t>
        </r>
      </text>
    </comment>
    <comment ref="AH148" authorId="0" shapeId="0" xr:uid="{E32617BE-D54B-4E83-9FD6-7A6FC1298FB5}">
      <text>
        <r>
          <rPr>
            <b/>
            <sz val="9"/>
            <color indexed="81"/>
            <rFont val="Tahoma"/>
            <family val="2"/>
          </rPr>
          <t>Inscrire le NCC et le nom de l'entreprise</t>
        </r>
      </text>
    </comment>
    <comment ref="AJ148" authorId="0" shapeId="0" xr:uid="{3B33B7FF-DD49-480F-820F-B635015AF51E}">
      <text>
        <r>
          <rPr>
            <b/>
            <sz val="9"/>
            <color indexed="81"/>
            <rFont val="Tahoma"/>
            <family val="2"/>
          </rPr>
          <t>Inscrire le montant de l'offre</t>
        </r>
      </text>
    </comment>
    <comment ref="AK148" authorId="0" shapeId="0" xr:uid="{C5CE1577-B501-4D3C-8A58-440856C26F0D}">
      <text>
        <r>
          <rPr>
            <b/>
            <sz val="9"/>
            <color indexed="81"/>
            <rFont val="Tahoma"/>
            <family val="2"/>
          </rPr>
          <t>Inscrire le NCC et le nom de l'entreprise</t>
        </r>
      </text>
    </comment>
    <comment ref="AM148" authorId="0" shapeId="0" xr:uid="{27628F5D-0E2E-47D5-8D22-2F758887292C}">
      <text>
        <r>
          <rPr>
            <b/>
            <sz val="9"/>
            <color indexed="81"/>
            <rFont val="Tahoma"/>
            <family val="2"/>
          </rPr>
          <t>Inscrire le montant de l'offre</t>
        </r>
      </text>
    </comment>
    <comment ref="AN148" authorId="0" shapeId="0" xr:uid="{37822E12-83CD-4E16-B84E-ED47DCA801C8}">
      <text>
        <r>
          <rPr>
            <b/>
            <sz val="9"/>
            <color indexed="81"/>
            <rFont val="Tahoma"/>
            <family val="2"/>
          </rPr>
          <t>Inscrire le NCC et le nom de l'entreprise</t>
        </r>
      </text>
    </comment>
    <comment ref="AP148" authorId="0" shapeId="0" xr:uid="{B9F35362-9B08-4175-B7DA-685BCD2DDFAE}">
      <text>
        <r>
          <rPr>
            <b/>
            <sz val="9"/>
            <color indexed="81"/>
            <rFont val="Tahoma"/>
            <family val="2"/>
          </rPr>
          <t>Inscrire le montant de l'offre</t>
        </r>
      </text>
    </comment>
    <comment ref="AH205" authorId="0" shapeId="0" xr:uid="{EEEED63B-0C0A-4141-98CD-4F2298AC0857}">
      <text>
        <r>
          <rPr>
            <b/>
            <sz val="9"/>
            <color indexed="81"/>
            <rFont val="Tahoma"/>
            <family val="2"/>
          </rPr>
          <t>Inscrire le NCC et le nom de l'entreprise</t>
        </r>
      </text>
    </comment>
    <comment ref="AJ205" authorId="0" shapeId="0" xr:uid="{A812CA72-4FF6-4DD5-A281-F1FCCF0965BB}">
      <text>
        <r>
          <rPr>
            <b/>
            <sz val="9"/>
            <color indexed="81"/>
            <rFont val="Tahoma"/>
            <family val="2"/>
          </rPr>
          <t>Inscrire le montant de l'offre</t>
        </r>
      </text>
    </comment>
    <comment ref="AK205" authorId="0" shapeId="0" xr:uid="{E31E6EC5-AE14-43FA-B4A9-08406862922E}">
      <text>
        <r>
          <rPr>
            <b/>
            <sz val="9"/>
            <color indexed="81"/>
            <rFont val="Tahoma"/>
            <family val="2"/>
          </rPr>
          <t>Inscrire le NCC et le nom de l'entreprise</t>
        </r>
      </text>
    </comment>
    <comment ref="AM205" authorId="0" shapeId="0" xr:uid="{BDD0C3CA-BAA0-4236-8036-56DC0E42F8EB}">
      <text>
        <r>
          <rPr>
            <b/>
            <sz val="9"/>
            <color indexed="81"/>
            <rFont val="Tahoma"/>
            <family val="2"/>
          </rPr>
          <t>Inscrire le montant de l'offre</t>
        </r>
      </text>
    </comment>
    <comment ref="AN205" authorId="0" shapeId="0" xr:uid="{2601238F-501D-44C9-869E-57C04454B120}">
      <text>
        <r>
          <rPr>
            <b/>
            <sz val="9"/>
            <color indexed="81"/>
            <rFont val="Tahoma"/>
            <family val="2"/>
          </rPr>
          <t>Inscrire le NCC et le nom de l'entreprise</t>
        </r>
      </text>
    </comment>
    <comment ref="AP205" authorId="0" shapeId="0" xr:uid="{E6114CEC-24DE-4290-A801-565F7DE2C519}">
      <text>
        <r>
          <rPr>
            <b/>
            <sz val="9"/>
            <color indexed="81"/>
            <rFont val="Tahoma"/>
            <family val="2"/>
          </rPr>
          <t>Inscrire le montant de l'offre</t>
        </r>
      </text>
    </comment>
    <comment ref="AS205" authorId="0" shapeId="0" xr:uid="{702B0967-6F80-4BE8-8ED8-01C60030B4A0}">
      <text>
        <r>
          <rPr>
            <b/>
            <sz val="9"/>
            <color indexed="81"/>
            <rFont val="Tahoma"/>
            <family val="2"/>
          </rPr>
          <t>Inscrire le montant de l'offre</t>
        </r>
      </text>
    </comment>
    <comment ref="AV205" authorId="0" shapeId="0" xr:uid="{272003D2-2488-436E-96A9-A09CE417473C}">
      <text>
        <r>
          <rPr>
            <b/>
            <sz val="9"/>
            <color indexed="81"/>
            <rFont val="Tahoma"/>
            <family val="2"/>
          </rPr>
          <t>Inscrire le montant de l'offre</t>
        </r>
      </text>
    </comment>
    <comment ref="AW205" authorId="0" shapeId="0" xr:uid="{9A89A523-8B6E-44D0-88D9-08974610A8A7}">
      <text>
        <r>
          <rPr>
            <b/>
            <sz val="9"/>
            <color indexed="81"/>
            <rFont val="Tahoma"/>
            <family val="2"/>
          </rPr>
          <t>Inscrire le montant de l'offre</t>
        </r>
      </text>
    </comment>
    <comment ref="AY205" authorId="0" shapeId="0" xr:uid="{77AEA861-F5D6-4257-8FF8-BD1ED5616EA3}">
      <text>
        <r>
          <rPr>
            <b/>
            <sz val="9"/>
            <color indexed="81"/>
            <rFont val="Tahoma"/>
            <family val="2"/>
          </rPr>
          <t>Inscrire le NCC et le nom de l'entreprise</t>
        </r>
      </text>
    </comment>
    <comment ref="AH206" authorId="0" shapeId="0" xr:uid="{EAFE6E86-A9A4-4B5D-A640-239BF3D2AB67}">
      <text>
        <r>
          <rPr>
            <b/>
            <sz val="9"/>
            <color indexed="81"/>
            <rFont val="Tahoma"/>
            <family val="2"/>
          </rPr>
          <t>Inscrire le NCC et le nom de l'entreprise</t>
        </r>
      </text>
    </comment>
    <comment ref="AJ206" authorId="0" shapeId="0" xr:uid="{B925BB58-E3CE-4F1C-9A77-136ECC294A0B}">
      <text>
        <r>
          <rPr>
            <b/>
            <sz val="9"/>
            <color indexed="81"/>
            <rFont val="Tahoma"/>
            <family val="2"/>
          </rPr>
          <t>Inscrire le montant de l'offre</t>
        </r>
      </text>
    </comment>
    <comment ref="AK206" authorId="0" shapeId="0" xr:uid="{A4031B68-1800-4D1A-A1F0-2ADCD2E6788F}">
      <text>
        <r>
          <rPr>
            <b/>
            <sz val="9"/>
            <color indexed="81"/>
            <rFont val="Tahoma"/>
            <family val="2"/>
          </rPr>
          <t>Inscrire le NCC et le nom de l'entreprise</t>
        </r>
      </text>
    </comment>
    <comment ref="AM206" authorId="0" shapeId="0" xr:uid="{A40B5C9E-8466-4FC3-9F14-8EB71478FA97}">
      <text>
        <r>
          <rPr>
            <b/>
            <sz val="9"/>
            <color indexed="81"/>
            <rFont val="Tahoma"/>
            <family val="2"/>
          </rPr>
          <t>Inscrire le montant de l'offre</t>
        </r>
      </text>
    </comment>
    <comment ref="AN206" authorId="0" shapeId="0" xr:uid="{921DA5FE-76B0-4BC2-8FBC-89CB33939E80}">
      <text>
        <r>
          <rPr>
            <b/>
            <sz val="9"/>
            <color indexed="81"/>
            <rFont val="Tahoma"/>
            <family val="2"/>
          </rPr>
          <t>Inscrire le NCC et le nom de l'entreprise</t>
        </r>
      </text>
    </comment>
    <comment ref="AP206" authorId="0" shapeId="0" xr:uid="{C259D6BD-73E5-48C8-978A-7FD75AD5765E}">
      <text>
        <r>
          <rPr>
            <b/>
            <sz val="9"/>
            <color indexed="81"/>
            <rFont val="Tahoma"/>
            <family val="2"/>
          </rPr>
          <t>Inscrire le montant de l'offre</t>
        </r>
      </text>
    </comment>
    <comment ref="AS206" authorId="0" shapeId="0" xr:uid="{27AA25A5-63BF-4268-A1FC-4D69410B17FC}">
      <text>
        <r>
          <rPr>
            <b/>
            <sz val="9"/>
            <color indexed="81"/>
            <rFont val="Tahoma"/>
            <family val="2"/>
          </rPr>
          <t>Inscrire le montant de l'offre</t>
        </r>
      </text>
    </comment>
    <comment ref="AU206" authorId="0" shapeId="0" xr:uid="{553DA2A7-D646-4443-8D06-CFA20DFDE2C5}">
      <text>
        <r>
          <rPr>
            <b/>
            <sz val="9"/>
            <color indexed="81"/>
            <rFont val="Tahoma"/>
            <family val="2"/>
          </rPr>
          <t>Inscrire le montant de l'offre</t>
        </r>
      </text>
    </comment>
    <comment ref="AV206" authorId="0" shapeId="0" xr:uid="{D2C6D886-55DB-4DC1-A60C-38C3DC9E2292}">
      <text>
        <r>
          <rPr>
            <b/>
            <sz val="9"/>
            <color indexed="81"/>
            <rFont val="Tahoma"/>
            <family val="2"/>
          </rPr>
          <t>Inscrire le montant de l'offre</t>
        </r>
      </text>
    </comment>
    <comment ref="AW206" authorId="0" shapeId="0" xr:uid="{31BE4CB3-86D2-4745-B34D-16FEDAE08821}">
      <text>
        <r>
          <rPr>
            <b/>
            <sz val="9"/>
            <color indexed="81"/>
            <rFont val="Tahoma"/>
            <family val="2"/>
          </rPr>
          <t>Inscrire le montant de l'offre</t>
        </r>
      </text>
    </comment>
    <comment ref="AY206" authorId="0" shapeId="0" xr:uid="{6342B65D-56FA-42E5-951A-90E3DFDBC57F}">
      <text>
        <r>
          <rPr>
            <b/>
            <sz val="9"/>
            <color indexed="81"/>
            <rFont val="Tahoma"/>
            <family val="2"/>
          </rPr>
          <t>Inscrire le NCC et le nom de l'entreprise</t>
        </r>
      </text>
    </comment>
    <comment ref="AH207" authorId="0" shapeId="0" xr:uid="{5BF2A867-7661-4FFA-8883-AB21724CEEB1}">
      <text>
        <r>
          <rPr>
            <b/>
            <sz val="9"/>
            <color indexed="81"/>
            <rFont val="Tahoma"/>
            <family val="2"/>
          </rPr>
          <t>Inscrire le NCC et le nom de l'entreprise</t>
        </r>
      </text>
    </comment>
    <comment ref="AJ207" authorId="0" shapeId="0" xr:uid="{70E945FF-918F-4FB0-9684-F5F6AE199208}">
      <text>
        <r>
          <rPr>
            <b/>
            <sz val="9"/>
            <color indexed="81"/>
            <rFont val="Tahoma"/>
            <family val="2"/>
          </rPr>
          <t>Inscrire le montant de l'offre</t>
        </r>
      </text>
    </comment>
    <comment ref="AK207" authorId="0" shapeId="0" xr:uid="{207E4687-0CFA-48DC-8F74-928E1D57E59A}">
      <text>
        <r>
          <rPr>
            <b/>
            <sz val="9"/>
            <color indexed="81"/>
            <rFont val="Tahoma"/>
            <family val="2"/>
          </rPr>
          <t>Inscrire le NCC et le nom de l'entreprise</t>
        </r>
      </text>
    </comment>
    <comment ref="AM207" authorId="0" shapeId="0" xr:uid="{178F4157-9CE1-4507-8A90-865C2BB35BA1}">
      <text>
        <r>
          <rPr>
            <b/>
            <sz val="9"/>
            <color indexed="81"/>
            <rFont val="Tahoma"/>
            <family val="2"/>
          </rPr>
          <t>Inscrire le montant de l'offre</t>
        </r>
      </text>
    </comment>
    <comment ref="AN207" authorId="0" shapeId="0" xr:uid="{0F627AA4-E134-4137-A67E-10178E75AE8C}">
      <text>
        <r>
          <rPr>
            <b/>
            <sz val="9"/>
            <color indexed="81"/>
            <rFont val="Tahoma"/>
            <family val="2"/>
          </rPr>
          <t>Inscrire le NCC et le nom de l'entreprise</t>
        </r>
      </text>
    </comment>
    <comment ref="AP207" authorId="0" shapeId="0" xr:uid="{DC2F566B-2C83-4955-8845-9318D53B8C79}">
      <text>
        <r>
          <rPr>
            <b/>
            <sz val="9"/>
            <color indexed="81"/>
            <rFont val="Tahoma"/>
            <family val="2"/>
          </rPr>
          <t>Inscrire le montant de l'offre</t>
        </r>
      </text>
    </comment>
    <comment ref="AS207" authorId="0" shapeId="0" xr:uid="{56B59AD8-97F8-466C-B2CC-D702ED26688B}">
      <text>
        <r>
          <rPr>
            <b/>
            <sz val="9"/>
            <color indexed="81"/>
            <rFont val="Tahoma"/>
            <family val="2"/>
          </rPr>
          <t>Inscrire le montant de l'offre</t>
        </r>
      </text>
    </comment>
    <comment ref="AU207" authorId="0" shapeId="0" xr:uid="{CE1860C0-4CF2-4596-8326-35E92060C604}">
      <text>
        <r>
          <rPr>
            <b/>
            <sz val="9"/>
            <color indexed="81"/>
            <rFont val="Tahoma"/>
            <family val="2"/>
          </rPr>
          <t>Inscrire le montant de l'offre</t>
        </r>
      </text>
    </comment>
    <comment ref="AV207" authorId="0" shapeId="0" xr:uid="{AF789876-5775-45E9-B070-0FEE30F22397}">
      <text>
        <r>
          <rPr>
            <b/>
            <sz val="9"/>
            <color indexed="81"/>
            <rFont val="Tahoma"/>
            <family val="2"/>
          </rPr>
          <t>Inscrire le montant de l'offre</t>
        </r>
      </text>
    </comment>
    <comment ref="AW207" authorId="0" shapeId="0" xr:uid="{A5C10536-8D7A-404E-A356-8FDDD88DA7B3}">
      <text>
        <r>
          <rPr>
            <b/>
            <sz val="9"/>
            <color indexed="81"/>
            <rFont val="Tahoma"/>
            <family val="2"/>
          </rPr>
          <t>Inscrire le montant de l'offre</t>
        </r>
      </text>
    </comment>
    <comment ref="AY207" authorId="0" shapeId="0" xr:uid="{502C807F-A721-4861-B111-870999FB4E48}">
      <text>
        <r>
          <rPr>
            <b/>
            <sz val="9"/>
            <color indexed="81"/>
            <rFont val="Tahoma"/>
            <family val="2"/>
          </rPr>
          <t>Inscrire le NCC et le nom de l'entreprise</t>
        </r>
      </text>
    </comment>
    <comment ref="AH208" authorId="0" shapeId="0" xr:uid="{40BCC019-D025-4AB3-BD4E-E4DC03D94B04}">
      <text>
        <r>
          <rPr>
            <b/>
            <sz val="9"/>
            <color indexed="81"/>
            <rFont val="Tahoma"/>
            <family val="2"/>
          </rPr>
          <t>Inscrire le NCC et le nom de l'entreprise</t>
        </r>
      </text>
    </comment>
    <comment ref="AJ208" authorId="0" shapeId="0" xr:uid="{44CA7AF3-39A9-4EE1-A674-4607793D62B9}">
      <text>
        <r>
          <rPr>
            <b/>
            <sz val="9"/>
            <color indexed="81"/>
            <rFont val="Tahoma"/>
            <family val="2"/>
          </rPr>
          <t>Inscrire le montant de l'offre</t>
        </r>
      </text>
    </comment>
    <comment ref="AK208" authorId="0" shapeId="0" xr:uid="{11855568-5339-48A8-B2E7-864042617EE1}">
      <text>
        <r>
          <rPr>
            <b/>
            <sz val="9"/>
            <color indexed="81"/>
            <rFont val="Tahoma"/>
            <family val="2"/>
          </rPr>
          <t>Inscrire le NCC et le nom de l'entreprise</t>
        </r>
      </text>
    </comment>
    <comment ref="AM208" authorId="0" shapeId="0" xr:uid="{84502226-C341-4436-8130-18FF0DAFD60E}">
      <text>
        <r>
          <rPr>
            <b/>
            <sz val="9"/>
            <color indexed="81"/>
            <rFont val="Tahoma"/>
            <family val="2"/>
          </rPr>
          <t>Inscrire le montant de l'offre</t>
        </r>
      </text>
    </comment>
    <comment ref="AN208" authorId="0" shapeId="0" xr:uid="{02EA369F-3101-4CB0-B38F-BD9EFFB09D5F}">
      <text>
        <r>
          <rPr>
            <b/>
            <sz val="9"/>
            <color indexed="81"/>
            <rFont val="Tahoma"/>
            <family val="2"/>
          </rPr>
          <t>Inscrire le NCC et le nom de l'entreprise</t>
        </r>
      </text>
    </comment>
    <comment ref="AP208" authorId="0" shapeId="0" xr:uid="{5F139B7B-5314-498C-B8E4-EABE6412F34B}">
      <text>
        <r>
          <rPr>
            <b/>
            <sz val="9"/>
            <color indexed="81"/>
            <rFont val="Tahoma"/>
            <family val="2"/>
          </rPr>
          <t>Inscrire le montant de l'offre</t>
        </r>
      </text>
    </comment>
    <comment ref="AS208" authorId="0" shapeId="0" xr:uid="{B11D911E-D39D-4E00-95D6-43309E5965DC}">
      <text>
        <r>
          <rPr>
            <b/>
            <sz val="9"/>
            <color indexed="81"/>
            <rFont val="Tahoma"/>
            <family val="2"/>
          </rPr>
          <t>Inscrire le montant de l'offre</t>
        </r>
      </text>
    </comment>
    <comment ref="AU208" authorId="0" shapeId="0" xr:uid="{A4749C3D-FBD5-4846-95CB-09CA21D45218}">
      <text>
        <r>
          <rPr>
            <b/>
            <sz val="9"/>
            <color indexed="81"/>
            <rFont val="Tahoma"/>
            <family val="2"/>
          </rPr>
          <t>Inscrire le montant de l'offre</t>
        </r>
      </text>
    </comment>
    <comment ref="AV208" authorId="0" shapeId="0" xr:uid="{7285329A-9DE1-4C37-8CEC-EC10990CD0C4}">
      <text>
        <r>
          <rPr>
            <b/>
            <sz val="9"/>
            <color indexed="81"/>
            <rFont val="Tahoma"/>
            <family val="2"/>
          </rPr>
          <t>Inscrire le montant de l'offre</t>
        </r>
      </text>
    </comment>
    <comment ref="AW208" authorId="0" shapeId="0" xr:uid="{98B51E4B-A3CC-4604-B971-C66E2377C28F}">
      <text>
        <r>
          <rPr>
            <b/>
            <sz val="9"/>
            <color indexed="81"/>
            <rFont val="Tahoma"/>
            <family val="2"/>
          </rPr>
          <t>Inscrire le montant de l'offre</t>
        </r>
      </text>
    </comment>
    <comment ref="AY208" authorId="0" shapeId="0" xr:uid="{9BD0CDB3-75A8-4EFC-8654-E50CF50705F7}">
      <text>
        <r>
          <rPr>
            <b/>
            <sz val="9"/>
            <color indexed="81"/>
            <rFont val="Tahoma"/>
            <family val="2"/>
          </rPr>
          <t>Inscrire le NCC et le nom de l'entreprise</t>
        </r>
      </text>
    </comment>
    <comment ref="AK216" authorId="0" shapeId="0" xr:uid="{3A8CE7FF-E323-45C2-A0BE-6D3387960BB2}">
      <text>
        <r>
          <rPr>
            <b/>
            <sz val="9"/>
            <color indexed="81"/>
            <rFont val="Tahoma"/>
            <family val="2"/>
          </rPr>
          <t>Inscrire le NCC et le nom de l'entreprise</t>
        </r>
      </text>
    </comment>
    <comment ref="AM216" authorId="0" shapeId="0" xr:uid="{989B8412-9A4B-4FDD-A531-AF3A1AF57AEE}">
      <text>
        <r>
          <rPr>
            <b/>
            <sz val="9"/>
            <color indexed="81"/>
            <rFont val="Tahoma"/>
            <family val="2"/>
          </rPr>
          <t>Inscrire le montant de l'offre</t>
        </r>
      </text>
    </comment>
    <comment ref="AN216" authorId="0" shapeId="0" xr:uid="{DDF6787F-7B5A-4068-A1F0-806E8F599396}">
      <text>
        <r>
          <rPr>
            <b/>
            <sz val="9"/>
            <color indexed="81"/>
            <rFont val="Tahoma"/>
            <family val="2"/>
          </rPr>
          <t>Inscrire le NCC et le nom de l'entreprise</t>
        </r>
      </text>
    </comment>
    <comment ref="AP216" authorId="0" shapeId="0" xr:uid="{A075F078-0427-4C09-91CC-48E1BB050F3D}">
      <text>
        <r>
          <rPr>
            <b/>
            <sz val="9"/>
            <color indexed="81"/>
            <rFont val="Tahoma"/>
            <family val="2"/>
          </rPr>
          <t>Inscrire le montant de l'offre</t>
        </r>
      </text>
    </comment>
    <comment ref="AH221" authorId="0" shapeId="0" xr:uid="{A8F8345E-091E-4DFE-BD9B-45AB914E190A}">
      <text>
        <r>
          <rPr>
            <b/>
            <sz val="9"/>
            <color indexed="81"/>
            <rFont val="Tahoma"/>
            <family val="2"/>
          </rPr>
          <t>Auteur:</t>
        </r>
        <r>
          <rPr>
            <sz val="9"/>
            <color indexed="81"/>
            <rFont val="Tahoma"/>
            <family val="2"/>
          </rPr>
          <t xml:space="preserve">
Inscrire la raison sociale (nom) de l'entreprise</t>
        </r>
      </text>
    </comment>
    <comment ref="AI221" authorId="0" shapeId="0" xr:uid="{4A74C274-42C8-4D6B-BC45-33ED47BC1532}">
      <text>
        <r>
          <rPr>
            <b/>
            <sz val="9"/>
            <color indexed="81"/>
            <rFont val="Tahoma"/>
            <family val="2"/>
          </rPr>
          <t>Auteur:</t>
        </r>
        <r>
          <rPr>
            <sz val="9"/>
            <color indexed="81"/>
            <rFont val="Tahoma"/>
            <family val="2"/>
          </rPr>
          <t xml:space="preserve">
Inscrire le NCC de l'entreprise</t>
        </r>
      </text>
    </comment>
    <comment ref="AJ221" authorId="0" shapeId="0" xr:uid="{560310BC-1DB4-4D2A-A3B0-929CCE7D1F1B}">
      <text>
        <r>
          <rPr>
            <b/>
            <sz val="9"/>
            <color indexed="81"/>
            <rFont val="Tahoma"/>
            <family val="2"/>
          </rPr>
          <t>Inscrire le montant de l'offre</t>
        </r>
      </text>
    </comment>
    <comment ref="AK221" authorId="0" shapeId="0" xr:uid="{791F82A9-6C45-4385-94F6-55E2161ECBEF}">
      <text>
        <r>
          <rPr>
            <b/>
            <sz val="9"/>
            <color indexed="81"/>
            <rFont val="Tahoma"/>
            <family val="2"/>
          </rPr>
          <t>Auteur:</t>
        </r>
        <r>
          <rPr>
            <sz val="9"/>
            <color indexed="81"/>
            <rFont val="Tahoma"/>
            <family val="2"/>
          </rPr>
          <t xml:space="preserve">
Inscrire la raison sociale (nom) de l'entreprise</t>
        </r>
      </text>
    </comment>
    <comment ref="AL221" authorId="0" shapeId="0" xr:uid="{DD6250DB-979A-45A3-B0DC-10C89AD85B44}">
      <text>
        <r>
          <rPr>
            <b/>
            <sz val="9"/>
            <color indexed="81"/>
            <rFont val="Tahoma"/>
            <family val="2"/>
          </rPr>
          <t>Auteur:</t>
        </r>
        <r>
          <rPr>
            <sz val="9"/>
            <color indexed="81"/>
            <rFont val="Tahoma"/>
            <family val="2"/>
          </rPr>
          <t xml:space="preserve">
Inscrire le NCC de l'entreprise</t>
        </r>
      </text>
    </comment>
    <comment ref="AM221" authorId="0" shapeId="0" xr:uid="{FB98E7A9-F0ED-460F-9F3F-5620BC072692}">
      <text>
        <r>
          <rPr>
            <b/>
            <sz val="9"/>
            <color indexed="81"/>
            <rFont val="Tahoma"/>
            <family val="2"/>
          </rPr>
          <t>Inscrire le montant de l'offre</t>
        </r>
      </text>
    </comment>
    <comment ref="AN221" authorId="0" shapeId="0" xr:uid="{CCFCFFBF-9835-4AFD-B0A4-C135106C6CA6}">
      <text>
        <r>
          <rPr>
            <b/>
            <sz val="9"/>
            <color indexed="81"/>
            <rFont val="Tahoma"/>
            <family val="2"/>
          </rPr>
          <t>Auteur:</t>
        </r>
        <r>
          <rPr>
            <sz val="9"/>
            <color indexed="81"/>
            <rFont val="Tahoma"/>
            <family val="2"/>
          </rPr>
          <t xml:space="preserve">
Inscrire la raison sociale (nom) de l'entreprise</t>
        </r>
      </text>
    </comment>
    <comment ref="AO221" authorId="0" shapeId="0" xr:uid="{FB0294A9-D50A-4D6D-9183-CAC70B1B08D6}">
      <text>
        <r>
          <rPr>
            <b/>
            <sz val="9"/>
            <color indexed="81"/>
            <rFont val="Tahoma"/>
            <family val="2"/>
          </rPr>
          <t>Auteur:</t>
        </r>
        <r>
          <rPr>
            <sz val="9"/>
            <color indexed="81"/>
            <rFont val="Tahoma"/>
            <family val="2"/>
          </rPr>
          <t xml:space="preserve">
Inscrire le NCC de l'entreprise</t>
        </r>
      </text>
    </comment>
    <comment ref="AP221" authorId="0" shapeId="0" xr:uid="{6C2FA145-A78F-4F99-99A1-EFFCBA7623C9}">
      <text>
        <r>
          <rPr>
            <b/>
            <sz val="9"/>
            <color indexed="81"/>
            <rFont val="Tahoma"/>
            <family val="2"/>
          </rPr>
          <t>Inscrire le montant de l'offre</t>
        </r>
      </text>
    </comment>
    <comment ref="AY221" authorId="0" shapeId="0" xr:uid="{A2C05AE0-EA06-4656-9402-8EAC2053FA85}">
      <text>
        <r>
          <rPr>
            <b/>
            <sz val="9"/>
            <color indexed="81"/>
            <rFont val="Tahoma"/>
            <family val="2"/>
          </rPr>
          <t>Auteur:</t>
        </r>
        <r>
          <rPr>
            <sz val="9"/>
            <color indexed="81"/>
            <rFont val="Tahoma"/>
            <family val="2"/>
          </rPr>
          <t xml:space="preserve">
Inscrire la raison sociale (nom) de l'entreprise</t>
        </r>
      </text>
    </comment>
    <comment ref="AZ221" authorId="0" shapeId="0" xr:uid="{C762CCFE-FFBC-4F32-8E79-7CA9C76FE871}">
      <text>
        <r>
          <rPr>
            <b/>
            <sz val="9"/>
            <color indexed="81"/>
            <rFont val="Tahoma"/>
            <family val="2"/>
          </rPr>
          <t>Auteur:</t>
        </r>
        <r>
          <rPr>
            <sz val="9"/>
            <color indexed="81"/>
            <rFont val="Tahoma"/>
            <family val="2"/>
          </rPr>
          <t xml:space="preserve">
Inscrire le NCC de l'entreprise</t>
        </r>
      </text>
    </comment>
    <comment ref="BA221" authorId="0" shapeId="0" xr:uid="{42773749-CD60-4D54-BD80-1A477C45B865}">
      <text>
        <r>
          <rPr>
            <b/>
            <sz val="9"/>
            <color indexed="81"/>
            <rFont val="Tahoma"/>
            <family val="2"/>
          </rPr>
          <t>Inscrire le montant de l'offre</t>
        </r>
      </text>
    </comment>
    <comment ref="AN222" authorId="0" shapeId="0" xr:uid="{05830DD4-2582-4D54-8B26-B8C1E34462A5}">
      <text>
        <r>
          <rPr>
            <b/>
            <sz val="9"/>
            <color indexed="81"/>
            <rFont val="Tahoma"/>
            <family val="2"/>
          </rPr>
          <t>Auteur:</t>
        </r>
        <r>
          <rPr>
            <sz val="9"/>
            <color indexed="81"/>
            <rFont val="Tahoma"/>
            <family val="2"/>
          </rPr>
          <t xml:space="preserve">
Inscrire la raison sociale (nom) de l'entreprise</t>
        </r>
      </text>
    </comment>
    <comment ref="AO222" authorId="0" shapeId="0" xr:uid="{3FDE5B69-B6A5-43FF-B520-C4E80CD0169D}">
      <text>
        <r>
          <rPr>
            <b/>
            <sz val="9"/>
            <color indexed="81"/>
            <rFont val="Tahoma"/>
            <family val="2"/>
          </rPr>
          <t>Auteur:</t>
        </r>
        <r>
          <rPr>
            <sz val="9"/>
            <color indexed="81"/>
            <rFont val="Tahoma"/>
            <family val="2"/>
          </rPr>
          <t xml:space="preserve">
Inscrire le NCC de l'entreprise</t>
        </r>
      </text>
    </comment>
    <comment ref="AN223" authorId="0" shapeId="0" xr:uid="{C9675154-85DB-4F31-9AAD-CC4A2D03D116}">
      <text>
        <r>
          <rPr>
            <b/>
            <sz val="9"/>
            <color indexed="81"/>
            <rFont val="Tahoma"/>
            <family val="2"/>
          </rPr>
          <t>Auteur:</t>
        </r>
        <r>
          <rPr>
            <sz val="9"/>
            <color indexed="81"/>
            <rFont val="Tahoma"/>
            <family val="2"/>
          </rPr>
          <t xml:space="preserve">
Inscrire la raison sociale (nom) de l'entreprise</t>
        </r>
      </text>
    </comment>
    <comment ref="AO223" authorId="0" shapeId="0" xr:uid="{5D4938BA-7ED1-4D95-9E95-BCA7D5FCBF51}">
      <text>
        <r>
          <rPr>
            <b/>
            <sz val="9"/>
            <color indexed="81"/>
            <rFont val="Tahoma"/>
            <family val="2"/>
          </rPr>
          <t>Auteur:</t>
        </r>
        <r>
          <rPr>
            <sz val="9"/>
            <color indexed="81"/>
            <rFont val="Tahoma"/>
            <family val="2"/>
          </rPr>
          <t xml:space="preserve">
Inscrire le NCC de l'entreprise</t>
        </r>
      </text>
    </comment>
    <comment ref="AH260" authorId="0" shapeId="0" xr:uid="{7B095EDD-04DF-41E7-86AF-7FE2266CF5A9}">
      <text>
        <r>
          <rPr>
            <b/>
            <sz val="9"/>
            <color indexed="81"/>
            <rFont val="Tahoma"/>
            <family val="2"/>
          </rPr>
          <t>Inscrire le NCC et le nom de l'entreprise</t>
        </r>
      </text>
    </comment>
    <comment ref="AJ260" authorId="0" shapeId="0" xr:uid="{0CB5E620-B89C-4E8D-A866-6452B4E2D475}">
      <text>
        <r>
          <rPr>
            <b/>
            <sz val="9"/>
            <color indexed="81"/>
            <rFont val="Tahoma"/>
            <family val="2"/>
          </rPr>
          <t>Inscrire le montant de l'offre</t>
        </r>
      </text>
    </comment>
    <comment ref="AK260" authorId="0" shapeId="0" xr:uid="{946C238E-A85C-4C2B-B79D-B9A350C62BB1}">
      <text>
        <r>
          <rPr>
            <b/>
            <sz val="9"/>
            <color indexed="81"/>
            <rFont val="Tahoma"/>
            <family val="2"/>
          </rPr>
          <t>Inscrire le NCC et le nom de l'entreprise</t>
        </r>
      </text>
    </comment>
    <comment ref="AM260" authorId="0" shapeId="0" xr:uid="{0AAEBA0F-B3B5-4C6D-9107-D91146E531D1}">
      <text>
        <r>
          <rPr>
            <b/>
            <sz val="9"/>
            <color indexed="81"/>
            <rFont val="Tahoma"/>
            <family val="2"/>
          </rPr>
          <t>Inscrire le montant de l'offre</t>
        </r>
      </text>
    </comment>
    <comment ref="AN260" authorId="0" shapeId="0" xr:uid="{178C5F2E-4927-4BE7-A506-573DF7EF4B2C}">
      <text>
        <r>
          <rPr>
            <b/>
            <sz val="9"/>
            <color indexed="81"/>
            <rFont val="Tahoma"/>
            <family val="2"/>
          </rPr>
          <t>Inscrire le NCC et le nom de l'entreprise</t>
        </r>
      </text>
    </comment>
    <comment ref="AP260" authorId="0" shapeId="0" xr:uid="{941FA442-1543-4C21-8E24-B8618740CED9}">
      <text>
        <r>
          <rPr>
            <b/>
            <sz val="9"/>
            <color indexed="81"/>
            <rFont val="Tahoma"/>
            <family val="2"/>
          </rPr>
          <t>Inscrire le montant de l'offre</t>
        </r>
      </text>
    </comment>
  </commentList>
</comments>
</file>

<file path=xl/sharedStrings.xml><?xml version="1.0" encoding="utf-8"?>
<sst xmlns="http://schemas.openxmlformats.org/spreadsheetml/2006/main" count="407" uniqueCount="189">
  <si>
    <t xml:space="preserve">Montant de la dotation : </t>
  </si>
  <si>
    <t>Estimation du projet</t>
  </si>
  <si>
    <t>Inscription de l’opération au PSPM</t>
  </si>
  <si>
    <t>Formulaire de demande de cotation conforme au modèle élaboré par la DMP</t>
  </si>
  <si>
    <t>Conformité du contenu du formulaire de demande de cotation</t>
  </si>
  <si>
    <t>Délai de préparation des offres</t>
  </si>
  <si>
    <t>Composition du Comité de sélection</t>
  </si>
  <si>
    <t>Existence d’une liste de retrait du support de consultation</t>
  </si>
  <si>
    <t>Existence d’une liste de dépôt des plis</t>
  </si>
  <si>
    <t xml:space="preserve">Respect de la date limite de dépôt des plis </t>
  </si>
  <si>
    <t>Nombre de soumissionnaires</t>
  </si>
  <si>
    <t>Composition de la liste des candidats consultés (fréquence de consultation des candidats)</t>
  </si>
  <si>
    <t>Existence d’une liste de présence des membres du Comité de sélection</t>
  </si>
  <si>
    <t>Existence d’une liste de présence des soumissionnaires</t>
  </si>
  <si>
    <t>Affichage des résultats des travaux du comité de sélection dans les locaux de l’autorité contractante</t>
  </si>
  <si>
    <t>Notification des résultats aux soumissionnaires</t>
  </si>
  <si>
    <t>Raison sociale et NCC du ou des attributaires par lot</t>
  </si>
  <si>
    <t>Montant de l’attribution par lot</t>
  </si>
  <si>
    <t>Respect du délai de recours éventuels</t>
  </si>
  <si>
    <t>Existence d’un formulaire de sélection conforme au modèle DMP</t>
  </si>
  <si>
    <t>Date de signature du contrat par l’autorité contractante</t>
  </si>
  <si>
    <t>Qualité du signataire au niveau de l’autorité contractante</t>
  </si>
  <si>
    <t>Existence de l’archivage des documents</t>
  </si>
  <si>
    <t>Temps total pour la conduite de l’opération</t>
  </si>
  <si>
    <t>Articles 7, 8 et 9</t>
  </si>
  <si>
    <t>Article 6</t>
  </si>
  <si>
    <t>Article 5</t>
  </si>
  <si>
    <t>Article 7</t>
  </si>
  <si>
    <t>Articles 8.1 et 9</t>
  </si>
  <si>
    <t>Article 17</t>
  </si>
  <si>
    <t>Niveau de contrôle</t>
  </si>
  <si>
    <t>Observations</t>
  </si>
  <si>
    <t>Directive (arrêté n°112/ MPMBPE/DGBF/ DMP du 08 mars 2016)</t>
  </si>
  <si>
    <t>Ministère</t>
  </si>
  <si>
    <t>Autorité Contractante</t>
  </si>
  <si>
    <t>Contrôleur</t>
  </si>
  <si>
    <t>Date Contrôle</t>
  </si>
  <si>
    <t>Lieu Contrôle</t>
  </si>
  <si>
    <t>Numéro Opération</t>
  </si>
  <si>
    <t>Imputation Budgétaire</t>
  </si>
  <si>
    <t>Personne Ressource</t>
  </si>
  <si>
    <t>Objet de l'Opération</t>
  </si>
  <si>
    <t>I1</t>
  </si>
  <si>
    <t>I2</t>
  </si>
  <si>
    <t>I3</t>
  </si>
  <si>
    <t>I4</t>
  </si>
  <si>
    <t>I5</t>
  </si>
  <si>
    <t>I6</t>
  </si>
  <si>
    <t>I7</t>
  </si>
  <si>
    <t>I8</t>
  </si>
  <si>
    <t>I9</t>
  </si>
  <si>
    <t>Q1</t>
  </si>
  <si>
    <t>Q2</t>
  </si>
  <si>
    <t>Q3</t>
  </si>
  <si>
    <t>Q4</t>
  </si>
  <si>
    <t>Q5</t>
  </si>
  <si>
    <t>Q6</t>
  </si>
  <si>
    <t>Q7</t>
  </si>
  <si>
    <t>Q8</t>
  </si>
  <si>
    <t>Q9</t>
  </si>
  <si>
    <t>Q10</t>
  </si>
  <si>
    <t>Q11</t>
  </si>
  <si>
    <t>Q12</t>
  </si>
  <si>
    <t>Q13</t>
  </si>
  <si>
    <t>Q14</t>
  </si>
  <si>
    <t>Q15</t>
  </si>
  <si>
    <t>Q16</t>
  </si>
  <si>
    <t>Q17</t>
  </si>
  <si>
    <t>Q18</t>
  </si>
  <si>
    <t>Q19</t>
  </si>
  <si>
    <t>Q20</t>
  </si>
  <si>
    <t>Q21</t>
  </si>
  <si>
    <t>Q22</t>
  </si>
  <si>
    <t>Q23</t>
  </si>
  <si>
    <t>Q24</t>
  </si>
  <si>
    <t>(A) Constats  (selon le constat écrire oui ou non)</t>
  </si>
  <si>
    <t>(B) Commentaires (indiquez l’information relative au constat)</t>
  </si>
  <si>
    <t>( C) Observations  (indiquez s’il y a des observations particulières)</t>
  </si>
  <si>
    <t>Id</t>
  </si>
  <si>
    <t>N°</t>
  </si>
  <si>
    <t>Existence d’un formulaire de sélection conforme au modèle DGMP</t>
  </si>
  <si>
    <t>Inscription de l’opération au PSPM et respect du PSPM</t>
  </si>
  <si>
    <t>Nb</t>
  </si>
  <si>
    <t>%Nb</t>
  </si>
  <si>
    <t>Indice de concentration (IHH)</t>
  </si>
  <si>
    <t>I10</t>
  </si>
  <si>
    <t>Date et signature du formulaire de selection</t>
  </si>
  <si>
    <t>Article 20.1 CMP</t>
  </si>
  <si>
    <t>Article 20.2 CMP</t>
  </si>
  <si>
    <t>Article 20.3 CMP</t>
  </si>
  <si>
    <t>Article 19.4 CMP</t>
  </si>
  <si>
    <t>Opération réservée aux PME</t>
  </si>
  <si>
    <t>Date de soumission du PSPM à la DGMP pour validation</t>
  </si>
  <si>
    <t>Date</t>
  </si>
  <si>
    <t>Support</t>
  </si>
  <si>
    <t>Lot</t>
  </si>
  <si>
    <t xml:space="preserve">Raison sociale </t>
  </si>
  <si>
    <t>NCC attributaire</t>
  </si>
  <si>
    <t>Situation d'exécution de la ligne budgetaire après passation</t>
  </si>
  <si>
    <t>Montant</t>
  </si>
  <si>
    <t>Montant disponible</t>
  </si>
  <si>
    <t>Date de contrôle</t>
  </si>
  <si>
    <t>Interlocuteur chez l'AC</t>
  </si>
  <si>
    <t>Préparation du PSPM</t>
  </si>
  <si>
    <t xml:space="preserve">Publication du PSPM </t>
  </si>
  <si>
    <t xml:space="preserve">Montant de la dotation/ou du crédit : </t>
  </si>
  <si>
    <t>Montant de l'estimation</t>
  </si>
  <si>
    <t>Formulaire de demande de cotation</t>
  </si>
  <si>
    <t>Formulaire de sélection</t>
  </si>
  <si>
    <t>Qualité du signataire</t>
  </si>
  <si>
    <t xml:space="preserve"> Attributaire (s)</t>
  </si>
  <si>
    <t>Notification de l'attribution au (x) soumissionnaire (s) retenu (s)</t>
  </si>
  <si>
    <t>Arrêté interministériel N° 484 MEF/DGBF/DMP du 09 novembre 2011</t>
  </si>
  <si>
    <t xml:space="preserve">Constat </t>
  </si>
  <si>
    <t xml:space="preserve">Conforme au modèle élaboré par la DGMP </t>
  </si>
  <si>
    <t xml:space="preserve">Existence </t>
  </si>
  <si>
    <t xml:space="preserve">Conforme au modèle DGMP </t>
  </si>
  <si>
    <t xml:space="preserve">Signature </t>
  </si>
  <si>
    <t>Entreprise 1</t>
  </si>
  <si>
    <t>Entreprise 2</t>
  </si>
  <si>
    <t>Entreprise 3</t>
  </si>
  <si>
    <t>Liste des entreprises consultées &amp; montant des offres</t>
  </si>
  <si>
    <t>Exhaustivité</t>
  </si>
  <si>
    <t>Nombre de jour
de l'opération</t>
  </si>
  <si>
    <t>Existence et exhaustivité
de l’archivage des documents</t>
  </si>
  <si>
    <t>Ecart
entre montant estimatif
et montant attribué</t>
  </si>
  <si>
    <t xml:space="preserve"> Référence de l'accord pour consulter
moins de cinq entreprises</t>
  </si>
  <si>
    <t>Situation d'exécution de la ligne budgetaire
avant passation</t>
  </si>
  <si>
    <t xml:space="preserve">Opération inscrite au PSPM </t>
  </si>
  <si>
    <t>Date de notification
du budget à l'AC</t>
  </si>
  <si>
    <t xml:space="preserve">Existence
du PSPM </t>
  </si>
  <si>
    <t>Travaux/
Fournitures/
Prestations</t>
  </si>
  <si>
    <t>Nom de l'Agent DGMP</t>
  </si>
  <si>
    <t>Numéro de
l'opération</t>
  </si>
  <si>
    <t>Objet de l'opération</t>
  </si>
  <si>
    <t>Nature de l'opération</t>
  </si>
  <si>
    <t>N° formulaire de demande
de cotation</t>
  </si>
  <si>
    <t>GUIDE DES OPERATIONS EN PSC
(Décret n°2021-909 du 22 décembre 2021 fixant les modalités d'exécution des crédits budgétaires dans le cadre des procédures prévues par le Code des marchés publics)</t>
  </si>
  <si>
    <t xml:space="preserve">Autorité Contractante </t>
  </si>
  <si>
    <t>Information des soumissionnaires
non retenus</t>
  </si>
  <si>
    <t>Numéro
du BOMP</t>
  </si>
  <si>
    <t xml:space="preserve">Respect
du PSPM </t>
  </si>
  <si>
    <t>Montant supérieur ou égal à 10 000 000 FCFA et inférieur à 30 000 000 FCFA</t>
  </si>
  <si>
    <t xml:space="preserve">Même numéro de cotation que l'opération en dessous ( CF19/2023) </t>
  </si>
  <si>
    <t xml:space="preserve">Même numéro de cotation que l'opération précedente ( CF19/2023) </t>
  </si>
  <si>
    <t>Dossier incomplet dans l'ensemble</t>
  </si>
  <si>
    <t>NEANT</t>
  </si>
  <si>
    <t>Prestations</t>
  </si>
  <si>
    <t>Dérogation n° 03475/2023/MBPE/DGMP/DPO/03644/183 du 26/04/2023 suite à la rallonge bugétaire de 15 000 000 F CFA  faisant un total de 30 000 000 F CFA</t>
  </si>
  <si>
    <t>Fournitures</t>
  </si>
  <si>
    <t>Travaux</t>
  </si>
  <si>
    <t>Opération contrôlées</t>
  </si>
  <si>
    <t>Planification des Opérations</t>
  </si>
  <si>
    <t>Respect du PSPM</t>
  </si>
  <si>
    <t>Conformité du modèle de Formulaire de cotation au modèle DGMP</t>
  </si>
  <si>
    <t>Total PSC</t>
  </si>
  <si>
    <r>
      <t>Source</t>
    </r>
    <r>
      <rPr>
        <b/>
        <sz val="8"/>
        <color indexed="8"/>
        <rFont val="Arial"/>
        <family val="2"/>
      </rPr>
      <t> : DGMP</t>
    </r>
  </si>
  <si>
    <t>Nb d’opérations en PSC</t>
  </si>
  <si>
    <t>Existence de la date de signature de la fiche de sélection par l’autorité contractante</t>
  </si>
  <si>
    <t>Notification des résultats aux soumissionnaires non retenus</t>
  </si>
  <si>
    <t>Nombre d’opérations en PSC</t>
  </si>
  <si>
    <t>Exhaustivité de l’archivage des documents</t>
  </si>
  <si>
    <t>MONTANT ESTIME</t>
  </si>
  <si>
    <t>MONTANT ATTRIBUE</t>
  </si>
  <si>
    <t>GAIN REALISE</t>
  </si>
  <si>
    <t>PARTICIPATION - PART PME - CONCENTRATION</t>
  </si>
  <si>
    <t>TEMPS DE CONDUITE DE L'OPERATION</t>
  </si>
  <si>
    <t>PSC</t>
  </si>
  <si>
    <t>Nombre d’entreprises consultées</t>
  </si>
  <si>
    <t>Nombre de Titulaires</t>
  </si>
  <si>
    <t>Montants PME</t>
  </si>
  <si>
    <t>Part PME</t>
  </si>
  <si>
    <t>Délai moyen (jours)</t>
  </si>
  <si>
    <t>Nb opérations concernées</t>
  </si>
  <si>
    <t>(FCFA)</t>
  </si>
  <si>
    <t>(%)</t>
  </si>
  <si>
    <t>NB</t>
  </si>
  <si>
    <t>Total</t>
  </si>
  <si>
    <t>Tableau 1:  Préparation de la Commande des opérations en PSC</t>
  </si>
  <si>
    <t>Tableau 2: Contractualisation en PSC</t>
  </si>
  <si>
    <t xml:space="preserve">Tableau 3: Conformité aux bonnes pratiques en PSC </t>
  </si>
  <si>
    <r>
      <t xml:space="preserve">Tableau 4 </t>
    </r>
    <r>
      <rPr>
        <sz val="11"/>
        <color indexed="8"/>
        <rFont val="Arial"/>
        <family val="2"/>
      </rPr>
      <t> : Indicateurs des opérations en PSC</t>
    </r>
  </si>
  <si>
    <r>
      <t>Tableau 7</t>
    </r>
    <r>
      <rPr>
        <sz val="11"/>
        <color indexed="8"/>
        <rFont val="Arial"/>
        <family val="2"/>
      </rPr>
      <t>: Repartition par type de marchés</t>
    </r>
  </si>
  <si>
    <t>Type</t>
  </si>
  <si>
    <t>Nombre</t>
  </si>
  <si>
    <t>% du nombre</t>
  </si>
  <si>
    <t>% du montant</t>
  </si>
  <si>
    <t>PRESTATIONS</t>
  </si>
  <si>
    <t xml:space="preserve"> Référence de l'accord pour consulter
moins de trois (3) entreprises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</si>
</sst>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0\ _€_-;\-* #,##0\ _€_-;_-* &quot;-&quot;\ _€_-;_-@_-"/>
    <numFmt numFmtId="165" formatCode="_-* #,##0.00\ _€_-;\-* #,##0.00\ _€_-;_-* &quot;-&quot;??\ _€_-;_-@_-"/>
    <numFmt numFmtId="181" formatCode="_-* #,##0\ _€_-;\-* #,##0\ _€_-;_-* &quot;-&quot;??\ _€_-;_-@_-"/>
    <numFmt numFmtId="189" formatCode="0.0"/>
  </numFmts>
  <fonts count="57" x14ac:knownFonts="1">
    <font>
      <sz val="11"/>
      <color theme="1"/>
      <name val="Calibri"/>
      <family val="2"/>
      <scheme val="minor"/>
    </font>
    <font>
      <b/>
      <sz val="9"/>
      <color indexed="81"/>
      <name val="Tahoma"/>
      <family val="2"/>
    </font>
    <font>
      <sz val="9"/>
      <color indexed="81"/>
      <name val="Tahoma"/>
      <family val="2"/>
    </font>
    <font>
      <b/>
      <i/>
      <sz val="11"/>
      <name val="Arial"/>
      <family val="2"/>
    </font>
    <font>
      <b/>
      <i/>
      <sz val="12"/>
      <name val="Arial"/>
      <family val="2"/>
    </font>
    <font>
      <sz val="8"/>
      <name val="Calibri"/>
      <family val="2"/>
    </font>
    <font>
      <b/>
      <sz val="9"/>
      <color indexed="81"/>
      <name val="Tahoma"/>
      <family val="2"/>
    </font>
    <font>
      <sz val="9"/>
      <name val="Arial Black"/>
      <family val="2"/>
    </font>
    <font>
      <sz val="9"/>
      <name val="Arial"/>
      <family val="2"/>
    </font>
    <font>
      <sz val="9"/>
      <color indexed="81"/>
      <name val="Tahoma"/>
      <family val="2"/>
    </font>
    <font>
      <b/>
      <sz val="9"/>
      <color indexed="81"/>
      <name val="Tahoma"/>
      <family val="2"/>
    </font>
    <font>
      <sz val="9"/>
      <color indexed="81"/>
      <name val="Tahoma"/>
      <family val="2"/>
    </font>
    <font>
      <b/>
      <sz val="9"/>
      <color indexed="81"/>
      <name val="Tahoma"/>
      <family val="2"/>
    </font>
    <font>
      <sz val="10"/>
      <name val="Times New Roman"/>
      <family val="1"/>
    </font>
    <font>
      <sz val="11"/>
      <name val="Times New Roman"/>
      <family val="1"/>
    </font>
    <font>
      <sz val="8"/>
      <name val="Arial"/>
      <family val="2"/>
    </font>
    <font>
      <sz val="10"/>
      <name val="Arial"/>
      <family val="2"/>
    </font>
    <font>
      <sz val="11"/>
      <color indexed="8"/>
      <name val="Arial"/>
      <family val="2"/>
    </font>
    <font>
      <sz val="11"/>
      <color indexed="8"/>
      <name val="Arial"/>
      <family val="2"/>
    </font>
    <font>
      <b/>
      <sz val="8"/>
      <color indexed="8"/>
      <name val="Arial"/>
      <family val="2"/>
    </font>
    <font>
      <sz val="11"/>
      <color theme="1"/>
      <name val="Calibri"/>
      <family val="2"/>
      <scheme val="minor"/>
    </font>
    <font>
      <u/>
      <sz val="11"/>
      <color theme="10"/>
      <name val="Calibri"/>
      <family val="2"/>
      <scheme val="minor"/>
    </font>
    <font>
      <b/>
      <sz val="11"/>
      <color theme="1"/>
      <name val="Calibri"/>
      <family val="2"/>
      <scheme val="minor"/>
    </font>
    <font>
      <sz val="10"/>
      <color theme="1"/>
      <name val="Arial"/>
      <family val="2"/>
    </font>
    <font>
      <b/>
      <sz val="11"/>
      <color theme="1"/>
      <name val="Arial"/>
      <family val="2"/>
    </font>
    <font>
      <b/>
      <sz val="10"/>
      <color theme="1"/>
      <name val="Arial"/>
      <family val="2"/>
    </font>
    <font>
      <sz val="9"/>
      <color theme="1"/>
      <name val="Arial"/>
      <family val="2"/>
    </font>
    <font>
      <i/>
      <sz val="8"/>
      <color theme="1"/>
      <name val="Arial"/>
      <family val="2"/>
    </font>
    <font>
      <sz val="8"/>
      <color theme="1"/>
      <name val="Arial"/>
      <family val="2"/>
    </font>
    <font>
      <sz val="9"/>
      <color theme="1"/>
      <name val="Arial Black"/>
      <family val="2"/>
    </font>
    <font>
      <sz val="9"/>
      <color theme="1"/>
      <name val="Calibri"/>
      <family val="2"/>
      <scheme val="minor"/>
    </font>
    <font>
      <sz val="10"/>
      <color theme="1"/>
      <name val="Times New Roman"/>
      <family val="1"/>
    </font>
    <font>
      <sz val="10"/>
      <color rgb="FFFF0000"/>
      <name val="Times New Roman"/>
      <family val="1"/>
    </font>
    <font>
      <u/>
      <sz val="10"/>
      <color theme="10"/>
      <name val="Times New Roman"/>
      <family val="1"/>
    </font>
    <font>
      <sz val="11"/>
      <color theme="1"/>
      <name val="Times New Roman"/>
      <family val="1"/>
    </font>
    <font>
      <sz val="11"/>
      <color rgb="FFFF0000"/>
      <name val="Times New Roman"/>
      <family val="1"/>
    </font>
    <font>
      <sz val="11"/>
      <color theme="1"/>
      <name val="Arial"/>
      <family val="2"/>
    </font>
    <font>
      <sz val="11"/>
      <name val="Calibri"/>
      <family val="2"/>
      <scheme val="minor"/>
    </font>
    <font>
      <b/>
      <i/>
      <sz val="14"/>
      <color rgb="FFFF0000"/>
      <name val="Arial"/>
      <family val="2"/>
    </font>
    <font>
      <sz val="6"/>
      <color theme="1"/>
      <name val="Arial"/>
      <family val="2"/>
    </font>
    <font>
      <sz val="9"/>
      <color rgb="FF000000"/>
      <name val="Arial"/>
      <family val="2"/>
    </font>
    <font>
      <i/>
      <sz val="9"/>
      <color rgb="FF000000"/>
      <name val="Arial"/>
      <family val="2"/>
    </font>
    <font>
      <sz val="9"/>
      <color rgb="FF000000"/>
      <name val="Calibri"/>
      <family val="2"/>
    </font>
    <font>
      <i/>
      <sz val="9"/>
      <color rgb="FF000000"/>
      <name val="Calibri"/>
      <family val="2"/>
    </font>
    <font>
      <b/>
      <i/>
      <u/>
      <sz val="8"/>
      <color theme="1"/>
      <name val="Arial"/>
      <family val="2"/>
    </font>
    <font>
      <b/>
      <sz val="12"/>
      <color theme="1"/>
      <name val="Arial"/>
      <family val="2"/>
    </font>
    <font>
      <sz val="8"/>
      <color rgb="FF000000"/>
      <name val="Arial"/>
      <family val="2"/>
    </font>
    <font>
      <b/>
      <sz val="6"/>
      <color theme="1"/>
      <name val="Arial"/>
      <family val="2"/>
    </font>
    <font>
      <i/>
      <sz val="8"/>
      <color rgb="FF000000"/>
      <name val="Arial"/>
      <family val="2"/>
    </font>
    <font>
      <sz val="10"/>
      <color rgb="FF000000"/>
      <name val="Arial"/>
      <family val="2"/>
    </font>
    <font>
      <b/>
      <sz val="8"/>
      <color theme="1"/>
      <name val="Arial"/>
      <family val="2"/>
    </font>
    <font>
      <b/>
      <u/>
      <sz val="11"/>
      <color theme="1"/>
      <name val="Arial"/>
      <family val="2"/>
    </font>
    <font>
      <sz val="11"/>
      <color rgb="FF000000"/>
      <name val="Bahnschrift Light"/>
      <family val="2"/>
    </font>
    <font>
      <b/>
      <i/>
      <sz val="8"/>
      <color rgb="FF000000"/>
      <name val="Calibri"/>
      <family val="2"/>
    </font>
    <font>
      <sz val="11"/>
      <color rgb="FF000000"/>
      <name val="Calibri"/>
      <family val="2"/>
    </font>
    <font>
      <sz val="12"/>
      <color theme="1"/>
      <name val="Arial"/>
      <family val="2"/>
    </font>
    <font>
      <b/>
      <sz val="8"/>
      <color rgb="FF000000"/>
      <name val="Arial"/>
      <family val="2"/>
    </font>
  </fonts>
  <fills count="11">
    <fill>
      <patternFill patternType="none"/>
    </fill>
    <fill>
      <patternFill patternType="gray125"/>
    </fill>
    <fill>
      <patternFill patternType="solid">
        <fgColor theme="9" tint="0.79998168889431442"/>
        <bgColor indexed="64"/>
      </patternFill>
    </fill>
    <fill>
      <patternFill patternType="solid">
        <fgColor theme="0" tint="-4.9989318521683403E-2"/>
        <bgColor indexed="64"/>
      </patternFill>
    </fill>
    <fill>
      <patternFill patternType="solid">
        <fgColor theme="0"/>
        <bgColor indexed="64"/>
      </patternFill>
    </fill>
    <fill>
      <patternFill patternType="solid">
        <fgColor rgb="FFFF0000"/>
        <bgColor indexed="64"/>
      </patternFill>
    </fill>
    <fill>
      <patternFill patternType="solid">
        <fgColor rgb="FF8EAADB"/>
        <bgColor indexed="64"/>
      </patternFill>
    </fill>
    <fill>
      <patternFill patternType="solid">
        <fgColor rgb="FFD9E2F3"/>
        <bgColor indexed="64"/>
      </patternFill>
    </fill>
    <fill>
      <patternFill patternType="solid">
        <fgColor rgb="FF92D050"/>
        <bgColor indexed="64"/>
      </patternFill>
    </fill>
    <fill>
      <patternFill patternType="solid">
        <fgColor theme="3" tint="0.59999389629810485"/>
        <bgColor indexed="64"/>
      </patternFill>
    </fill>
    <fill>
      <patternFill patternType="solid">
        <fgColor rgb="FFFFFF00"/>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thin">
        <color indexed="64"/>
      </right>
      <top/>
      <bottom style="medium">
        <color indexed="64"/>
      </bottom>
      <diagonal/>
    </border>
    <border>
      <left/>
      <right style="thin">
        <color indexed="64"/>
      </right>
      <top/>
      <bottom style="medium">
        <color indexed="64"/>
      </bottom>
      <diagonal/>
    </border>
    <border>
      <left style="thin">
        <color indexed="64"/>
      </left>
      <right/>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right style="medium">
        <color indexed="64"/>
      </right>
      <top/>
      <bottom/>
      <diagonal/>
    </border>
    <border>
      <left/>
      <right style="thin">
        <color indexed="64"/>
      </right>
      <top/>
      <bottom/>
      <diagonal/>
    </border>
    <border>
      <left/>
      <right/>
      <top style="medium">
        <color indexed="64"/>
      </top>
      <bottom style="thin">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top/>
      <bottom style="thin">
        <color indexed="64"/>
      </bottom>
      <diagonal/>
    </border>
    <border>
      <left/>
      <right/>
      <top style="thin">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rgb="FF000000"/>
      </right>
      <top style="medium">
        <color indexed="64"/>
      </top>
      <bottom style="medium">
        <color indexed="64"/>
      </bottom>
      <diagonal/>
    </border>
    <border>
      <left style="medium">
        <color rgb="FF000000"/>
      </left>
      <right/>
      <top style="medium">
        <color indexed="64"/>
      </top>
      <bottom style="medium">
        <color indexed="64"/>
      </bottom>
      <diagonal/>
    </border>
    <border>
      <left style="medium">
        <color indexed="64"/>
      </left>
      <right style="medium">
        <color rgb="FF000000"/>
      </right>
      <top style="medium">
        <color indexed="64"/>
      </top>
      <bottom/>
      <diagonal/>
    </border>
    <border>
      <left style="medium">
        <color indexed="64"/>
      </left>
      <right style="medium">
        <color rgb="FF000000"/>
      </right>
      <top/>
      <bottom style="medium">
        <color indexed="64"/>
      </bottom>
      <diagonal/>
    </border>
  </borders>
  <cellStyleXfs count="4">
    <xf numFmtId="0" fontId="0" fillId="0" borderId="0"/>
    <xf numFmtId="0" fontId="21" fillId="0" borderId="0" applyNumberFormat="0" applyFill="0" applyBorder="0" applyAlignment="0" applyProtection="0"/>
    <xf numFmtId="165" fontId="20" fillId="0" borderId="0" applyFont="0" applyFill="0" applyBorder="0" applyAlignment="0" applyProtection="0"/>
    <xf numFmtId="164" fontId="20" fillId="0" borderId="0" applyFont="0" applyFill="0" applyBorder="0" applyAlignment="0" applyProtection="0"/>
  </cellStyleXfs>
  <cellXfs count="454">
    <xf numFmtId="0" fontId="0" fillId="0" borderId="0" xfId="0"/>
    <xf numFmtId="0" fontId="0" fillId="0" borderId="1" xfId="0" applyBorder="1"/>
    <xf numFmtId="0" fontId="23" fillId="0" borderId="1" xfId="0" applyFont="1" applyBorder="1" applyAlignment="1">
      <alignment vertical="center"/>
    </xf>
    <xf numFmtId="0" fontId="23" fillId="0" borderId="1" xfId="0" applyFont="1" applyBorder="1" applyAlignment="1">
      <alignment vertical="center" wrapText="1"/>
    </xf>
    <xf numFmtId="0" fontId="23" fillId="0" borderId="1" xfId="0" applyFont="1" applyBorder="1" applyAlignment="1">
      <alignment horizontal="justify" vertical="center" wrapText="1"/>
    </xf>
    <xf numFmtId="0" fontId="0" fillId="0" borderId="1" xfId="0" applyBorder="1" applyAlignment="1">
      <alignment vertical="center"/>
    </xf>
    <xf numFmtId="0" fontId="0" fillId="0" borderId="1" xfId="0" applyBorder="1" applyAlignment="1">
      <alignment horizontal="center" vertical="center"/>
    </xf>
    <xf numFmtId="0" fontId="24" fillId="0" borderId="1" xfId="0" applyFont="1" applyBorder="1" applyAlignment="1">
      <alignment horizontal="center" vertical="center"/>
    </xf>
    <xf numFmtId="0" fontId="24" fillId="0" borderId="1" xfId="0" applyFont="1" applyBorder="1"/>
    <xf numFmtId="0" fontId="25" fillId="0" borderId="1" xfId="0" applyFont="1" applyBorder="1" applyAlignment="1">
      <alignment vertical="center" wrapText="1"/>
    </xf>
    <xf numFmtId="0" fontId="25" fillId="0" borderId="1" xfId="0" applyFont="1" applyBorder="1" applyAlignment="1">
      <alignment horizontal="center" vertical="center" wrapText="1"/>
    </xf>
    <xf numFmtId="0" fontId="0" fillId="0" borderId="2" xfId="0" applyBorder="1"/>
    <xf numFmtId="0" fontId="26" fillId="0" borderId="2" xfId="0" applyFont="1" applyBorder="1" applyAlignment="1">
      <alignment horizontal="center" vertical="center"/>
    </xf>
    <xf numFmtId="0" fontId="26" fillId="0" borderId="1" xfId="0" applyFont="1" applyBorder="1" applyAlignment="1">
      <alignment horizontal="center" vertical="center"/>
    </xf>
    <xf numFmtId="0" fontId="0" fillId="0" borderId="0" xfId="0" applyFill="1"/>
    <xf numFmtId="0" fontId="0" fillId="2" borderId="1" xfId="0" applyFill="1" applyBorder="1"/>
    <xf numFmtId="0" fontId="27" fillId="3" borderId="1" xfId="0" applyFont="1" applyFill="1" applyBorder="1" applyAlignment="1">
      <alignment horizontal="center" vertical="center" wrapText="1"/>
    </xf>
    <xf numFmtId="0" fontId="0" fillId="4" borderId="1" xfId="0" applyFill="1" applyBorder="1"/>
    <xf numFmtId="0" fontId="0" fillId="4" borderId="0" xfId="0" applyFill="1"/>
    <xf numFmtId="0" fontId="0" fillId="2" borderId="0" xfId="0" applyFill="1"/>
    <xf numFmtId="0" fontId="28" fillId="4" borderId="2" xfId="0" applyFont="1" applyFill="1" applyBorder="1" applyAlignment="1">
      <alignment vertical="center"/>
    </xf>
    <xf numFmtId="0" fontId="28" fillId="4" borderId="3" xfId="0" applyFont="1" applyFill="1" applyBorder="1" applyAlignment="1">
      <alignment vertical="center"/>
    </xf>
    <xf numFmtId="0" fontId="0" fillId="3" borderId="0" xfId="0" applyFill="1"/>
    <xf numFmtId="0" fontId="22" fillId="3" borderId="4" xfId="0" applyFont="1" applyFill="1" applyBorder="1"/>
    <xf numFmtId="0" fontId="24" fillId="3" borderId="5" xfId="0" applyFont="1" applyFill="1" applyBorder="1" applyAlignment="1">
      <alignment horizontal="center" vertical="center"/>
    </xf>
    <xf numFmtId="0" fontId="22" fillId="3" borderId="5" xfId="0" applyFont="1" applyFill="1" applyBorder="1" applyAlignment="1">
      <alignment horizontal="center" vertical="center"/>
    </xf>
    <xf numFmtId="0" fontId="22" fillId="3" borderId="0" xfId="0" applyFont="1" applyFill="1"/>
    <xf numFmtId="0" fontId="27" fillId="3" borderId="6" xfId="0" applyFont="1" applyFill="1" applyBorder="1" applyAlignment="1">
      <alignment horizontal="center" vertical="center" wrapText="1"/>
    </xf>
    <xf numFmtId="0" fontId="27" fillId="3" borderId="7" xfId="0" applyFont="1" applyFill="1" applyBorder="1"/>
    <xf numFmtId="0" fontId="3" fillId="3" borderId="8" xfId="0" applyFont="1" applyFill="1" applyBorder="1" applyAlignment="1">
      <alignment vertical="center" wrapText="1"/>
    </xf>
    <xf numFmtId="0" fontId="0" fillId="3" borderId="1" xfId="0" applyFill="1" applyBorder="1"/>
    <xf numFmtId="0" fontId="27" fillId="3" borderId="8" xfId="0" applyFont="1" applyFill="1" applyBorder="1" applyAlignment="1">
      <alignment vertical="center" wrapText="1"/>
    </xf>
    <xf numFmtId="0" fontId="27" fillId="3" borderId="9" xfId="0" applyFont="1" applyFill="1" applyBorder="1" applyAlignment="1">
      <alignment horizontal="center" vertical="center" wrapText="1"/>
    </xf>
    <xf numFmtId="0" fontId="27" fillId="3" borderId="6" xfId="0" applyFont="1" applyFill="1" applyBorder="1" applyAlignment="1">
      <alignment vertical="center" wrapText="1"/>
    </xf>
    <xf numFmtId="0" fontId="27" fillId="3" borderId="8" xfId="0" applyFont="1" applyFill="1" applyBorder="1" applyAlignment="1">
      <alignment horizontal="center" vertical="center" wrapText="1"/>
    </xf>
    <xf numFmtId="0" fontId="27" fillId="3" borderId="7" xfId="0" applyFont="1" applyFill="1" applyBorder="1" applyAlignment="1">
      <alignment horizontal="center" vertical="center"/>
    </xf>
    <xf numFmtId="0" fontId="0" fillId="3" borderId="0" xfId="0" applyFill="1" applyAlignment="1">
      <alignment horizontal="center" vertical="center"/>
    </xf>
    <xf numFmtId="0" fontId="29" fillId="0" borderId="7" xfId="0" applyFont="1" applyFill="1" applyBorder="1" applyAlignment="1">
      <alignment horizontal="center" vertical="center" wrapText="1"/>
    </xf>
    <xf numFmtId="0" fontId="29" fillId="0" borderId="10" xfId="0" applyFont="1" applyFill="1" applyBorder="1" applyAlignment="1">
      <alignment horizontal="left" vertical="center" wrapText="1"/>
    </xf>
    <xf numFmtId="0" fontId="29" fillId="0" borderId="1" xfId="0" applyFont="1" applyFill="1" applyBorder="1" applyAlignment="1">
      <alignment horizontal="left" vertical="center" wrapText="1"/>
    </xf>
    <xf numFmtId="0" fontId="29" fillId="0" borderId="1" xfId="0" applyFont="1" applyFill="1" applyBorder="1" applyAlignment="1">
      <alignment horizontal="center" vertical="center" wrapText="1"/>
    </xf>
    <xf numFmtId="0" fontId="30" fillId="0" borderId="0" xfId="0" applyFont="1" applyFill="1" applyAlignment="1">
      <alignment horizontal="center"/>
    </xf>
    <xf numFmtId="0" fontId="26" fillId="3" borderId="11" xfId="0" applyFont="1" applyFill="1" applyBorder="1" applyAlignment="1">
      <alignment horizontal="center" vertical="center"/>
    </xf>
    <xf numFmtId="0" fontId="26" fillId="3" borderId="12" xfId="0" applyFont="1" applyFill="1" applyBorder="1" applyAlignment="1">
      <alignment horizontal="center" vertical="center" wrapText="1"/>
    </xf>
    <xf numFmtId="0" fontId="26" fillId="3" borderId="12" xfId="0" applyFont="1" applyFill="1" applyBorder="1" applyAlignment="1">
      <alignment horizontal="center" vertical="center"/>
    </xf>
    <xf numFmtId="0" fontId="8" fillId="3" borderId="12" xfId="0" applyFont="1" applyFill="1" applyBorder="1" applyAlignment="1">
      <alignment horizontal="center" vertical="center" wrapText="1"/>
    </xf>
    <xf numFmtId="0" fontId="30" fillId="3" borderId="0" xfId="0" applyFont="1" applyFill="1"/>
    <xf numFmtId="0" fontId="29" fillId="0" borderId="10" xfId="0" applyFont="1" applyBorder="1" applyAlignment="1">
      <alignment vertical="center" wrapText="1"/>
    </xf>
    <xf numFmtId="0" fontId="26" fillId="3" borderId="13" xfId="0" applyFont="1" applyFill="1" applyBorder="1" applyAlignment="1">
      <alignment horizontal="center" vertical="center" wrapText="1"/>
    </xf>
    <xf numFmtId="3" fontId="0" fillId="5" borderId="14" xfId="0" applyNumberFormat="1" applyFill="1" applyBorder="1" applyAlignment="1">
      <alignment horizontal="center" vertical="center"/>
    </xf>
    <xf numFmtId="0" fontId="0" fillId="0" borderId="0" xfId="0" applyBorder="1"/>
    <xf numFmtId="0" fontId="26" fillId="3" borderId="1" xfId="0" applyFont="1" applyFill="1" applyBorder="1" applyAlignment="1">
      <alignment horizontal="center" vertical="center" wrapText="1"/>
    </xf>
    <xf numFmtId="0" fontId="27" fillId="3" borderId="6" xfId="0" applyFont="1" applyFill="1" applyBorder="1" applyAlignment="1">
      <alignment horizontal="center" vertical="center" wrapText="1"/>
    </xf>
    <xf numFmtId="14" fontId="26" fillId="0" borderId="2" xfId="0" applyNumberFormat="1" applyFont="1" applyBorder="1" applyAlignment="1">
      <alignment horizontal="center" vertical="center"/>
    </xf>
    <xf numFmtId="1" fontId="0" fillId="0" borderId="2" xfId="0" applyNumberFormat="1" applyBorder="1" applyAlignment="1">
      <alignment vertical="center"/>
    </xf>
    <xf numFmtId="0" fontId="0" fillId="0" borderId="2" xfId="0" applyBorder="1" applyAlignment="1">
      <alignment vertical="center"/>
    </xf>
    <xf numFmtId="1" fontId="0" fillId="0" borderId="1" xfId="0" applyNumberFormat="1" applyBorder="1" applyAlignment="1">
      <alignment vertical="center"/>
    </xf>
    <xf numFmtId="0" fontId="0" fillId="2" borderId="2" xfId="0" applyFill="1" applyBorder="1" applyAlignment="1">
      <alignment vertical="center"/>
    </xf>
    <xf numFmtId="164" fontId="20" fillId="0" borderId="1" xfId="3" applyFont="1" applyBorder="1" applyAlignment="1">
      <alignment vertical="center"/>
    </xf>
    <xf numFmtId="164" fontId="28" fillId="4" borderId="3" xfId="3" applyFont="1" applyFill="1" applyBorder="1" applyAlignment="1">
      <alignment vertical="center"/>
    </xf>
    <xf numFmtId="14" fontId="0" fillId="0" borderId="1" xfId="0" applyNumberFormat="1" applyBorder="1"/>
    <xf numFmtId="164" fontId="0" fillId="0" borderId="2" xfId="0" applyNumberFormat="1" applyBorder="1" applyAlignment="1">
      <alignment vertical="center"/>
    </xf>
    <xf numFmtId="14" fontId="0" fillId="0" borderId="2" xfId="0" applyNumberFormat="1" applyBorder="1" applyAlignment="1">
      <alignment vertical="center"/>
    </xf>
    <xf numFmtId="0" fontId="0" fillId="4" borderId="2" xfId="0" applyFill="1" applyBorder="1" applyAlignment="1">
      <alignment horizontal="center" vertical="center"/>
    </xf>
    <xf numFmtId="14" fontId="0" fillId="4" borderId="2" xfId="0" applyNumberFormat="1" applyFill="1" applyBorder="1" applyAlignment="1">
      <alignment horizontal="center" vertical="center"/>
    </xf>
    <xf numFmtId="0" fontId="0" fillId="2" borderId="2" xfId="0" applyFill="1" applyBorder="1" applyAlignment="1">
      <alignment horizontal="center" vertical="center"/>
    </xf>
    <xf numFmtId="0" fontId="0" fillId="2" borderId="1" xfId="0" applyFill="1" applyBorder="1" applyAlignment="1">
      <alignment horizontal="center" vertical="center"/>
    </xf>
    <xf numFmtId="164" fontId="20" fillId="0" borderId="1" xfId="3" applyFont="1" applyBorder="1" applyAlignment="1">
      <alignment horizontal="center" vertical="center"/>
    </xf>
    <xf numFmtId="0" fontId="0" fillId="0" borderId="2" xfId="0" applyBorder="1" applyAlignment="1">
      <alignment horizontal="center" vertical="center"/>
    </xf>
    <xf numFmtId="164" fontId="0" fillId="0" borderId="2" xfId="0" applyNumberFormat="1" applyBorder="1" applyAlignment="1">
      <alignment horizontal="center" vertical="center"/>
    </xf>
    <xf numFmtId="14" fontId="0" fillId="0" borderId="1" xfId="0" applyNumberFormat="1" applyBorder="1" applyAlignment="1">
      <alignment horizontal="center" vertical="center"/>
    </xf>
    <xf numFmtId="0" fontId="0" fillId="0" borderId="1" xfId="0" applyBorder="1" applyAlignment="1">
      <alignment vertical="top"/>
    </xf>
    <xf numFmtId="164" fontId="20" fillId="0" borderId="1" xfId="3" applyFont="1" applyBorder="1" applyAlignment="1">
      <alignment vertical="top"/>
    </xf>
    <xf numFmtId="0" fontId="0" fillId="2" borderId="1" xfId="0" applyFill="1" applyBorder="1" applyAlignment="1">
      <alignment vertical="top"/>
    </xf>
    <xf numFmtId="0" fontId="0" fillId="4" borderId="1" xfId="0" applyFill="1" applyBorder="1" applyAlignment="1">
      <alignment vertical="top"/>
    </xf>
    <xf numFmtId="14" fontId="0" fillId="0" borderId="1" xfId="0" applyNumberFormat="1" applyBorder="1" applyAlignment="1">
      <alignment vertical="top"/>
    </xf>
    <xf numFmtId="0" fontId="0" fillId="0" borderId="1" xfId="0" applyBorder="1" applyAlignment="1">
      <alignment horizontal="center" vertical="top"/>
    </xf>
    <xf numFmtId="164" fontId="0" fillId="4" borderId="2" xfId="0" applyNumberFormat="1" applyFill="1" applyBorder="1" applyAlignment="1">
      <alignment vertical="top"/>
    </xf>
    <xf numFmtId="164" fontId="0" fillId="0" borderId="2" xfId="0" applyNumberFormat="1" applyBorder="1" applyAlignment="1">
      <alignment horizontal="center" vertical="top"/>
    </xf>
    <xf numFmtId="14" fontId="0" fillId="0" borderId="1" xfId="0" applyNumberFormat="1" applyBorder="1" applyAlignment="1">
      <alignment horizontal="center" vertical="top"/>
    </xf>
    <xf numFmtId="0" fontId="0" fillId="2" borderId="1" xfId="0" applyFill="1" applyBorder="1" applyAlignment="1">
      <alignment horizontal="center" vertical="top"/>
    </xf>
    <xf numFmtId="0" fontId="0" fillId="2" borderId="2" xfId="0" applyFill="1" applyBorder="1" applyAlignment="1">
      <alignment vertical="top"/>
    </xf>
    <xf numFmtId="14" fontId="0" fillId="0" borderId="0" xfId="0" applyNumberFormat="1" applyFill="1"/>
    <xf numFmtId="14" fontId="24" fillId="3" borderId="5" xfId="0" applyNumberFormat="1" applyFont="1" applyFill="1" applyBorder="1" applyAlignment="1">
      <alignment horizontal="center" vertical="center"/>
    </xf>
    <xf numFmtId="14" fontId="26" fillId="3" borderId="12" xfId="0" applyNumberFormat="1" applyFont="1" applyFill="1" applyBorder="1" applyAlignment="1">
      <alignment horizontal="center" vertical="center"/>
    </xf>
    <xf numFmtId="14" fontId="26" fillId="0" borderId="1" xfId="0" applyNumberFormat="1" applyFont="1" applyBorder="1" applyAlignment="1">
      <alignment horizontal="center" vertical="center"/>
    </xf>
    <xf numFmtId="14" fontId="0" fillId="0" borderId="0" xfId="0" applyNumberFormat="1"/>
    <xf numFmtId="0" fontId="31" fillId="0" borderId="5" xfId="0" applyFont="1" applyBorder="1" applyAlignment="1">
      <alignment vertical="center"/>
    </xf>
    <xf numFmtId="0" fontId="31" fillId="2" borderId="5" xfId="0" applyFont="1" applyFill="1" applyBorder="1" applyAlignment="1">
      <alignment vertical="center"/>
    </xf>
    <xf numFmtId="0" fontId="32" fillId="0" borderId="5" xfId="0" applyFont="1" applyBorder="1" applyAlignment="1">
      <alignment vertical="center"/>
    </xf>
    <xf numFmtId="0" fontId="13" fillId="2" borderId="5" xfId="0" applyFont="1" applyFill="1" applyBorder="1" applyAlignment="1">
      <alignment vertical="center"/>
    </xf>
    <xf numFmtId="0" fontId="32" fillId="2" borderId="5" xfId="0" applyFont="1" applyFill="1" applyBorder="1" applyAlignment="1">
      <alignment vertical="center"/>
    </xf>
    <xf numFmtId="0" fontId="31" fillId="4" borderId="5" xfId="0" applyFont="1" applyFill="1" applyBorder="1" applyAlignment="1">
      <alignment vertical="center"/>
    </xf>
    <xf numFmtId="0" fontId="31" fillId="4" borderId="15" xfId="0" applyFont="1" applyFill="1" applyBorder="1" applyAlignment="1">
      <alignment vertical="center"/>
    </xf>
    <xf numFmtId="0" fontId="33" fillId="4" borderId="5" xfId="1" applyFont="1" applyFill="1" applyBorder="1" applyAlignment="1">
      <alignment vertical="center"/>
    </xf>
    <xf numFmtId="0" fontId="33" fillId="4" borderId="15" xfId="1" applyFont="1" applyFill="1" applyBorder="1" applyAlignment="1">
      <alignment vertical="center"/>
    </xf>
    <xf numFmtId="3" fontId="31" fillId="5" borderId="16" xfId="0" applyNumberFormat="1" applyFont="1" applyFill="1" applyBorder="1" applyAlignment="1">
      <alignment horizontal="center" vertical="center"/>
    </xf>
    <xf numFmtId="0" fontId="31" fillId="0" borderId="17" xfId="0" applyFont="1" applyBorder="1" applyAlignment="1">
      <alignment vertical="center"/>
    </xf>
    <xf numFmtId="0" fontId="31" fillId="2" borderId="17" xfId="0" applyFont="1" applyFill="1" applyBorder="1" applyAlignment="1">
      <alignment vertical="center"/>
    </xf>
    <xf numFmtId="0" fontId="32" fillId="0" borderId="17" xfId="0" applyFont="1" applyBorder="1" applyAlignment="1">
      <alignment vertical="center"/>
    </xf>
    <xf numFmtId="0" fontId="13" fillId="2" borderId="17" xfId="0" applyFont="1" applyFill="1" applyBorder="1" applyAlignment="1">
      <alignment vertical="center"/>
    </xf>
    <xf numFmtId="0" fontId="32" fillId="2" borderId="17" xfId="0" applyFont="1" applyFill="1" applyBorder="1" applyAlignment="1">
      <alignment vertical="center"/>
    </xf>
    <xf numFmtId="0" fontId="31" fillId="0" borderId="12" xfId="0" applyFont="1" applyBorder="1" applyAlignment="1">
      <alignment vertical="center"/>
    </xf>
    <xf numFmtId="0" fontId="31" fillId="4" borderId="17" xfId="0" applyFont="1" applyFill="1" applyBorder="1" applyAlignment="1">
      <alignment vertical="center"/>
    </xf>
    <xf numFmtId="0" fontId="31" fillId="4" borderId="18" xfId="0" applyFont="1" applyFill="1" applyBorder="1" applyAlignment="1">
      <alignment vertical="center"/>
    </xf>
    <xf numFmtId="0" fontId="33" fillId="4" borderId="17" xfId="1" applyFont="1" applyFill="1" applyBorder="1" applyAlignment="1">
      <alignment vertical="center"/>
    </xf>
    <xf numFmtId="0" fontId="33" fillId="4" borderId="18" xfId="1" applyFont="1" applyFill="1" applyBorder="1" applyAlignment="1">
      <alignment vertical="center"/>
    </xf>
    <xf numFmtId="3" fontId="31" fillId="5" borderId="19" xfId="0" applyNumberFormat="1" applyFont="1" applyFill="1" applyBorder="1" applyAlignment="1">
      <alignment horizontal="center" vertical="center"/>
    </xf>
    <xf numFmtId="0" fontId="31" fillId="0" borderId="20" xfId="0" applyFont="1" applyBorder="1" applyAlignment="1">
      <alignment vertical="center"/>
    </xf>
    <xf numFmtId="0" fontId="31" fillId="2" borderId="20" xfId="0" applyFont="1" applyFill="1" applyBorder="1" applyAlignment="1">
      <alignment vertical="center"/>
    </xf>
    <xf numFmtId="14" fontId="31" fillId="4" borderId="20" xfId="0" applyNumberFormat="1" applyFont="1" applyFill="1" applyBorder="1" applyAlignment="1">
      <alignment vertical="center"/>
    </xf>
    <xf numFmtId="0" fontId="31" fillId="4" borderId="20" xfId="0" applyFont="1" applyFill="1" applyBorder="1" applyAlignment="1">
      <alignment vertical="center"/>
    </xf>
    <xf numFmtId="0" fontId="13" fillId="2" borderId="20" xfId="0" applyFont="1" applyFill="1" applyBorder="1" applyAlignment="1">
      <alignment vertical="center"/>
    </xf>
    <xf numFmtId="0" fontId="32" fillId="0" borderId="20" xfId="0" applyFont="1" applyBorder="1" applyAlignment="1">
      <alignment vertical="center"/>
    </xf>
    <xf numFmtId="0" fontId="32" fillId="2" borderId="20" xfId="0" applyFont="1" applyFill="1" applyBorder="1" applyAlignment="1">
      <alignment vertical="center"/>
    </xf>
    <xf numFmtId="3" fontId="31" fillId="5" borderId="21" xfId="0" applyNumberFormat="1" applyFont="1" applyFill="1" applyBorder="1" applyAlignment="1">
      <alignment horizontal="center" vertical="center"/>
    </xf>
    <xf numFmtId="0" fontId="34" fillId="0" borderId="20" xfId="0" applyFont="1" applyBorder="1" applyAlignment="1">
      <alignment vertical="center"/>
    </xf>
    <xf numFmtId="0" fontId="34" fillId="2" borderId="20" xfId="0" applyFont="1" applyFill="1" applyBorder="1" applyAlignment="1">
      <alignment vertical="center"/>
    </xf>
    <xf numFmtId="14" fontId="34" fillId="4" borderId="20" xfId="0" applyNumberFormat="1" applyFont="1" applyFill="1" applyBorder="1" applyAlignment="1">
      <alignment vertical="center"/>
    </xf>
    <xf numFmtId="0" fontId="34" fillId="4" borderId="20" xfId="0" applyFont="1" applyFill="1" applyBorder="1" applyAlignment="1">
      <alignment vertical="center"/>
    </xf>
    <xf numFmtId="0" fontId="35" fillId="2" borderId="20" xfId="0" applyFont="1" applyFill="1" applyBorder="1" applyAlignment="1">
      <alignment vertical="center"/>
    </xf>
    <xf numFmtId="14" fontId="34" fillId="0" borderId="20" xfId="0" applyNumberFormat="1" applyFont="1" applyBorder="1" applyAlignment="1">
      <alignment vertical="center"/>
    </xf>
    <xf numFmtId="3" fontId="34" fillId="5" borderId="21" xfId="0" applyNumberFormat="1" applyFont="1" applyFill="1" applyBorder="1" applyAlignment="1">
      <alignment horizontal="center" vertical="center"/>
    </xf>
    <xf numFmtId="3" fontId="28" fillId="4" borderId="3" xfId="0" applyNumberFormat="1" applyFont="1" applyFill="1" applyBorder="1" applyAlignment="1">
      <alignment vertical="center"/>
    </xf>
    <xf numFmtId="14" fontId="0" fillId="4" borderId="1" xfId="0" applyNumberFormat="1" applyFill="1" applyBorder="1"/>
    <xf numFmtId="164" fontId="36" fillId="4" borderId="3" xfId="3" applyFont="1" applyFill="1" applyBorder="1" applyAlignment="1">
      <alignment vertical="center"/>
    </xf>
    <xf numFmtId="14" fontId="32" fillId="0" borderId="5" xfId="0" applyNumberFormat="1" applyFont="1" applyBorder="1" applyAlignment="1">
      <alignment vertical="center"/>
    </xf>
    <xf numFmtId="14" fontId="32" fillId="0" borderId="17" xfId="0" applyNumberFormat="1" applyFont="1" applyBorder="1" applyAlignment="1">
      <alignment vertical="center"/>
    </xf>
    <xf numFmtId="14" fontId="32" fillId="0" borderId="20" xfId="0" applyNumberFormat="1" applyFont="1" applyBorder="1" applyAlignment="1">
      <alignment vertical="center"/>
    </xf>
    <xf numFmtId="0" fontId="0" fillId="0" borderId="2" xfId="0" applyBorder="1" applyAlignment="1">
      <alignment horizontal="left" vertical="center"/>
    </xf>
    <xf numFmtId="0" fontId="0" fillId="2" borderId="2" xfId="0" applyFill="1" applyBorder="1" applyAlignment="1">
      <alignment horizontal="left" vertical="center"/>
    </xf>
    <xf numFmtId="3" fontId="0" fillId="0" borderId="1" xfId="0" applyNumberFormat="1" applyBorder="1" applyAlignment="1">
      <alignment horizontal="center" vertical="center"/>
    </xf>
    <xf numFmtId="0" fontId="28" fillId="4" borderId="2" xfId="0" applyFont="1" applyFill="1" applyBorder="1" applyAlignment="1">
      <alignment horizontal="left" vertical="center"/>
    </xf>
    <xf numFmtId="0" fontId="28" fillId="4" borderId="3" xfId="0" applyFont="1" applyFill="1" applyBorder="1" applyAlignment="1">
      <alignment horizontal="left" vertical="center"/>
    </xf>
    <xf numFmtId="3" fontId="28" fillId="4" borderId="3" xfId="0" applyNumberFormat="1" applyFont="1" applyFill="1" applyBorder="1" applyAlignment="1">
      <alignment horizontal="center" vertical="center"/>
    </xf>
    <xf numFmtId="0" fontId="28" fillId="4" borderId="2" xfId="0" applyFont="1" applyFill="1" applyBorder="1" applyAlignment="1">
      <alignment horizontal="center" vertical="center"/>
    </xf>
    <xf numFmtId="3" fontId="0" fillId="0" borderId="2" xfId="0" applyNumberFormat="1" applyBorder="1" applyAlignment="1">
      <alignment horizontal="center" vertical="center"/>
    </xf>
    <xf numFmtId="0" fontId="0" fillId="4" borderId="1" xfId="0" applyFill="1" applyBorder="1" applyAlignment="1">
      <alignment vertical="center"/>
    </xf>
    <xf numFmtId="0" fontId="0" fillId="0" borderId="1" xfId="0" applyBorder="1" applyAlignment="1">
      <alignment horizontal="left" vertical="center"/>
    </xf>
    <xf numFmtId="0" fontId="37" fillId="0" borderId="1" xfId="0" applyFont="1" applyBorder="1" applyAlignment="1">
      <alignment horizontal="left" vertical="center"/>
    </xf>
    <xf numFmtId="3" fontId="37" fillId="0" borderId="1" xfId="0" applyNumberFormat="1" applyFont="1" applyBorder="1" applyAlignment="1">
      <alignment horizontal="center" vertical="center"/>
    </xf>
    <xf numFmtId="0" fontId="37" fillId="2" borderId="2" xfId="0" applyFont="1" applyFill="1" applyBorder="1" applyAlignment="1">
      <alignment horizontal="center" vertical="center"/>
    </xf>
    <xf numFmtId="3" fontId="15" fillId="4" borderId="3" xfId="0" applyNumberFormat="1" applyFont="1" applyFill="1" applyBorder="1" applyAlignment="1">
      <alignment horizontal="center" vertical="center"/>
    </xf>
    <xf numFmtId="14" fontId="37" fillId="4" borderId="2" xfId="0" applyNumberFormat="1" applyFont="1" applyFill="1" applyBorder="1" applyAlignment="1">
      <alignment horizontal="center" vertical="center"/>
    </xf>
    <xf numFmtId="0" fontId="37" fillId="0" borderId="2" xfId="0" applyFont="1" applyBorder="1" applyAlignment="1">
      <alignment horizontal="center" vertical="center"/>
    </xf>
    <xf numFmtId="0" fontId="37" fillId="0" borderId="1" xfId="0" applyFont="1" applyBorder="1" applyAlignment="1">
      <alignment horizontal="center" vertical="center"/>
    </xf>
    <xf numFmtId="0" fontId="37" fillId="4" borderId="2" xfId="0" applyFont="1" applyFill="1" applyBorder="1" applyAlignment="1">
      <alignment horizontal="center" vertical="center"/>
    </xf>
    <xf numFmtId="3" fontId="37" fillId="0" borderId="2" xfId="0" applyNumberFormat="1" applyFont="1" applyBorder="1" applyAlignment="1">
      <alignment horizontal="center" vertical="center"/>
    </xf>
    <xf numFmtId="0" fontId="0" fillId="0" borderId="0" xfId="0" applyAlignment="1">
      <alignment horizontal="center" vertical="center"/>
    </xf>
    <xf numFmtId="3" fontId="0" fillId="0" borderId="0" xfId="0" applyNumberFormat="1" applyAlignment="1">
      <alignment horizontal="center" vertical="center"/>
    </xf>
    <xf numFmtId="0" fontId="26" fillId="0" borderId="2" xfId="0" applyFont="1" applyBorder="1" applyAlignment="1">
      <alignment horizontal="left" vertical="center"/>
    </xf>
    <xf numFmtId="0" fontId="28" fillId="4" borderId="3" xfId="0" applyFont="1" applyFill="1" applyBorder="1" applyAlignment="1">
      <alignment horizontal="center" vertical="center"/>
    </xf>
    <xf numFmtId="14" fontId="0" fillId="0" borderId="2" xfId="0" applyNumberFormat="1" applyBorder="1" applyAlignment="1">
      <alignment horizontal="center" vertical="center"/>
    </xf>
    <xf numFmtId="0" fontId="0" fillId="2" borderId="1" xfId="0" applyFill="1" applyBorder="1" applyAlignment="1">
      <alignment horizontal="left" vertical="center"/>
    </xf>
    <xf numFmtId="0" fontId="0" fillId="4" borderId="1" xfId="0" applyFill="1" applyBorder="1" applyAlignment="1">
      <alignment horizontal="center" vertical="center"/>
    </xf>
    <xf numFmtId="0" fontId="26" fillId="0" borderId="1" xfId="0" applyFont="1" applyBorder="1" applyAlignment="1">
      <alignment horizontal="left" vertical="center"/>
    </xf>
    <xf numFmtId="0" fontId="16" fillId="4" borderId="3" xfId="0" applyFont="1" applyFill="1" applyBorder="1" applyAlignment="1">
      <alignment horizontal="center" vertical="center"/>
    </xf>
    <xf numFmtId="14" fontId="37" fillId="0" borderId="2" xfId="0" applyNumberFormat="1" applyFont="1" applyBorder="1" applyAlignment="1">
      <alignment horizontal="center" vertical="center"/>
    </xf>
    <xf numFmtId="3" fontId="37" fillId="5" borderId="14" xfId="0" applyNumberFormat="1" applyFont="1" applyFill="1" applyBorder="1" applyAlignment="1">
      <alignment horizontal="center" vertical="center"/>
    </xf>
    <xf numFmtId="3" fontId="37" fillId="4" borderId="2" xfId="0" applyNumberFormat="1" applyFont="1" applyFill="1" applyBorder="1" applyAlignment="1">
      <alignment horizontal="center" vertical="center"/>
    </xf>
    <xf numFmtId="0" fontId="13" fillId="0" borderId="5" xfId="0" applyFont="1" applyBorder="1" applyAlignment="1">
      <alignment vertical="center"/>
    </xf>
    <xf numFmtId="0" fontId="13" fillId="4" borderId="5" xfId="1" applyFont="1" applyFill="1" applyBorder="1" applyAlignment="1">
      <alignment vertical="center"/>
    </xf>
    <xf numFmtId="0" fontId="13" fillId="4" borderId="15" xfId="1" applyFont="1" applyFill="1" applyBorder="1" applyAlignment="1">
      <alignment vertical="center"/>
    </xf>
    <xf numFmtId="3" fontId="34" fillId="5" borderId="14" xfId="0" applyNumberFormat="1" applyFont="1" applyFill="1" applyBorder="1" applyAlignment="1">
      <alignment horizontal="center" vertical="center"/>
    </xf>
    <xf numFmtId="14" fontId="26" fillId="3" borderId="12" xfId="0" applyNumberFormat="1" applyFont="1" applyFill="1" applyBorder="1" applyAlignment="1">
      <alignment horizontal="center" vertical="center" wrapText="1"/>
    </xf>
    <xf numFmtId="14" fontId="0" fillId="4" borderId="0" xfId="0" applyNumberFormat="1" applyFill="1"/>
    <xf numFmtId="14" fontId="31" fillId="4" borderId="5" xfId="0" applyNumberFormat="1" applyFont="1" applyFill="1" applyBorder="1" applyAlignment="1">
      <alignment vertical="center"/>
    </xf>
    <xf numFmtId="14" fontId="31" fillId="4" borderId="17" xfId="0" applyNumberFormat="1" applyFont="1" applyFill="1" applyBorder="1" applyAlignment="1">
      <alignment vertical="center"/>
    </xf>
    <xf numFmtId="14" fontId="13" fillId="0" borderId="5" xfId="0" applyNumberFormat="1" applyFont="1" applyBorder="1" applyAlignment="1">
      <alignment vertical="center"/>
    </xf>
    <xf numFmtId="0" fontId="0" fillId="0" borderId="2" xfId="0" applyBorder="1" applyAlignment="1">
      <alignment vertical="top"/>
    </xf>
    <xf numFmtId="0" fontId="0" fillId="0" borderId="2" xfId="0" applyBorder="1" applyAlignment="1"/>
    <xf numFmtId="0" fontId="0" fillId="4" borderId="2" xfId="0" applyFill="1" applyBorder="1" applyAlignment="1"/>
    <xf numFmtId="0" fontId="0" fillId="2" borderId="2" xfId="0" applyFill="1" applyBorder="1" applyAlignment="1"/>
    <xf numFmtId="14" fontId="0" fillId="0" borderId="1" xfId="0" applyNumberFormat="1" applyBorder="1" applyAlignment="1"/>
    <xf numFmtId="164" fontId="0" fillId="4" borderId="2" xfId="0" applyNumberFormat="1" applyFill="1" applyBorder="1" applyAlignment="1"/>
    <xf numFmtId="0" fontId="0" fillId="0" borderId="1" xfId="0" applyBorder="1" applyAlignment="1"/>
    <xf numFmtId="0" fontId="0" fillId="0" borderId="0" xfId="0" applyAlignment="1"/>
    <xf numFmtId="0" fontId="0" fillId="4" borderId="1" xfId="0" applyFill="1" applyBorder="1" applyAlignment="1"/>
    <xf numFmtId="164" fontId="20" fillId="0" borderId="1" xfId="3" applyFont="1" applyBorder="1" applyAlignment="1"/>
    <xf numFmtId="0" fontId="0" fillId="2" borderId="1" xfId="0" applyFill="1" applyBorder="1" applyAlignment="1"/>
    <xf numFmtId="164" fontId="0" fillId="0" borderId="2" xfId="0" applyNumberFormat="1" applyBorder="1" applyAlignment="1"/>
    <xf numFmtId="164" fontId="20" fillId="0" borderId="2" xfId="3" applyFont="1" applyBorder="1" applyAlignment="1"/>
    <xf numFmtId="3" fontId="0" fillId="0" borderId="1" xfId="0" applyNumberFormat="1" applyBorder="1" applyAlignment="1"/>
    <xf numFmtId="14" fontId="0" fillId="4" borderId="1" xfId="0" applyNumberFormat="1" applyFill="1" applyBorder="1" applyAlignment="1"/>
    <xf numFmtId="14" fontId="0" fillId="4" borderId="2" xfId="0" applyNumberFormat="1" applyFill="1" applyBorder="1" applyAlignment="1"/>
    <xf numFmtId="3" fontId="0" fillId="0" borderId="2" xfId="0" applyNumberFormat="1" applyBorder="1" applyAlignment="1"/>
    <xf numFmtId="14" fontId="0" fillId="0" borderId="2" xfId="0" applyNumberFormat="1" applyBorder="1" applyAlignment="1"/>
    <xf numFmtId="3" fontId="0" fillId="4" borderId="2" xfId="0" applyNumberFormat="1" applyFill="1" applyBorder="1" applyAlignment="1"/>
    <xf numFmtId="181" fontId="20" fillId="0" borderId="1" xfId="2" applyNumberFormat="1" applyFont="1" applyBorder="1" applyAlignment="1"/>
    <xf numFmtId="0" fontId="0" fillId="0" borderId="2" xfId="0" applyBorder="1" applyAlignment="1">
      <alignment horizontal="center"/>
    </xf>
    <xf numFmtId="0" fontId="36" fillId="4" borderId="2" xfId="0" applyFont="1" applyFill="1" applyBorder="1" applyAlignment="1">
      <alignment vertical="center"/>
    </xf>
    <xf numFmtId="0" fontId="36" fillId="4" borderId="3" xfId="0" applyFont="1" applyFill="1" applyBorder="1" applyAlignment="1">
      <alignment vertical="center"/>
    </xf>
    <xf numFmtId="164" fontId="20" fillId="4" borderId="1" xfId="3" applyFont="1" applyFill="1" applyBorder="1" applyAlignment="1"/>
    <xf numFmtId="2" fontId="20" fillId="0" borderId="2" xfId="2" applyNumberFormat="1" applyFont="1" applyBorder="1" applyAlignment="1"/>
    <xf numFmtId="0" fontId="37" fillId="0" borderId="2" xfId="0" applyFont="1" applyBorder="1" applyAlignment="1">
      <alignment horizontal="left" vertical="center"/>
    </xf>
    <xf numFmtId="3" fontId="0" fillId="4" borderId="2" xfId="0" applyNumberFormat="1" applyFill="1" applyBorder="1" applyAlignment="1">
      <alignment horizontal="center" vertical="center"/>
    </xf>
    <xf numFmtId="0" fontId="16" fillId="4" borderId="2" xfId="0" applyFont="1" applyFill="1" applyBorder="1" applyAlignment="1">
      <alignment horizontal="center" vertical="center"/>
    </xf>
    <xf numFmtId="0" fontId="34" fillId="0" borderId="1" xfId="0" applyFont="1" applyBorder="1" applyAlignment="1"/>
    <xf numFmtId="0" fontId="34" fillId="2" borderId="1" xfId="0" applyFont="1" applyFill="1" applyBorder="1" applyAlignment="1"/>
    <xf numFmtId="14" fontId="34" fillId="4" borderId="1" xfId="0" applyNumberFormat="1" applyFont="1" applyFill="1" applyBorder="1" applyAlignment="1"/>
    <xf numFmtId="0" fontId="34" fillId="4" borderId="1" xfId="0" applyFont="1" applyFill="1" applyBorder="1" applyAlignment="1"/>
    <xf numFmtId="0" fontId="34" fillId="0" borderId="0" xfId="0" applyFont="1" applyAlignment="1"/>
    <xf numFmtId="0" fontId="34" fillId="4" borderId="2" xfId="0" applyFont="1" applyFill="1" applyBorder="1" applyAlignment="1"/>
    <xf numFmtId="0" fontId="34" fillId="0" borderId="2" xfId="0" applyFont="1" applyBorder="1" applyAlignment="1"/>
    <xf numFmtId="14" fontId="14" fillId="0" borderId="1" xfId="0" applyNumberFormat="1" applyFont="1" applyBorder="1" applyAlignment="1"/>
    <xf numFmtId="0" fontId="14" fillId="2" borderId="1" xfId="0" applyFont="1" applyFill="1" applyBorder="1" applyAlignment="1"/>
    <xf numFmtId="0" fontId="14" fillId="0" borderId="1" xfId="0" applyFont="1" applyBorder="1" applyAlignment="1"/>
    <xf numFmtId="14" fontId="34" fillId="0" borderId="1" xfId="0" applyNumberFormat="1" applyFont="1" applyBorder="1" applyAlignment="1"/>
    <xf numFmtId="0" fontId="0" fillId="0" borderId="0" xfId="0" applyFill="1" applyAlignment="1">
      <alignment horizontal="left"/>
    </xf>
    <xf numFmtId="0" fontId="26" fillId="3" borderId="12" xfId="0" applyFont="1" applyFill="1" applyBorder="1" applyAlignment="1">
      <alignment horizontal="left" vertical="center" wrapText="1"/>
    </xf>
    <xf numFmtId="0" fontId="0" fillId="2" borderId="1" xfId="0" applyFill="1" applyBorder="1" applyAlignment="1">
      <alignment horizontal="left"/>
    </xf>
    <xf numFmtId="0" fontId="13" fillId="2" borderId="5" xfId="0" applyFont="1" applyFill="1" applyBorder="1" applyAlignment="1">
      <alignment horizontal="left" vertical="center"/>
    </xf>
    <xf numFmtId="0" fontId="34" fillId="2" borderId="20" xfId="0" applyFont="1" applyFill="1" applyBorder="1" applyAlignment="1">
      <alignment horizontal="left" vertical="center"/>
    </xf>
    <xf numFmtId="0" fontId="35" fillId="2" borderId="20" xfId="0" applyFont="1" applyFill="1" applyBorder="1" applyAlignment="1">
      <alignment horizontal="left" vertical="center"/>
    </xf>
    <xf numFmtId="0" fontId="0" fillId="2" borderId="2" xfId="0" applyFill="1" applyBorder="1" applyAlignment="1">
      <alignment horizontal="left"/>
    </xf>
    <xf numFmtId="0" fontId="37" fillId="2" borderId="2" xfId="0" applyFont="1" applyFill="1" applyBorder="1" applyAlignment="1">
      <alignment horizontal="left" vertical="center"/>
    </xf>
    <xf numFmtId="0" fontId="34" fillId="2" borderId="1" xfId="0" applyFont="1" applyFill="1" applyBorder="1" applyAlignment="1">
      <alignment horizontal="left"/>
    </xf>
    <xf numFmtId="0" fontId="0" fillId="2" borderId="0" xfId="0" applyFill="1" applyAlignment="1">
      <alignment horizontal="left"/>
    </xf>
    <xf numFmtId="181" fontId="31" fillId="0" borderId="5" xfId="2" applyNumberFormat="1" applyFont="1" applyBorder="1" applyAlignment="1">
      <alignment horizontal="center" vertical="center"/>
    </xf>
    <xf numFmtId="181" fontId="31" fillId="0" borderId="17" xfId="2" applyNumberFormat="1" applyFont="1" applyBorder="1" applyAlignment="1">
      <alignment horizontal="center" vertical="center"/>
    </xf>
    <xf numFmtId="181" fontId="31" fillId="0" borderId="20" xfId="2" applyNumberFormat="1" applyFont="1" applyBorder="1" applyAlignment="1">
      <alignment horizontal="center" vertical="center"/>
    </xf>
    <xf numFmtId="181" fontId="34" fillId="0" borderId="20" xfId="2" applyNumberFormat="1" applyFont="1" applyBorder="1" applyAlignment="1">
      <alignment horizontal="center" vertical="center"/>
    </xf>
    <xf numFmtId="181" fontId="20" fillId="0" borderId="0" xfId="2" applyNumberFormat="1" applyFont="1" applyFill="1" applyAlignment="1">
      <alignment horizontal="center"/>
    </xf>
    <xf numFmtId="181" fontId="22" fillId="3" borderId="5" xfId="2" applyNumberFormat="1" applyFont="1" applyFill="1" applyBorder="1" applyAlignment="1">
      <alignment horizontal="center" vertical="center"/>
    </xf>
    <xf numFmtId="181" fontId="27" fillId="3" borderId="1" xfId="2" applyNumberFormat="1" applyFont="1" applyFill="1" applyBorder="1" applyAlignment="1">
      <alignment horizontal="center" vertical="center" wrapText="1"/>
    </xf>
    <xf numFmtId="181" fontId="20" fillId="3" borderId="1" xfId="2" applyNumberFormat="1" applyFont="1" applyFill="1" applyBorder="1" applyAlignment="1">
      <alignment horizontal="center"/>
    </xf>
    <xf numFmtId="181" fontId="29" fillId="0" borderId="1" xfId="2" applyNumberFormat="1" applyFont="1" applyFill="1" applyBorder="1" applyAlignment="1">
      <alignment horizontal="center" vertical="center" wrapText="1"/>
    </xf>
    <xf numFmtId="181" fontId="8" fillId="3" borderId="12" xfId="2" applyNumberFormat="1" applyFont="1" applyFill="1" applyBorder="1" applyAlignment="1">
      <alignment horizontal="center" vertical="center" wrapText="1"/>
    </xf>
    <xf numFmtId="181" fontId="20" fillId="0" borderId="1" xfId="2" applyNumberFormat="1" applyFont="1" applyBorder="1" applyAlignment="1">
      <alignment horizontal="center" vertical="center"/>
    </xf>
    <xf numFmtId="181" fontId="20" fillId="0" borderId="1" xfId="2" applyNumberFormat="1" applyFont="1" applyBorder="1" applyAlignment="1">
      <alignment horizontal="center"/>
    </xf>
    <xf numFmtId="181" fontId="20" fillId="0" borderId="1" xfId="2" applyNumberFormat="1" applyFont="1" applyBorder="1" applyAlignment="1">
      <alignment horizontal="center" vertical="center"/>
    </xf>
    <xf numFmtId="181" fontId="37" fillId="0" borderId="1" xfId="2" applyNumberFormat="1" applyFont="1" applyBorder="1" applyAlignment="1">
      <alignment horizontal="center" vertical="center"/>
    </xf>
    <xf numFmtId="181" fontId="34" fillId="0" borderId="1" xfId="2" applyNumberFormat="1" applyFont="1" applyBorder="1" applyAlignment="1">
      <alignment horizontal="center"/>
    </xf>
    <xf numFmtId="181" fontId="20" fillId="0" borderId="0" xfId="2" applyNumberFormat="1" applyFont="1" applyAlignment="1">
      <alignment horizontal="center"/>
    </xf>
    <xf numFmtId="0" fontId="0" fillId="0" borderId="0" xfId="0" applyFill="1" applyAlignment="1">
      <alignment horizontal="center"/>
    </xf>
    <xf numFmtId="0" fontId="3" fillId="3" borderId="6" xfId="0" applyFont="1" applyFill="1" applyBorder="1" applyAlignment="1">
      <alignment horizontal="center" vertical="center" wrapText="1"/>
    </xf>
    <xf numFmtId="0" fontId="27" fillId="3" borderId="9" xfId="0" applyFont="1" applyFill="1" applyBorder="1" applyAlignment="1">
      <alignment horizontal="center" vertical="center" wrapText="1"/>
    </xf>
    <xf numFmtId="0" fontId="0" fillId="0" borderId="0" xfId="0" applyFill="1" applyAlignment="1">
      <alignment horizontal="center"/>
    </xf>
    <xf numFmtId="0" fontId="0" fillId="2" borderId="1" xfId="0" applyFill="1" applyBorder="1" applyAlignment="1">
      <alignment horizontal="center"/>
    </xf>
    <xf numFmtId="0" fontId="0" fillId="2" borderId="0" xfId="0" applyFill="1" applyAlignment="1">
      <alignment horizontal="center"/>
    </xf>
    <xf numFmtId="14" fontId="0" fillId="0" borderId="0" xfId="0" applyNumberFormat="1" applyFill="1" applyAlignment="1">
      <alignment horizontal="center"/>
    </xf>
    <xf numFmtId="14" fontId="3" fillId="3" borderId="6" xfId="0" applyNumberFormat="1" applyFont="1" applyFill="1" applyBorder="1" applyAlignment="1">
      <alignment horizontal="center" vertical="center" wrapText="1"/>
    </xf>
    <xf numFmtId="14" fontId="0" fillId="4" borderId="1" xfId="0" applyNumberFormat="1" applyFill="1" applyBorder="1" applyAlignment="1">
      <alignment horizontal="center"/>
    </xf>
    <xf numFmtId="14" fontId="0" fillId="4" borderId="0" xfId="0" applyNumberFormat="1" applyFill="1" applyAlignment="1">
      <alignment horizontal="center"/>
    </xf>
    <xf numFmtId="0" fontId="0" fillId="4" borderId="1" xfId="0" applyFill="1" applyBorder="1" applyAlignment="1">
      <alignment horizontal="center"/>
    </xf>
    <xf numFmtId="0" fontId="0" fillId="4" borderId="0" xfId="0" applyFill="1" applyAlignment="1">
      <alignment horizontal="center"/>
    </xf>
    <xf numFmtId="0" fontId="27" fillId="3" borderId="9" xfId="0" applyFont="1" applyFill="1" applyBorder="1" applyAlignment="1">
      <alignment horizontal="center" vertical="center" wrapText="1"/>
    </xf>
    <xf numFmtId="0" fontId="0" fillId="0" borderId="0" xfId="0" applyFill="1" applyAlignment="1">
      <alignment horizontal="center"/>
    </xf>
    <xf numFmtId="0" fontId="3" fillId="3" borderId="6" xfId="0" applyFont="1" applyFill="1" applyBorder="1" applyAlignment="1">
      <alignment horizontal="center" vertical="center" wrapText="1"/>
    </xf>
    <xf numFmtId="181" fontId="20" fillId="0" borderId="0" xfId="2" applyNumberFormat="1" applyFont="1" applyFill="1"/>
    <xf numFmtId="181" fontId="27" fillId="3" borderId="6" xfId="2" applyNumberFormat="1" applyFont="1" applyFill="1" applyBorder="1" applyAlignment="1">
      <alignment horizontal="center" vertical="center" wrapText="1"/>
    </xf>
    <xf numFmtId="181" fontId="27" fillId="3" borderId="6" xfId="2" applyNumberFormat="1" applyFont="1" applyFill="1" applyBorder="1" applyAlignment="1">
      <alignment vertical="center" wrapText="1"/>
    </xf>
    <xf numFmtId="181" fontId="26" fillId="3" borderId="12" xfId="2" applyNumberFormat="1" applyFont="1" applyFill="1" applyBorder="1" applyAlignment="1">
      <alignment horizontal="center" vertical="center" wrapText="1"/>
    </xf>
    <xf numFmtId="181" fontId="20" fillId="0" borderId="2" xfId="2" applyNumberFormat="1" applyFont="1" applyBorder="1" applyAlignment="1"/>
    <xf numFmtId="181" fontId="20" fillId="0" borderId="0" xfId="2" applyNumberFormat="1" applyFont="1"/>
    <xf numFmtId="181" fontId="27" fillId="3" borderId="1" xfId="2" applyNumberFormat="1" applyFont="1" applyFill="1" applyBorder="1" applyAlignment="1">
      <alignment vertical="center" wrapText="1"/>
    </xf>
    <xf numFmtId="181" fontId="20" fillId="4" borderId="2" xfId="2" applyNumberFormat="1" applyFont="1" applyFill="1" applyBorder="1" applyAlignment="1"/>
    <xf numFmtId="181" fontId="27" fillId="3" borderId="6" xfId="2" applyNumberFormat="1" applyFont="1" applyFill="1" applyBorder="1" applyAlignment="1">
      <alignment horizontal="center" vertical="center" wrapText="1"/>
    </xf>
    <xf numFmtId="0" fontId="24" fillId="3" borderId="5" xfId="0" applyFont="1" applyFill="1" applyBorder="1" applyAlignment="1">
      <alignment horizontal="left" vertical="center"/>
    </xf>
    <xf numFmtId="0" fontId="0" fillId="0" borderId="0" xfId="0" applyAlignment="1">
      <alignment horizontal="left"/>
    </xf>
    <xf numFmtId="0" fontId="27" fillId="3" borderId="6" xfId="0" applyFont="1" applyFill="1" applyBorder="1" applyAlignment="1">
      <alignment horizontal="left" vertical="center" wrapText="1"/>
    </xf>
    <xf numFmtId="0" fontId="8" fillId="3" borderId="12" xfId="0" applyFont="1" applyFill="1" applyBorder="1" applyAlignment="1">
      <alignment horizontal="left" vertical="center" wrapText="1"/>
    </xf>
    <xf numFmtId="0" fontId="0" fillId="0" borderId="1" xfId="0" applyBorder="1" applyAlignment="1">
      <alignment horizontal="left"/>
    </xf>
    <xf numFmtId="0" fontId="0" fillId="0" borderId="1" xfId="0" applyBorder="1" applyAlignment="1">
      <alignment horizontal="center"/>
    </xf>
    <xf numFmtId="0" fontId="0" fillId="0" borderId="0" xfId="0" applyAlignment="1">
      <alignment horizontal="center"/>
    </xf>
    <xf numFmtId="14" fontId="0" fillId="0" borderId="0" xfId="0" applyNumberFormat="1" applyFill="1" applyAlignment="1">
      <alignment horizontal="left"/>
    </xf>
    <xf numFmtId="14" fontId="26" fillId="3" borderId="12" xfId="0" applyNumberFormat="1" applyFont="1" applyFill="1" applyBorder="1" applyAlignment="1">
      <alignment horizontal="left" vertical="center"/>
    </xf>
    <xf numFmtId="14" fontId="0" fillId="0" borderId="2" xfId="0" applyNumberFormat="1" applyBorder="1" applyAlignment="1">
      <alignment horizontal="left" vertical="center"/>
    </xf>
    <xf numFmtId="14" fontId="0" fillId="0" borderId="1" xfId="0" applyNumberFormat="1" applyBorder="1" applyAlignment="1">
      <alignment horizontal="left"/>
    </xf>
    <xf numFmtId="14" fontId="0" fillId="0" borderId="1" xfId="0" applyNumberFormat="1" applyBorder="1" applyAlignment="1">
      <alignment horizontal="left" vertical="center"/>
    </xf>
    <xf numFmtId="14" fontId="0" fillId="0" borderId="1" xfId="0" applyNumberFormat="1" applyBorder="1" applyAlignment="1">
      <alignment horizontal="left" vertical="top"/>
    </xf>
    <xf numFmtId="14" fontId="32" fillId="0" borderId="5" xfId="0" applyNumberFormat="1" applyFont="1" applyBorder="1" applyAlignment="1">
      <alignment horizontal="left" vertical="center"/>
    </xf>
    <xf numFmtId="14" fontId="32" fillId="0" borderId="17" xfId="0" applyNumberFormat="1" applyFont="1" applyBorder="1" applyAlignment="1">
      <alignment horizontal="left" vertical="center"/>
    </xf>
    <xf numFmtId="14" fontId="32" fillId="0" borderId="20" xfId="0" applyNumberFormat="1" applyFont="1" applyBorder="1" applyAlignment="1">
      <alignment horizontal="left" vertical="center"/>
    </xf>
    <xf numFmtId="14" fontId="34" fillId="0" borderId="20" xfId="0" applyNumberFormat="1" applyFont="1" applyBorder="1" applyAlignment="1">
      <alignment horizontal="left" vertical="center"/>
    </xf>
    <xf numFmtId="14" fontId="35" fillId="0" borderId="20" xfId="0" applyNumberFormat="1" applyFont="1" applyBorder="1" applyAlignment="1">
      <alignment horizontal="left" vertical="center"/>
    </xf>
    <xf numFmtId="14" fontId="0" fillId="0" borderId="2" xfId="0" applyNumberFormat="1" applyBorder="1" applyAlignment="1">
      <alignment horizontal="left"/>
    </xf>
    <xf numFmtId="14" fontId="37" fillId="0" borderId="2" xfId="0" applyNumberFormat="1" applyFont="1" applyBorder="1" applyAlignment="1">
      <alignment horizontal="left" vertical="center"/>
    </xf>
    <xf numFmtId="14" fontId="13" fillId="0" borderId="5" xfId="0" applyNumberFormat="1" applyFont="1" applyBorder="1" applyAlignment="1">
      <alignment horizontal="left" vertical="center"/>
    </xf>
    <xf numFmtId="14" fontId="14" fillId="0" borderId="1" xfId="0" applyNumberFormat="1" applyFont="1" applyBorder="1" applyAlignment="1">
      <alignment horizontal="left"/>
    </xf>
    <xf numFmtId="14" fontId="34" fillId="0" borderId="1" xfId="0" applyNumberFormat="1" applyFont="1" applyBorder="1" applyAlignment="1">
      <alignment horizontal="left"/>
    </xf>
    <xf numFmtId="14" fontId="0" fillId="0" borderId="0" xfId="0" applyNumberFormat="1" applyAlignment="1">
      <alignment horizontal="left"/>
    </xf>
    <xf numFmtId="181" fontId="20" fillId="0" borderId="0" xfId="2" applyNumberFormat="1" applyFont="1" applyFill="1" applyAlignment="1">
      <alignment horizontal="center"/>
    </xf>
    <xf numFmtId="181" fontId="20" fillId="3" borderId="0" xfId="2" applyNumberFormat="1" applyFont="1" applyFill="1" applyAlignment="1">
      <alignment horizontal="center"/>
    </xf>
    <xf numFmtId="181" fontId="20" fillId="0" borderId="1" xfId="2" applyNumberFormat="1" applyFont="1" applyBorder="1" applyAlignment="1">
      <alignment horizontal="center"/>
    </xf>
    <xf numFmtId="181" fontId="20" fillId="0" borderId="2" xfId="2" applyNumberFormat="1" applyFont="1" applyBorder="1" applyAlignment="1">
      <alignment horizontal="center"/>
    </xf>
    <xf numFmtId="181" fontId="20" fillId="0" borderId="2" xfId="2" applyNumberFormat="1" applyFont="1" applyBorder="1" applyAlignment="1">
      <alignment horizontal="center" vertical="center"/>
    </xf>
    <xf numFmtId="181" fontId="20" fillId="0" borderId="0" xfId="2" applyNumberFormat="1" applyFont="1" applyAlignment="1">
      <alignment horizontal="center"/>
    </xf>
    <xf numFmtId="0" fontId="0" fillId="2" borderId="1" xfId="0" applyFill="1" applyBorder="1" applyAlignment="1">
      <alignment horizontal="left" vertical="top"/>
    </xf>
    <xf numFmtId="0" fontId="32" fillId="2" borderId="5" xfId="0" applyFont="1" applyFill="1" applyBorder="1" applyAlignment="1">
      <alignment horizontal="left" vertical="center"/>
    </xf>
    <xf numFmtId="0" fontId="32" fillId="2" borderId="17" xfId="0" applyFont="1" applyFill="1" applyBorder="1" applyAlignment="1">
      <alignment horizontal="left" vertical="center"/>
    </xf>
    <xf numFmtId="0" fontId="32" fillId="2" borderId="20" xfId="0" applyFont="1" applyFill="1" applyBorder="1" applyAlignment="1">
      <alignment horizontal="left" vertical="center"/>
    </xf>
    <xf numFmtId="0" fontId="14" fillId="2" borderId="1" xfId="0" applyFont="1" applyFill="1" applyBorder="1" applyAlignment="1">
      <alignment horizontal="left"/>
    </xf>
    <xf numFmtId="0" fontId="0" fillId="2" borderId="2" xfId="0" applyFill="1" applyBorder="1" applyAlignment="1">
      <alignment horizontal="left" vertical="top"/>
    </xf>
    <xf numFmtId="0" fontId="14" fillId="2" borderId="2" xfId="0" applyFont="1" applyFill="1" applyBorder="1" applyAlignment="1">
      <alignment horizontal="left"/>
    </xf>
    <xf numFmtId="0" fontId="34" fillId="2" borderId="2" xfId="0" applyFont="1" applyFill="1" applyBorder="1" applyAlignment="1">
      <alignment horizontal="left"/>
    </xf>
    <xf numFmtId="181" fontId="20" fillId="0" borderId="1" xfId="2" applyNumberFormat="1" applyFont="1" applyBorder="1" applyAlignment="1">
      <alignment horizontal="center" vertical="top"/>
    </xf>
    <xf numFmtId="181" fontId="20" fillId="0" borderId="1" xfId="2" applyNumberFormat="1" applyFont="1" applyBorder="1" applyAlignment="1">
      <alignment horizontal="center"/>
    </xf>
    <xf numFmtId="181" fontId="20" fillId="0" borderId="2" xfId="2" applyNumberFormat="1" applyFont="1" applyBorder="1" applyAlignment="1">
      <alignment horizontal="center" vertical="center"/>
    </xf>
    <xf numFmtId="181" fontId="20" fillId="0" borderId="1" xfId="2" applyNumberFormat="1" applyFont="1" applyBorder="1" applyAlignment="1">
      <alignment horizontal="center" vertical="center"/>
    </xf>
    <xf numFmtId="181" fontId="28" fillId="4" borderId="3" xfId="2" applyNumberFormat="1" applyFont="1" applyFill="1" applyBorder="1" applyAlignment="1">
      <alignment horizontal="center" vertical="center"/>
    </xf>
    <xf numFmtId="181" fontId="37" fillId="0" borderId="2" xfId="2" applyNumberFormat="1" applyFont="1" applyBorder="1" applyAlignment="1">
      <alignment horizontal="center" vertical="center"/>
    </xf>
    <xf numFmtId="14" fontId="29" fillId="0" borderId="10" xfId="0" applyNumberFormat="1" applyFont="1" applyFill="1" applyBorder="1" applyAlignment="1">
      <alignment horizontal="center" vertical="center" wrapText="1"/>
    </xf>
    <xf numFmtId="14" fontId="0" fillId="0" borderId="1" xfId="0" applyNumberFormat="1" applyBorder="1" applyAlignment="1">
      <alignment horizontal="center"/>
    </xf>
    <xf numFmtId="14" fontId="0" fillId="0" borderId="0" xfId="0" applyNumberFormat="1" applyAlignment="1">
      <alignment horizontal="center"/>
    </xf>
    <xf numFmtId="181" fontId="20" fillId="0" borderId="1" xfId="2" applyNumberFormat="1" applyFont="1" applyBorder="1"/>
    <xf numFmtId="181" fontId="20" fillId="0" borderId="1" xfId="2" applyNumberFormat="1" applyFont="1" applyBorder="1" applyAlignment="1">
      <alignment horizontal="left"/>
    </xf>
    <xf numFmtId="181" fontId="20" fillId="0" borderId="1" xfId="2" applyNumberFormat="1" applyFont="1" applyBorder="1" applyAlignment="1">
      <alignment horizontal="center"/>
    </xf>
    <xf numFmtId="181" fontId="20" fillId="0" borderId="0" xfId="2" applyNumberFormat="1" applyFont="1"/>
    <xf numFmtId="0" fontId="27" fillId="3" borderId="9" xfId="0" applyFont="1" applyFill="1" applyBorder="1" applyAlignment="1">
      <alignment horizontal="center" vertical="center" wrapText="1"/>
    </xf>
    <xf numFmtId="0" fontId="27" fillId="3" borderId="8" xfId="0" applyFont="1" applyFill="1" applyBorder="1" applyAlignment="1">
      <alignment horizontal="center" vertical="center" wrapText="1"/>
    </xf>
    <xf numFmtId="0" fontId="27" fillId="3" borderId="6" xfId="0" applyFont="1" applyFill="1" applyBorder="1" applyAlignment="1">
      <alignment horizontal="center" vertical="center" wrapText="1"/>
    </xf>
    <xf numFmtId="0" fontId="38" fillId="3" borderId="6" xfId="0" applyFont="1" applyFill="1" applyBorder="1" applyAlignment="1">
      <alignment horizontal="center" vertical="center" wrapText="1"/>
    </xf>
    <xf numFmtId="0" fontId="4" fillId="3" borderId="6" xfId="0" applyFont="1" applyFill="1" applyBorder="1" applyAlignment="1">
      <alignment horizontal="center" vertical="center" wrapText="1"/>
    </xf>
    <xf numFmtId="0" fontId="0" fillId="0" borderId="0" xfId="0" applyFill="1" applyAlignment="1">
      <alignment horizontal="center"/>
    </xf>
    <xf numFmtId="181" fontId="27" fillId="3" borderId="6" xfId="2" applyNumberFormat="1" applyFont="1" applyFill="1" applyBorder="1" applyAlignment="1">
      <alignment horizontal="center" vertical="center" wrapText="1"/>
    </xf>
    <xf numFmtId="0" fontId="39" fillId="0" borderId="0" xfId="0" applyFont="1" applyAlignment="1">
      <alignment horizontal="justify" vertical="center"/>
    </xf>
    <xf numFmtId="0" fontId="40" fillId="6" borderId="22" xfId="0" applyFont="1" applyFill="1" applyBorder="1" applyAlignment="1">
      <alignment vertical="center" wrapText="1"/>
    </xf>
    <xf numFmtId="0" fontId="41" fillId="6" borderId="23" xfId="0" applyFont="1" applyFill="1" applyBorder="1" applyAlignment="1">
      <alignment horizontal="center" vertical="center" wrapText="1"/>
    </xf>
    <xf numFmtId="0" fontId="41" fillId="6" borderId="24" xfId="0" applyFont="1" applyFill="1" applyBorder="1" applyAlignment="1">
      <alignment horizontal="center" vertical="center" wrapText="1"/>
    </xf>
    <xf numFmtId="0" fontId="40" fillId="0" borderId="23" xfId="0" applyFont="1" applyBorder="1" applyAlignment="1">
      <alignment horizontal="center" vertical="center"/>
    </xf>
    <xf numFmtId="0" fontId="42" fillId="0" borderId="24" xfId="0" applyFont="1" applyBorder="1" applyAlignment="1">
      <alignment horizontal="center" vertical="center"/>
    </xf>
    <xf numFmtId="0" fontId="41" fillId="0" borderId="24" xfId="0" applyFont="1" applyBorder="1" applyAlignment="1">
      <alignment horizontal="center" vertical="center"/>
    </xf>
    <xf numFmtId="0" fontId="43" fillId="0" borderId="24" xfId="0" applyFont="1" applyBorder="1" applyAlignment="1">
      <alignment horizontal="center" vertical="center"/>
    </xf>
    <xf numFmtId="0" fontId="44" fillId="0" borderId="0" xfId="0" applyFont="1" applyAlignment="1">
      <alignment vertical="center"/>
    </xf>
    <xf numFmtId="0" fontId="45" fillId="0" borderId="0" xfId="0" applyFont="1" applyAlignment="1">
      <alignment vertical="center"/>
    </xf>
    <xf numFmtId="0" fontId="28" fillId="0" borderId="0" xfId="0" applyFont="1" applyAlignment="1">
      <alignment horizontal="justify" vertical="center"/>
    </xf>
    <xf numFmtId="0" fontId="46" fillId="7" borderId="24" xfId="0" applyFont="1" applyFill="1" applyBorder="1" applyAlignment="1">
      <alignment horizontal="center" vertical="center" wrapText="1"/>
    </xf>
    <xf numFmtId="0" fontId="40" fillId="0" borderId="23" xfId="0" applyFont="1" applyBorder="1" applyAlignment="1">
      <alignment horizontal="center" vertical="center" wrapText="1"/>
    </xf>
    <xf numFmtId="0" fontId="47" fillId="0" borderId="0" xfId="0" applyFont="1" applyAlignment="1">
      <alignment vertical="center"/>
    </xf>
    <xf numFmtId="0" fontId="48" fillId="7" borderId="24" xfId="0" applyFont="1" applyFill="1" applyBorder="1" applyAlignment="1">
      <alignment horizontal="center" vertical="center" wrapText="1"/>
    </xf>
    <xf numFmtId="0" fontId="49" fillId="0" borderId="23" xfId="0" applyFont="1" applyBorder="1" applyAlignment="1">
      <alignment horizontal="center" vertical="center"/>
    </xf>
    <xf numFmtId="0" fontId="49" fillId="0" borderId="24" xfId="0" applyFont="1" applyBorder="1" applyAlignment="1">
      <alignment horizontal="center" vertical="center"/>
    </xf>
    <xf numFmtId="0" fontId="50" fillId="0" borderId="0" xfId="0" applyFont="1" applyAlignment="1">
      <alignment vertical="center"/>
    </xf>
    <xf numFmtId="0" fontId="51" fillId="0" borderId="0" xfId="0" applyFont="1" applyAlignment="1">
      <alignment vertical="center"/>
    </xf>
    <xf numFmtId="0" fontId="52" fillId="6" borderId="25" xfId="0" applyFont="1" applyFill="1" applyBorder="1" applyAlignment="1">
      <alignment horizontal="center" vertical="center" wrapText="1"/>
    </xf>
    <xf numFmtId="0" fontId="52" fillId="6" borderId="26" xfId="0" applyFont="1" applyFill="1" applyBorder="1" applyAlignment="1">
      <alignment horizontal="center" vertical="center" wrapText="1"/>
    </xf>
    <xf numFmtId="0" fontId="53" fillId="7" borderId="27" xfId="0" applyFont="1" applyFill="1" applyBorder="1" applyAlignment="1">
      <alignment horizontal="center" vertical="center" wrapText="1"/>
    </xf>
    <xf numFmtId="0" fontId="0" fillId="6" borderId="23" xfId="0" applyFill="1" applyBorder="1" applyAlignment="1">
      <alignment vertical="center" wrapText="1"/>
    </xf>
    <xf numFmtId="0" fontId="53" fillId="7" borderId="24" xfId="0" applyFont="1" applyFill="1" applyBorder="1" applyAlignment="1">
      <alignment horizontal="center" vertical="center" wrapText="1"/>
    </xf>
    <xf numFmtId="3" fontId="54" fillId="0" borderId="24" xfId="0" applyNumberFormat="1" applyFont="1" applyBorder="1" applyAlignment="1">
      <alignment horizontal="center" vertical="center"/>
    </xf>
    <xf numFmtId="3" fontId="54" fillId="0" borderId="24" xfId="0" applyNumberFormat="1" applyFont="1" applyBorder="1" applyAlignment="1">
      <alignment horizontal="center" vertical="center" wrapText="1"/>
    </xf>
    <xf numFmtId="3" fontId="49" fillId="0" borderId="24" xfId="0" applyNumberFormat="1" applyFont="1" applyBorder="1" applyAlignment="1">
      <alignment horizontal="center" vertical="center" wrapText="1"/>
    </xf>
    <xf numFmtId="3" fontId="49" fillId="0" borderId="24" xfId="0" applyNumberFormat="1" applyFont="1" applyBorder="1" applyAlignment="1">
      <alignment horizontal="center" vertical="center"/>
    </xf>
    <xf numFmtId="0" fontId="24" fillId="3" borderId="16" xfId="0" applyFont="1" applyFill="1" applyBorder="1" applyAlignment="1">
      <alignment horizontal="center" vertical="center"/>
    </xf>
    <xf numFmtId="0" fontId="29" fillId="0" borderId="6" xfId="0" applyFont="1" applyFill="1" applyBorder="1" applyAlignment="1">
      <alignment horizontal="left" vertical="center" wrapText="1"/>
    </xf>
    <xf numFmtId="0" fontId="26" fillId="8" borderId="1" xfId="0" applyFont="1" applyFill="1" applyBorder="1" applyAlignment="1">
      <alignment horizontal="center" vertical="center"/>
    </xf>
    <xf numFmtId="0" fontId="26" fillId="8" borderId="1" xfId="0" applyFont="1" applyFill="1" applyBorder="1" applyAlignment="1">
      <alignment horizontal="left" vertical="center"/>
    </xf>
    <xf numFmtId="14" fontId="26" fillId="8" borderId="1" xfId="0" applyNumberFormat="1" applyFont="1" applyFill="1" applyBorder="1" applyAlignment="1">
      <alignment horizontal="center" vertical="center"/>
    </xf>
    <xf numFmtId="0" fontId="0" fillId="8" borderId="1" xfId="0" applyFill="1" applyBorder="1" applyAlignment="1"/>
    <xf numFmtId="0" fontId="0" fillId="8" borderId="1" xfId="0" applyFill="1" applyBorder="1" applyAlignment="1">
      <alignment horizontal="center"/>
    </xf>
    <xf numFmtId="14" fontId="0" fillId="8" borderId="1" xfId="0" applyNumberFormat="1" applyFill="1" applyBorder="1" applyAlignment="1">
      <alignment horizontal="center"/>
    </xf>
    <xf numFmtId="0" fontId="0" fillId="8" borderId="1" xfId="0" applyFill="1" applyBorder="1" applyAlignment="1">
      <alignment horizontal="left"/>
    </xf>
    <xf numFmtId="181" fontId="20" fillId="8" borderId="1" xfId="2" applyNumberFormat="1" applyFont="1" applyFill="1" applyBorder="1" applyAlignment="1">
      <alignment horizontal="center"/>
    </xf>
    <xf numFmtId="14" fontId="0" fillId="8" borderId="1" xfId="0" applyNumberFormat="1" applyFill="1" applyBorder="1" applyAlignment="1"/>
    <xf numFmtId="0" fontId="0" fillId="8" borderId="2" xfId="0" applyFill="1" applyBorder="1" applyAlignment="1"/>
    <xf numFmtId="0" fontId="0" fillId="8" borderId="2" xfId="0" applyFill="1" applyBorder="1" applyAlignment="1">
      <alignment horizontal="left"/>
    </xf>
    <xf numFmtId="14" fontId="0" fillId="8" borderId="1" xfId="0" applyNumberFormat="1" applyFill="1" applyBorder="1" applyAlignment="1">
      <alignment horizontal="left"/>
    </xf>
    <xf numFmtId="3" fontId="0" fillId="8" borderId="14" xfId="0" applyNumberFormat="1" applyFill="1" applyBorder="1" applyAlignment="1">
      <alignment horizontal="center" vertical="center"/>
    </xf>
    <xf numFmtId="0" fontId="0" fillId="8" borderId="0" xfId="0" applyFill="1" applyAlignment="1"/>
    <xf numFmtId="0" fontId="55" fillId="0" borderId="0" xfId="0" applyFont="1" applyAlignment="1">
      <alignment vertical="center"/>
    </xf>
    <xf numFmtId="0" fontId="0" fillId="9" borderId="1" xfId="0" applyFill="1" applyBorder="1"/>
    <xf numFmtId="0" fontId="0" fillId="9" borderId="9" xfId="0" applyFill="1" applyBorder="1"/>
    <xf numFmtId="189" fontId="0" fillId="0" borderId="1" xfId="0" applyNumberFormat="1" applyBorder="1"/>
    <xf numFmtId="0" fontId="0" fillId="9" borderId="0" xfId="0" applyFill="1"/>
    <xf numFmtId="181" fontId="20" fillId="0" borderId="1" xfId="2" applyNumberFormat="1" applyFont="1" applyBorder="1"/>
    <xf numFmtId="0" fontId="46" fillId="10" borderId="24" xfId="0" applyFont="1" applyFill="1" applyBorder="1" applyAlignment="1">
      <alignment horizontal="center" vertical="center" wrapText="1"/>
    </xf>
    <xf numFmtId="0" fontId="41" fillId="10" borderId="24" xfId="0" applyFont="1" applyFill="1" applyBorder="1" applyAlignment="1">
      <alignment horizontal="center" vertical="center"/>
    </xf>
    <xf numFmtId="189" fontId="41" fillId="0" borderId="24" xfId="0" applyNumberFormat="1" applyFont="1" applyBorder="1" applyAlignment="1">
      <alignment horizontal="center" vertical="center"/>
    </xf>
    <xf numFmtId="0" fontId="29" fillId="0" borderId="10" xfId="0" applyFont="1" applyFill="1" applyBorder="1" applyAlignment="1">
      <alignment horizontal="center" vertical="center" wrapText="1"/>
    </xf>
    <xf numFmtId="0" fontId="38" fillId="3" borderId="9" xfId="0" applyFont="1" applyFill="1" applyBorder="1" applyAlignment="1">
      <alignment horizontal="left" vertical="center" wrapText="1"/>
    </xf>
    <xf numFmtId="14" fontId="38" fillId="3" borderId="6" xfId="0" applyNumberFormat="1" applyFont="1" applyFill="1" applyBorder="1" applyAlignment="1">
      <alignment horizontal="center" vertical="center" wrapText="1"/>
    </xf>
    <xf numFmtId="0" fontId="38" fillId="3" borderId="6" xfId="0" applyFont="1" applyFill="1" applyBorder="1" applyAlignment="1">
      <alignment horizontal="center" vertical="center" wrapText="1"/>
    </xf>
    <xf numFmtId="0" fontId="38" fillId="3" borderId="8" xfId="0" applyFont="1" applyFill="1" applyBorder="1" applyAlignment="1">
      <alignment horizontal="center" vertical="center" wrapText="1"/>
    </xf>
    <xf numFmtId="0" fontId="4" fillId="3" borderId="9" xfId="0" applyFont="1" applyFill="1" applyBorder="1" applyAlignment="1">
      <alignment horizontal="left" vertical="center" wrapText="1"/>
    </xf>
    <xf numFmtId="14" fontId="4" fillId="3" borderId="6" xfId="0" applyNumberFormat="1" applyFont="1" applyFill="1" applyBorder="1" applyAlignment="1">
      <alignment horizontal="center" vertical="center" wrapText="1"/>
    </xf>
    <xf numFmtId="0" fontId="4" fillId="3" borderId="6" xfId="0" applyFont="1" applyFill="1" applyBorder="1" applyAlignment="1">
      <alignment horizontal="center" vertical="center" wrapText="1"/>
    </xf>
    <xf numFmtId="0" fontId="4" fillId="3" borderId="8" xfId="0" applyFont="1" applyFill="1" applyBorder="1" applyAlignment="1">
      <alignment horizontal="center" vertical="center" wrapText="1"/>
    </xf>
    <xf numFmtId="0" fontId="26" fillId="4" borderId="12" xfId="0" applyFont="1" applyFill="1" applyBorder="1" applyAlignment="1">
      <alignment horizontal="center" vertical="center"/>
    </xf>
    <xf numFmtId="181" fontId="27" fillId="8" borderId="1" xfId="2" applyNumberFormat="1" applyFont="1" applyFill="1" applyBorder="1" applyAlignment="1">
      <alignment horizontal="center" vertical="center" wrapText="1"/>
    </xf>
    <xf numFmtId="181" fontId="29" fillId="8" borderId="1" xfId="2" applyNumberFormat="1" applyFont="1" applyFill="1" applyBorder="1" applyAlignment="1">
      <alignment horizontal="center" vertical="center" wrapText="1"/>
    </xf>
    <xf numFmtId="181" fontId="8" fillId="8" borderId="12" xfId="2" applyNumberFormat="1" applyFont="1" applyFill="1" applyBorder="1" applyAlignment="1">
      <alignment horizontal="center" vertical="center" wrapText="1"/>
    </xf>
    <xf numFmtId="0" fontId="29" fillId="0" borderId="10" xfId="0" applyFont="1" applyBorder="1" applyAlignment="1">
      <alignment horizontal="center" vertical="center" wrapText="1"/>
    </xf>
    <xf numFmtId="0" fontId="30" fillId="3" borderId="0" xfId="0" applyFont="1" applyFill="1" applyAlignment="1">
      <alignment horizontal="center"/>
    </xf>
    <xf numFmtId="0" fontId="29" fillId="0" borderId="9" xfId="0" applyFont="1" applyFill="1" applyBorder="1" applyAlignment="1">
      <alignment horizontal="center" vertical="center" wrapText="1"/>
    </xf>
    <xf numFmtId="0" fontId="29" fillId="0" borderId="8" xfId="0" applyFont="1" applyFill="1" applyBorder="1" applyAlignment="1">
      <alignment horizontal="center" vertical="center" wrapText="1"/>
    </xf>
    <xf numFmtId="0" fontId="29" fillId="0" borderId="6" xfId="0" applyFont="1" applyFill="1" applyBorder="1" applyAlignment="1">
      <alignment horizontal="center" vertical="center" wrapText="1"/>
    </xf>
    <xf numFmtId="181" fontId="29" fillId="0" borderId="6" xfId="2" applyNumberFormat="1" applyFont="1" applyFill="1" applyBorder="1" applyAlignment="1">
      <alignment horizontal="center" vertical="center" wrapText="1"/>
    </xf>
    <xf numFmtId="0" fontId="29" fillId="0" borderId="10" xfId="0" applyFont="1" applyFill="1" applyBorder="1" applyAlignment="1">
      <alignment horizontal="center" vertical="center" wrapText="1"/>
    </xf>
    <xf numFmtId="0" fontId="7" fillId="0" borderId="9" xfId="0" applyFont="1" applyFill="1" applyBorder="1" applyAlignment="1">
      <alignment horizontal="center" vertical="center" wrapText="1"/>
    </xf>
    <xf numFmtId="0" fontId="7" fillId="0" borderId="8" xfId="0" applyFont="1" applyFill="1" applyBorder="1" applyAlignment="1">
      <alignment horizontal="center" vertical="center" wrapText="1"/>
    </xf>
    <xf numFmtId="0" fontId="7" fillId="0" borderId="6" xfId="0" applyFont="1" applyFill="1" applyBorder="1" applyAlignment="1">
      <alignment horizontal="center" vertical="center" wrapText="1"/>
    </xf>
    <xf numFmtId="0" fontId="8" fillId="0" borderId="13" xfId="0" applyFont="1" applyFill="1" applyBorder="1" applyAlignment="1">
      <alignment horizontal="center" vertical="center"/>
    </xf>
    <xf numFmtId="0" fontId="8" fillId="0" borderId="30" xfId="0" applyFont="1" applyFill="1" applyBorder="1" applyAlignment="1">
      <alignment horizontal="center" vertical="center"/>
    </xf>
    <xf numFmtId="0" fontId="8" fillId="0" borderId="31" xfId="0" applyFont="1" applyFill="1" applyBorder="1" applyAlignment="1">
      <alignment horizontal="center" vertical="center"/>
    </xf>
    <xf numFmtId="0" fontId="27" fillId="3" borderId="9" xfId="0" applyFont="1" applyFill="1" applyBorder="1" applyAlignment="1">
      <alignment horizontal="center" vertical="center" wrapText="1"/>
    </xf>
    <xf numFmtId="0" fontId="27" fillId="3" borderId="8" xfId="0" applyFont="1" applyFill="1" applyBorder="1" applyAlignment="1">
      <alignment horizontal="center" vertical="center" wrapText="1"/>
    </xf>
    <xf numFmtId="0" fontId="22" fillId="3" borderId="16" xfId="0" applyFont="1" applyFill="1" applyBorder="1" applyAlignment="1">
      <alignment horizontal="center" vertical="center"/>
    </xf>
    <xf numFmtId="0" fontId="22" fillId="3" borderId="29" xfId="0" applyFont="1" applyFill="1" applyBorder="1" applyAlignment="1">
      <alignment horizontal="center" vertical="center"/>
    </xf>
    <xf numFmtId="0" fontId="22" fillId="3" borderId="15" xfId="0" applyFont="1" applyFill="1" applyBorder="1" applyAlignment="1">
      <alignment horizontal="center" vertical="center"/>
    </xf>
    <xf numFmtId="0" fontId="27" fillId="3" borderId="6" xfId="0" applyFont="1" applyFill="1" applyBorder="1" applyAlignment="1">
      <alignment horizontal="center" vertical="center" wrapText="1"/>
    </xf>
    <xf numFmtId="0" fontId="22" fillId="3" borderId="14" xfId="0" applyFont="1" applyFill="1" applyBorder="1" applyAlignment="1">
      <alignment horizontal="center" vertical="center"/>
    </xf>
    <xf numFmtId="0" fontId="22" fillId="3" borderId="3" xfId="0" applyFont="1" applyFill="1" applyBorder="1" applyAlignment="1">
      <alignment horizontal="center" vertical="center"/>
    </xf>
    <xf numFmtId="181" fontId="27" fillId="3" borderId="6" xfId="2" applyNumberFormat="1" applyFont="1" applyFill="1" applyBorder="1" applyAlignment="1">
      <alignment horizontal="center" vertical="center" wrapText="1"/>
    </xf>
    <xf numFmtId="0" fontId="3" fillId="3" borderId="9" xfId="0" applyFont="1" applyFill="1" applyBorder="1" applyAlignment="1">
      <alignment horizontal="center" vertical="center" wrapText="1"/>
    </xf>
    <xf numFmtId="0" fontId="3" fillId="3" borderId="6" xfId="0" applyFont="1" applyFill="1" applyBorder="1" applyAlignment="1">
      <alignment horizontal="center" vertical="center" wrapText="1"/>
    </xf>
    <xf numFmtId="0" fontId="3" fillId="3" borderId="8" xfId="0" applyFont="1" applyFill="1" applyBorder="1" applyAlignment="1">
      <alignment horizontal="center" vertical="center" wrapText="1"/>
    </xf>
    <xf numFmtId="0" fontId="0" fillId="0" borderId="0" xfId="0" applyFill="1" applyAlignment="1">
      <alignment horizontal="center"/>
    </xf>
    <xf numFmtId="0" fontId="0" fillId="0" borderId="28" xfId="0" applyFill="1" applyBorder="1" applyAlignment="1">
      <alignment horizontal="center"/>
    </xf>
    <xf numFmtId="181" fontId="22" fillId="3" borderId="29" xfId="2" applyNumberFormat="1" applyFont="1" applyFill="1" applyBorder="1" applyAlignment="1">
      <alignment horizontal="center" vertical="center"/>
    </xf>
    <xf numFmtId="0" fontId="29" fillId="0" borderId="9" xfId="0" applyFont="1" applyFill="1" applyBorder="1" applyAlignment="1">
      <alignment horizontal="left" vertical="center" wrapText="1"/>
    </xf>
    <xf numFmtId="0" fontId="29" fillId="0" borderId="8" xfId="0" applyFont="1" applyFill="1" applyBorder="1" applyAlignment="1">
      <alignment horizontal="left" vertical="center" wrapText="1"/>
    </xf>
    <xf numFmtId="0" fontId="4" fillId="3" borderId="9" xfId="0" applyFont="1" applyFill="1" applyBorder="1" applyAlignment="1">
      <alignment horizontal="left" vertical="center" wrapText="1"/>
    </xf>
    <xf numFmtId="14" fontId="4" fillId="3" borderId="6" xfId="0" applyNumberFormat="1" applyFont="1" applyFill="1" applyBorder="1" applyAlignment="1">
      <alignment horizontal="center" vertical="center" wrapText="1"/>
    </xf>
    <xf numFmtId="0" fontId="4" fillId="3" borderId="6" xfId="0" applyFont="1" applyFill="1" applyBorder="1" applyAlignment="1">
      <alignment horizontal="center" vertical="center" wrapText="1"/>
    </xf>
    <xf numFmtId="0" fontId="4" fillId="3" borderId="8" xfId="0" applyFont="1" applyFill="1" applyBorder="1" applyAlignment="1">
      <alignment horizontal="center" vertical="center" wrapText="1"/>
    </xf>
    <xf numFmtId="0" fontId="38" fillId="3" borderId="9" xfId="0" applyFont="1" applyFill="1" applyBorder="1" applyAlignment="1">
      <alignment horizontal="left" vertical="center" wrapText="1"/>
    </xf>
    <xf numFmtId="14" fontId="38" fillId="3" borderId="6" xfId="0" applyNumberFormat="1" applyFont="1" applyFill="1" applyBorder="1" applyAlignment="1">
      <alignment horizontal="center" vertical="center" wrapText="1"/>
    </xf>
    <xf numFmtId="0" fontId="38" fillId="3" borderId="6" xfId="0" applyFont="1" applyFill="1" applyBorder="1" applyAlignment="1">
      <alignment horizontal="center" vertical="center" wrapText="1"/>
    </xf>
    <xf numFmtId="0" fontId="38" fillId="3" borderId="8" xfId="0" applyFont="1" applyFill="1" applyBorder="1" applyAlignment="1">
      <alignment horizontal="center" vertical="center" wrapText="1"/>
    </xf>
    <xf numFmtId="0" fontId="27" fillId="3" borderId="33" xfId="0" applyFont="1" applyFill="1" applyBorder="1" applyAlignment="1">
      <alignment horizontal="center" vertical="center" wrapText="1"/>
    </xf>
    <xf numFmtId="0" fontId="7" fillId="0" borderId="32" xfId="0" applyFont="1" applyFill="1" applyBorder="1" applyAlignment="1">
      <alignment horizontal="center" vertical="center" wrapText="1"/>
    </xf>
    <xf numFmtId="0" fontId="8" fillId="8" borderId="13" xfId="0" applyFont="1" applyFill="1" applyBorder="1" applyAlignment="1">
      <alignment horizontal="center" vertical="center"/>
    </xf>
    <xf numFmtId="0" fontId="8" fillId="8" borderId="30" xfId="0" applyFont="1" applyFill="1" applyBorder="1" applyAlignment="1">
      <alignment horizontal="center" vertical="center"/>
    </xf>
    <xf numFmtId="0" fontId="8" fillId="8" borderId="31" xfId="0" applyFont="1" applyFill="1" applyBorder="1" applyAlignment="1">
      <alignment horizontal="center" vertical="center"/>
    </xf>
    <xf numFmtId="0" fontId="52" fillId="6" borderId="36" xfId="0" applyFont="1" applyFill="1" applyBorder="1" applyAlignment="1">
      <alignment horizontal="center" vertical="center" wrapText="1"/>
    </xf>
    <xf numFmtId="0" fontId="52" fillId="6" borderId="38" xfId="0" applyFont="1" applyFill="1" applyBorder="1" applyAlignment="1">
      <alignment horizontal="center" vertical="center" wrapText="1"/>
    </xf>
    <xf numFmtId="0" fontId="52" fillId="6" borderId="39" xfId="0" applyFont="1" applyFill="1" applyBorder="1" applyAlignment="1">
      <alignment horizontal="center" vertical="center" wrapText="1"/>
    </xf>
    <xf numFmtId="0" fontId="52" fillId="6" borderId="24" xfId="0" applyFont="1" applyFill="1" applyBorder="1" applyAlignment="1">
      <alignment horizontal="center" vertical="center" wrapText="1"/>
    </xf>
    <xf numFmtId="0" fontId="53" fillId="7" borderId="25" xfId="0" applyFont="1" applyFill="1" applyBorder="1" applyAlignment="1">
      <alignment horizontal="center" vertical="center" wrapText="1"/>
    </xf>
    <xf numFmtId="0" fontId="53" fillId="7" borderId="23" xfId="0" applyFont="1" applyFill="1" applyBorder="1" applyAlignment="1">
      <alignment horizontal="center" vertical="center" wrapText="1"/>
    </xf>
    <xf numFmtId="0" fontId="56" fillId="6" borderId="25" xfId="0" applyFont="1" applyFill="1" applyBorder="1" applyAlignment="1">
      <alignment horizontal="center" vertical="center" wrapText="1"/>
    </xf>
    <xf numFmtId="0" fontId="56" fillId="6" borderId="23" xfId="0" applyFont="1" applyFill="1" applyBorder="1" applyAlignment="1">
      <alignment horizontal="center" vertical="center" wrapText="1"/>
    </xf>
    <xf numFmtId="0" fontId="46" fillId="6" borderId="34" xfId="0" applyFont="1" applyFill="1" applyBorder="1" applyAlignment="1">
      <alignment horizontal="center" vertical="center" wrapText="1"/>
    </xf>
    <xf numFmtId="0" fontId="46" fillId="6" borderId="35" xfId="0" applyFont="1" applyFill="1" applyBorder="1" applyAlignment="1">
      <alignment horizontal="center" vertical="center" wrapText="1"/>
    </xf>
    <xf numFmtId="0" fontId="52" fillId="6" borderId="25" xfId="0" applyFont="1" applyFill="1" applyBorder="1" applyAlignment="1">
      <alignment horizontal="center" vertical="center"/>
    </xf>
    <xf numFmtId="0" fontId="52" fillId="6" borderId="26" xfId="0" applyFont="1" applyFill="1" applyBorder="1" applyAlignment="1">
      <alignment horizontal="center" vertical="center"/>
    </xf>
    <xf numFmtId="0" fontId="52" fillId="6" borderId="23" xfId="0" applyFont="1" applyFill="1" applyBorder="1" applyAlignment="1">
      <alignment horizontal="center" vertical="center"/>
    </xf>
    <xf numFmtId="0" fontId="52" fillId="6" borderId="25" xfId="0" applyFont="1" applyFill="1" applyBorder="1" applyAlignment="1">
      <alignment horizontal="center" vertical="center" wrapText="1"/>
    </xf>
    <xf numFmtId="0" fontId="52" fillId="6" borderId="26" xfId="0" applyFont="1" applyFill="1" applyBorder="1" applyAlignment="1">
      <alignment horizontal="center" vertical="center" wrapText="1"/>
    </xf>
    <xf numFmtId="0" fontId="52" fillId="6" borderId="23" xfId="0" applyFont="1" applyFill="1" applyBorder="1" applyAlignment="1">
      <alignment horizontal="center" vertical="center" wrapText="1"/>
    </xf>
    <xf numFmtId="0" fontId="52" fillId="6" borderId="36" xfId="0" applyFont="1" applyFill="1" applyBorder="1" applyAlignment="1">
      <alignment horizontal="center" vertical="center"/>
    </xf>
    <xf numFmtId="0" fontId="52" fillId="6" borderId="37" xfId="0" applyFont="1" applyFill="1" applyBorder="1" applyAlignment="1">
      <alignment horizontal="center" vertical="center"/>
    </xf>
    <xf numFmtId="0" fontId="52" fillId="6" borderId="38" xfId="0" applyFont="1" applyFill="1" applyBorder="1" applyAlignment="1">
      <alignment horizontal="center" vertical="center"/>
    </xf>
    <xf numFmtId="0" fontId="52" fillId="6" borderId="39" xfId="0" applyFont="1" applyFill="1" applyBorder="1" applyAlignment="1">
      <alignment horizontal="center" vertical="center"/>
    </xf>
    <xf numFmtId="0" fontId="52" fillId="6" borderId="40" xfId="0" applyFont="1" applyFill="1" applyBorder="1" applyAlignment="1">
      <alignment horizontal="center" vertical="center"/>
    </xf>
    <xf numFmtId="0" fontId="52" fillId="6" borderId="24" xfId="0" applyFont="1" applyFill="1" applyBorder="1" applyAlignment="1">
      <alignment horizontal="center" vertical="center"/>
    </xf>
    <xf numFmtId="0" fontId="42" fillId="6" borderId="34" xfId="0" applyFont="1" applyFill="1" applyBorder="1" applyAlignment="1">
      <alignment horizontal="center" vertical="center" wrapText="1"/>
    </xf>
    <xf numFmtId="0" fontId="42" fillId="6" borderId="41" xfId="0" applyFont="1" applyFill="1" applyBorder="1" applyAlignment="1">
      <alignment horizontal="center" vertical="center" wrapText="1"/>
    </xf>
    <xf numFmtId="0" fontId="42" fillId="6" borderId="42" xfId="0" applyFont="1" applyFill="1" applyBorder="1" applyAlignment="1">
      <alignment horizontal="center" vertical="center" wrapText="1"/>
    </xf>
    <xf numFmtId="0" fontId="46" fillId="6" borderId="43" xfId="0" applyFont="1" applyFill="1" applyBorder="1" applyAlignment="1">
      <alignment horizontal="center" vertical="center" wrapText="1"/>
    </xf>
    <xf numFmtId="0" fontId="46" fillId="6" borderId="44" xfId="0" applyFont="1" applyFill="1" applyBorder="1" applyAlignment="1">
      <alignment horizontal="center" vertical="center" wrapText="1"/>
    </xf>
    <xf numFmtId="0" fontId="46" fillId="6" borderId="42" xfId="0" applyFont="1" applyFill="1" applyBorder="1" applyAlignment="1">
      <alignment horizontal="center" vertical="center" wrapText="1"/>
    </xf>
    <xf numFmtId="0" fontId="46" fillId="6" borderId="41" xfId="0" applyFont="1" applyFill="1" applyBorder="1" applyAlignment="1">
      <alignment horizontal="center" vertical="center" wrapText="1"/>
    </xf>
  </cellXfs>
  <cellStyles count="4">
    <cellStyle name="Lien hypertexte" xfId="1" builtinId="8"/>
    <cellStyle name="Milliers" xfId="2" builtinId="3"/>
    <cellStyle name="Milliers [0]" xfId="3" builtinId="6"/>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_rels/chart2.xml.rels><?xml version="1.0" encoding="UTF-8" standalone="yes"?>
<Relationships xmlns="http://schemas.openxmlformats.org/package/2006/relationships"><Relationship Id="rId1" Type="http://schemas.openxmlformats.org/officeDocument/2006/relationships/themeOverride" Target="../theme/themeOverrid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333333"/>
                </a:solidFill>
                <a:latin typeface="Calibri"/>
                <a:ea typeface="Calibri"/>
                <a:cs typeface="Calibri"/>
              </a:defRPr>
            </a:pPr>
            <a:r>
              <a:rPr lang="fr-FR"/>
              <a:t>Proportion (%) en nombre par type de marché </a:t>
            </a:r>
          </a:p>
        </c:rich>
      </c:tx>
      <c:layout>
        <c:manualLayout>
          <c:xMode val="edge"/>
          <c:yMode val="edge"/>
          <c:x val="0.1065494552906914"/>
          <c:y val="2.8188976377952757E-2"/>
        </c:manualLayout>
      </c:layout>
      <c:overlay val="0"/>
      <c:spPr>
        <a:solidFill>
          <a:schemeClr val="bg1">
            <a:lumMod val="85000"/>
          </a:schemeClr>
        </a:solidFill>
        <a:ln>
          <a:noFill/>
        </a:ln>
        <a:effectLst/>
      </c:spPr>
    </c:title>
    <c:autoTitleDeleted val="0"/>
    <c:view3D>
      <c:rotX val="30"/>
      <c:rotY val="0"/>
      <c:rAngAx val="0"/>
      <c:perspective val="0"/>
    </c:view3D>
    <c:floor>
      <c:thickness val="0"/>
    </c:floor>
    <c:sideWall>
      <c:thickness val="0"/>
    </c:sideWall>
    <c:backWall>
      <c:thickness val="0"/>
    </c:backWall>
    <c:plotArea>
      <c:layout/>
      <c:pie3DChart>
        <c:varyColors val="1"/>
        <c:ser>
          <c:idx val="0"/>
          <c:order val="0"/>
          <c:dPt>
            <c:idx val="0"/>
            <c:bubble3D val="0"/>
            <c:extLst>
              <c:ext xmlns:c16="http://schemas.microsoft.com/office/drawing/2014/chart" uri="{C3380CC4-5D6E-409C-BE32-E72D297353CC}">
                <c16:uniqueId val="{00000000-E14C-4159-B9DD-39938AED374D}"/>
              </c:ext>
            </c:extLst>
          </c:dPt>
          <c:dPt>
            <c:idx val="1"/>
            <c:bubble3D val="0"/>
            <c:extLst>
              <c:ext xmlns:c16="http://schemas.microsoft.com/office/drawing/2014/chart" uri="{C3380CC4-5D6E-409C-BE32-E72D297353CC}">
                <c16:uniqueId val="{00000001-E14C-4159-B9DD-39938AED374D}"/>
              </c:ext>
            </c:extLst>
          </c:dPt>
          <c:dPt>
            <c:idx val="2"/>
            <c:bubble3D val="0"/>
            <c:extLst>
              <c:ext xmlns:c16="http://schemas.microsoft.com/office/drawing/2014/chart" uri="{C3380CC4-5D6E-409C-BE32-E72D297353CC}">
                <c16:uniqueId val="{00000002-E14C-4159-B9DD-39938AED374D}"/>
              </c:ext>
            </c:extLst>
          </c:dPt>
          <c:dLbls>
            <c:spPr>
              <a:noFill/>
              <a:ln w="25400">
                <a:noFill/>
              </a:ln>
            </c:spPr>
            <c:txPr>
              <a:bodyPr wrap="square" lIns="38100" tIns="19050" rIns="38100" bIns="19050" anchor="ctr">
                <a:spAutoFit/>
              </a:bodyPr>
              <a:lstStyle/>
              <a:p>
                <a:pPr>
                  <a:defRPr sz="1000" b="0" i="0" u="none" strike="noStrike" baseline="0">
                    <a:solidFill>
                      <a:srgbClr val="000000"/>
                    </a:solidFill>
                    <a:latin typeface="Calibri"/>
                    <a:ea typeface="Calibri"/>
                    <a:cs typeface="Calibri"/>
                  </a:defRPr>
                </a:pPr>
                <a:endParaRPr lang="fr-FR"/>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Tableau!$A$35:$A$37</c:f>
              <c:strCache>
                <c:ptCount val="3"/>
                <c:pt idx="0">
                  <c:v>Fournitures</c:v>
                </c:pt>
                <c:pt idx="1">
                  <c:v>Prestations</c:v>
                </c:pt>
                <c:pt idx="2">
                  <c:v>Travaux</c:v>
                </c:pt>
              </c:strCache>
            </c:strRef>
          </c:cat>
          <c:val>
            <c:numRef>
              <c:f>Tableau!$B$35:$B$37</c:f>
              <c:numCache>
                <c:formatCode>General</c:formatCode>
                <c:ptCount val="3"/>
                <c:pt idx="0">
                  <c:v>0</c:v>
                </c:pt>
                <c:pt idx="1">
                  <c:v>1</c:v>
                </c:pt>
                <c:pt idx="2">
                  <c:v>0</c:v>
                </c:pt>
              </c:numCache>
            </c:numRef>
          </c:val>
          <c:extLst>
            <c:ext xmlns:c16="http://schemas.microsoft.com/office/drawing/2014/chart" uri="{C3380CC4-5D6E-409C-BE32-E72D297353CC}">
              <c16:uniqueId val="{00000003-E14C-4159-B9DD-39938AED374D}"/>
            </c:ext>
          </c:extLst>
        </c:ser>
        <c:dLbls>
          <c:showLegendKey val="0"/>
          <c:showVal val="0"/>
          <c:showCatName val="0"/>
          <c:showSerName val="0"/>
          <c:showPercent val="0"/>
          <c:showBubbleSize val="0"/>
          <c:showLeaderLines val="1"/>
        </c:dLbls>
      </c:pie3DChart>
      <c:spPr>
        <a:noFill/>
        <a:ln w="25400">
          <a:noFill/>
        </a:ln>
      </c:spPr>
    </c:plotArea>
    <c:legend>
      <c:legendPos val="r"/>
      <c:layout>
        <c:manualLayout>
          <c:xMode val="edge"/>
          <c:yMode val="edge"/>
          <c:x val="0.25616051980170979"/>
          <c:y val="0.86639993931615944"/>
          <c:w val="0.46533963422494007"/>
          <c:h val="9.1317217254402408E-2"/>
        </c:manualLayout>
      </c:layout>
      <c:overlay val="0"/>
      <c:spPr>
        <a:noFill/>
        <a:ln w="25400">
          <a:noFill/>
        </a:ln>
      </c:spPr>
      <c:txPr>
        <a:bodyPr/>
        <a:lstStyle/>
        <a:p>
          <a:pPr>
            <a:defRPr sz="755" b="0" i="0" u="none" strike="noStrike" baseline="0">
              <a:solidFill>
                <a:srgbClr val="333333"/>
              </a:solidFill>
              <a:latin typeface="Calibri"/>
              <a:ea typeface="Calibri"/>
              <a:cs typeface="Calibri"/>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fr-F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a:lstStyle/>
          <a:p>
            <a:pPr>
              <a:defRPr sz="1200" b="1" i="0" u="none" strike="noStrike" baseline="0">
                <a:solidFill>
                  <a:srgbClr val="333333"/>
                </a:solidFill>
                <a:latin typeface="Calibri"/>
                <a:ea typeface="Calibri"/>
                <a:cs typeface="Calibri"/>
              </a:defRPr>
            </a:pPr>
            <a:r>
              <a:rPr lang="fr-FR"/>
              <a:t>Proportion (%) en montant par type de marché </a:t>
            </a:r>
          </a:p>
        </c:rich>
      </c:tx>
      <c:overlay val="0"/>
      <c:spPr>
        <a:solidFill>
          <a:schemeClr val="bg1">
            <a:lumMod val="85000"/>
          </a:schemeClr>
        </a:solidFill>
        <a:ln>
          <a:noFill/>
        </a:ln>
        <a:effectLst/>
      </c:spPr>
    </c:title>
    <c:autoTitleDeleted val="0"/>
    <c:view3D>
      <c:rotX val="30"/>
      <c:rotY val="0"/>
      <c:rAngAx val="0"/>
      <c:perspective val="0"/>
    </c:view3D>
    <c:floor>
      <c:thickness val="0"/>
    </c:floor>
    <c:sideWall>
      <c:thickness val="0"/>
    </c:sideWall>
    <c:backWall>
      <c:thickness val="0"/>
    </c:backWall>
    <c:plotArea>
      <c:layout/>
      <c:pie3DChart>
        <c:varyColors val="1"/>
        <c:ser>
          <c:idx val="0"/>
          <c:order val="0"/>
          <c:dPt>
            <c:idx val="0"/>
            <c:bubble3D val="0"/>
            <c:extLst>
              <c:ext xmlns:c16="http://schemas.microsoft.com/office/drawing/2014/chart" uri="{C3380CC4-5D6E-409C-BE32-E72D297353CC}">
                <c16:uniqueId val="{00000000-6F51-4F65-B9DF-DB16E1FAC4F3}"/>
              </c:ext>
            </c:extLst>
          </c:dPt>
          <c:dPt>
            <c:idx val="1"/>
            <c:bubble3D val="0"/>
            <c:extLst>
              <c:ext xmlns:c16="http://schemas.microsoft.com/office/drawing/2014/chart" uri="{C3380CC4-5D6E-409C-BE32-E72D297353CC}">
                <c16:uniqueId val="{00000001-6F51-4F65-B9DF-DB16E1FAC4F3}"/>
              </c:ext>
            </c:extLst>
          </c:dPt>
          <c:dPt>
            <c:idx val="2"/>
            <c:bubble3D val="0"/>
            <c:extLst>
              <c:ext xmlns:c16="http://schemas.microsoft.com/office/drawing/2014/chart" uri="{C3380CC4-5D6E-409C-BE32-E72D297353CC}">
                <c16:uniqueId val="{00000002-6F51-4F65-B9DF-DB16E1FAC4F3}"/>
              </c:ext>
            </c:extLst>
          </c:dPt>
          <c:dLbls>
            <c:spPr>
              <a:noFill/>
              <a:ln w="25400">
                <a:noFill/>
              </a:ln>
            </c:spPr>
            <c:txPr>
              <a:bodyPr wrap="square" lIns="38100" tIns="19050" rIns="38100" bIns="19050" anchor="ctr">
                <a:spAutoFit/>
              </a:bodyPr>
              <a:lstStyle/>
              <a:p>
                <a:pPr>
                  <a:defRPr sz="1000" b="0" i="0" u="none" strike="noStrike" baseline="0">
                    <a:solidFill>
                      <a:srgbClr val="000000"/>
                    </a:solidFill>
                    <a:latin typeface="Calibri"/>
                    <a:ea typeface="Calibri"/>
                    <a:cs typeface="Calibri"/>
                  </a:defRPr>
                </a:pPr>
                <a:endParaRPr lang="fr-FR"/>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Tableau!$A$35:$A$37</c:f>
              <c:strCache>
                <c:ptCount val="3"/>
                <c:pt idx="0">
                  <c:v>Fournitures</c:v>
                </c:pt>
                <c:pt idx="1">
                  <c:v>Prestations</c:v>
                </c:pt>
                <c:pt idx="2">
                  <c:v>Travaux</c:v>
                </c:pt>
              </c:strCache>
            </c:strRef>
          </c:cat>
          <c:val>
            <c:numRef>
              <c:f>Tableau!$E$35:$E$37</c:f>
              <c:numCache>
                <c:formatCode>0.0</c:formatCode>
                <c:ptCount val="3"/>
                <c:pt idx="0">
                  <c:v>0</c:v>
                </c:pt>
                <c:pt idx="1">
                  <c:v>0</c:v>
                </c:pt>
                <c:pt idx="2">
                  <c:v>0</c:v>
                </c:pt>
              </c:numCache>
            </c:numRef>
          </c:val>
          <c:extLst>
            <c:ext xmlns:c16="http://schemas.microsoft.com/office/drawing/2014/chart" uri="{C3380CC4-5D6E-409C-BE32-E72D297353CC}">
              <c16:uniqueId val="{00000003-6F51-4F65-B9DF-DB16E1FAC4F3}"/>
            </c:ext>
          </c:extLst>
        </c:ser>
        <c:dLbls>
          <c:showLegendKey val="0"/>
          <c:showVal val="0"/>
          <c:showCatName val="0"/>
          <c:showSerName val="0"/>
          <c:showPercent val="0"/>
          <c:showBubbleSize val="0"/>
          <c:showLeaderLines val="1"/>
        </c:dLbls>
      </c:pie3DChart>
      <c:spPr>
        <a:noFill/>
        <a:ln w="25400">
          <a:noFill/>
        </a:ln>
      </c:spPr>
    </c:plotArea>
    <c:legend>
      <c:legendPos val="r"/>
      <c:layout>
        <c:manualLayout>
          <c:xMode val="edge"/>
          <c:yMode val="edge"/>
          <c:x val="0.240927775768113"/>
          <c:y val="0.86892110257993871"/>
          <c:w val="0.50364801366600509"/>
          <c:h val="9.1114489017333725E-2"/>
        </c:manualLayout>
      </c:layout>
      <c:overlay val="0"/>
      <c:spPr>
        <a:noFill/>
        <a:ln w="25400">
          <a:noFill/>
        </a:ln>
      </c:spPr>
      <c:txPr>
        <a:bodyPr/>
        <a:lstStyle/>
        <a:p>
          <a:pPr>
            <a:defRPr sz="755" b="0" i="0" u="none" strike="noStrike" baseline="0">
              <a:solidFill>
                <a:srgbClr val="333333"/>
              </a:solidFill>
              <a:latin typeface="Calibri"/>
              <a:ea typeface="Calibri"/>
              <a:cs typeface="Calibri"/>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fr-FR"/>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285750</xdr:colOff>
      <xdr:row>44</xdr:row>
      <xdr:rowOff>171450</xdr:rowOff>
    </xdr:from>
    <xdr:to>
      <xdr:col>5</xdr:col>
      <xdr:colOff>219075</xdr:colOff>
      <xdr:row>56</xdr:row>
      <xdr:rowOff>138113</xdr:rowOff>
    </xdr:to>
    <xdr:graphicFrame macro="">
      <xdr:nvGraphicFramePr>
        <xdr:cNvPr id="19509" name="Graphique 5">
          <a:extLst>
            <a:ext uri="{FF2B5EF4-FFF2-40B4-BE49-F238E27FC236}">
              <a16:creationId xmlns:a16="http://schemas.microsoft.com/office/drawing/2014/main" id="{2E2641AE-CA77-778A-2633-024270FA7B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762000</xdr:colOff>
      <xdr:row>45</xdr:row>
      <xdr:rowOff>0</xdr:rowOff>
    </xdr:from>
    <xdr:to>
      <xdr:col>11</xdr:col>
      <xdr:colOff>123825</xdr:colOff>
      <xdr:row>56</xdr:row>
      <xdr:rowOff>152400</xdr:rowOff>
    </xdr:to>
    <xdr:graphicFrame macro="">
      <xdr:nvGraphicFramePr>
        <xdr:cNvPr id="19510" name="Graphique 3">
          <a:extLst>
            <a:ext uri="{FF2B5EF4-FFF2-40B4-BE49-F238E27FC236}">
              <a16:creationId xmlns:a16="http://schemas.microsoft.com/office/drawing/2014/main" id="{B605784B-886B-26D6-23B7-3B3FD79EA8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22860</xdr:colOff>
      <xdr:row>34</xdr:row>
      <xdr:rowOff>118427</xdr:rowOff>
    </xdr:from>
    <xdr:to>
      <xdr:col>5</xdr:col>
      <xdr:colOff>0</xdr:colOff>
      <xdr:row>36</xdr:row>
      <xdr:rowOff>148022</xdr:rowOff>
    </xdr:to>
    <xdr:sp macro="[0]!Rectangleàcoinsarrondis1_Cliquer" textlink="">
      <xdr:nvSpPr>
        <xdr:cNvPr id="2" name="Rectangle à coins arrondis 1">
          <a:extLst>
            <a:ext uri="{FF2B5EF4-FFF2-40B4-BE49-F238E27FC236}">
              <a16:creationId xmlns:a16="http://schemas.microsoft.com/office/drawing/2014/main" id="{52AA7F76-56A4-C350-48F9-811DFF440BD3}"/>
            </a:ext>
          </a:extLst>
        </xdr:cNvPr>
        <xdr:cNvSpPr/>
      </xdr:nvSpPr>
      <xdr:spPr>
        <a:xfrm>
          <a:off x="5791200" y="7833360"/>
          <a:ext cx="1082040" cy="403860"/>
        </a:xfrm>
        <a:prstGeom prst="round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endParaRPr lang="fr-F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Override1.xml><?xml version="1.0" encoding="utf-8"?>
<a:themeOverride xmlns:a="http://schemas.openxmlformats.org/drawingml/2006/main">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ACB8AC-3E20-4818-AF56-B60014888878}">
  <sheetPr>
    <tabColor rgb="FF00B050"/>
  </sheetPr>
  <dimension ref="A1:BD614"/>
  <sheetViews>
    <sheetView tabSelected="1" topLeftCell="AI1" zoomScaleNormal="100" workbookViewId="0">
      <pane ySplit="6" topLeftCell="A7" activePane="bottomLeft" state="frozen"/>
      <selection activeCell="AM1" sqref="AM1"/>
      <selection pane="bottomLeft" activeCell="AI6" sqref="A6:IV6"/>
    </sheetView>
  </sheetViews>
  <sheetFormatPr baseColWidth="10" defaultRowHeight="14.25" x14ac:dyDescent="0.45"/>
  <cols>
    <col min="1" max="1" width="4" bestFit="1" customWidth="1"/>
    <col min="2" max="2" width="12.59765625" style="259" customWidth="1"/>
    <col min="3" max="3" width="12.59765625" style="304" customWidth="1"/>
    <col min="4" max="4" width="68" customWidth="1"/>
    <col min="5" max="5" width="22.3984375" customWidth="1"/>
    <col min="6" max="6" width="12.59765625" customWidth="1"/>
    <col min="7" max="7" width="21.59765625" customWidth="1"/>
    <col min="8" max="8" width="20.59765625" style="287" customWidth="1"/>
    <col min="9" max="9" width="20.59765625" customWidth="1"/>
    <col min="10" max="10" width="21.86328125" customWidth="1"/>
    <col min="11" max="11" width="15.59765625" style="19" customWidth="1"/>
    <col min="12" max="12" width="12.59765625" style="18" customWidth="1"/>
    <col min="13" max="13" width="12.59765625" style="239" customWidth="1"/>
    <col min="14" max="14" width="16.3984375" style="18" customWidth="1"/>
    <col min="15" max="15" width="12.59765625" style="19" customWidth="1"/>
    <col min="16" max="16" width="12.59765625" style="18" customWidth="1"/>
    <col min="17" max="17" width="19.86328125" style="287" customWidth="1"/>
    <col min="18" max="18" width="12.59765625" style="239" customWidth="1"/>
    <col min="19" max="19" width="12.59765625" style="18" customWidth="1"/>
    <col min="20" max="20" width="20.59765625" style="19" customWidth="1"/>
    <col min="21" max="21" width="25.59765625" style="18" customWidth="1"/>
    <col min="22" max="22" width="20.59765625" style="264" customWidth="1"/>
    <col min="23" max="23" width="30.59765625" style="259" customWidth="1"/>
    <col min="24" max="25" width="12.59765625" customWidth="1"/>
    <col min="26" max="26" width="15" customWidth="1"/>
    <col min="27" max="28" width="12.59765625" customWidth="1"/>
    <col min="29" max="29" width="14.86328125" customWidth="1"/>
    <col min="30" max="31" width="12.59765625" customWidth="1"/>
    <col min="32" max="32" width="16.1328125" customWidth="1"/>
    <col min="33" max="34" width="12.59765625" customWidth="1"/>
    <col min="35" max="35" width="12.59765625" style="18" customWidth="1"/>
    <col min="36" max="36" width="12.59765625" style="14" customWidth="1"/>
    <col min="37" max="37" width="12.59765625" style="165" customWidth="1"/>
    <col min="38" max="39" width="12.59765625" style="18" customWidth="1"/>
    <col min="40" max="40" width="12.59765625" style="264" customWidth="1"/>
    <col min="41" max="42" width="12.59765625" customWidth="1"/>
    <col min="43" max="43" width="16.3984375" style="287" customWidth="1"/>
    <col min="44" max="44" width="12.59765625" customWidth="1"/>
    <col min="45" max="45" width="30.59765625" style="308" customWidth="1"/>
    <col min="46" max="46" width="20.59765625" style="308" customWidth="1"/>
    <col min="47" max="47" width="12.59765625" style="208" customWidth="1"/>
    <col min="48" max="48" width="12.59765625" style="281" customWidth="1"/>
    <col min="49" max="49" width="14.3984375" customWidth="1"/>
    <col min="50" max="50" width="12.59765625" style="259" customWidth="1"/>
    <col min="51" max="51" width="12.59765625" style="86" customWidth="1"/>
    <col min="52" max="53" width="12.59765625" customWidth="1"/>
    <col min="54" max="54" width="20.3984375" customWidth="1"/>
    <col min="55" max="55" width="20.59765625" style="50" customWidth="1"/>
    <col min="56" max="56" width="11.59765625" style="1" customWidth="1"/>
  </cols>
  <sheetData>
    <row r="1" spans="1:56" s="14" customFormat="1" ht="12" customHeight="1" thickBot="1" x14ac:dyDescent="0.5">
      <c r="B1" s="208"/>
      <c r="C1" s="240"/>
      <c r="H1" s="282"/>
      <c r="M1" s="314"/>
      <c r="Q1" s="282"/>
      <c r="R1" s="314"/>
      <c r="V1" s="314"/>
      <c r="W1" s="208"/>
      <c r="AK1" s="82"/>
      <c r="AN1" s="314"/>
      <c r="AQ1" s="282"/>
      <c r="AS1" s="249"/>
      <c r="AT1" s="249"/>
      <c r="AU1" s="208"/>
      <c r="AV1" s="265"/>
      <c r="AX1" s="208"/>
      <c r="AY1" s="82"/>
      <c r="BC1" s="407"/>
      <c r="BD1" s="408"/>
    </row>
    <row r="2" spans="1:56" s="26" customFormat="1" ht="12" customHeight="1" x14ac:dyDescent="0.45">
      <c r="A2" s="23"/>
      <c r="B2" s="258" t="s">
        <v>42</v>
      </c>
      <c r="C2" s="83" t="s">
        <v>43</v>
      </c>
      <c r="D2" s="24" t="s">
        <v>44</v>
      </c>
      <c r="E2" s="24" t="s">
        <v>45</v>
      </c>
      <c r="F2" s="24" t="s">
        <v>46</v>
      </c>
      <c r="G2" s="24" t="s">
        <v>47</v>
      </c>
      <c r="H2" s="223" t="s">
        <v>54</v>
      </c>
      <c r="I2" s="24" t="s">
        <v>48</v>
      </c>
      <c r="J2" s="24" t="s">
        <v>49</v>
      </c>
      <c r="K2" s="24" t="s">
        <v>50</v>
      </c>
      <c r="L2" s="24" t="s">
        <v>85</v>
      </c>
      <c r="M2" s="397" t="s">
        <v>51</v>
      </c>
      <c r="N2" s="399"/>
      <c r="O2" s="398"/>
      <c r="P2" s="399"/>
      <c r="Q2" s="223" t="s">
        <v>56</v>
      </c>
      <c r="R2" s="397" t="s">
        <v>57</v>
      </c>
      <c r="S2" s="399"/>
      <c r="T2" s="397" t="s">
        <v>58</v>
      </c>
      <c r="U2" s="399"/>
      <c r="V2" s="397" t="s">
        <v>59</v>
      </c>
      <c r="W2" s="398"/>
      <c r="X2" s="398"/>
      <c r="Y2" s="398"/>
      <c r="Z2" s="398"/>
      <c r="AA2" s="398"/>
      <c r="AB2" s="398"/>
      <c r="AC2" s="398"/>
      <c r="AD2" s="398"/>
      <c r="AE2" s="398"/>
      <c r="AF2" s="399"/>
      <c r="AG2" s="397" t="s">
        <v>60</v>
      </c>
      <c r="AH2" s="398"/>
      <c r="AI2" s="399"/>
      <c r="AJ2" s="397" t="s">
        <v>61</v>
      </c>
      <c r="AK2" s="398"/>
      <c r="AL2" s="398"/>
      <c r="AM2" s="399"/>
      <c r="AN2" s="397" t="s">
        <v>62</v>
      </c>
      <c r="AO2" s="398"/>
      <c r="AP2" s="398"/>
      <c r="AQ2" s="409"/>
      <c r="AR2" s="399"/>
      <c r="AS2" s="223" t="s">
        <v>63</v>
      </c>
      <c r="AT2" s="223" t="s">
        <v>64</v>
      </c>
      <c r="AU2" s="397" t="s">
        <v>65</v>
      </c>
      <c r="AV2" s="398"/>
      <c r="AW2" s="399"/>
      <c r="AX2" s="397" t="s">
        <v>66</v>
      </c>
      <c r="AY2" s="399"/>
      <c r="AZ2" s="397" t="s">
        <v>67</v>
      </c>
      <c r="BA2" s="398"/>
      <c r="BB2" s="399"/>
      <c r="BC2" s="401"/>
      <c r="BD2" s="402"/>
    </row>
    <row r="3" spans="1:56" s="36" customFormat="1" ht="50.1" customHeight="1" x14ac:dyDescent="0.45">
      <c r="A3" s="35"/>
      <c r="B3" s="374" t="s">
        <v>137</v>
      </c>
      <c r="C3" s="375"/>
      <c r="D3" s="376"/>
      <c r="E3" s="376"/>
      <c r="F3" s="376"/>
      <c r="G3" s="376"/>
      <c r="H3" s="379" t="s">
        <v>25</v>
      </c>
      <c r="I3" s="376"/>
      <c r="J3" s="376"/>
      <c r="K3" s="376"/>
      <c r="L3" s="377"/>
      <c r="M3" s="395" t="s">
        <v>87</v>
      </c>
      <c r="N3" s="400"/>
      <c r="O3" s="400"/>
      <c r="P3" s="396"/>
      <c r="Q3" s="224" t="s">
        <v>25</v>
      </c>
      <c r="R3" s="395" t="s">
        <v>90</v>
      </c>
      <c r="S3" s="396"/>
      <c r="T3" s="395" t="s">
        <v>25</v>
      </c>
      <c r="U3" s="396"/>
      <c r="V3" s="395" t="s">
        <v>25</v>
      </c>
      <c r="W3" s="400"/>
      <c r="X3" s="400"/>
      <c r="Y3" s="400"/>
      <c r="Z3" s="400"/>
      <c r="AA3" s="400"/>
      <c r="AB3" s="400"/>
      <c r="AC3" s="400"/>
      <c r="AD3" s="400"/>
      <c r="AE3" s="400"/>
      <c r="AF3" s="396"/>
      <c r="AG3" s="395" t="s">
        <v>25</v>
      </c>
      <c r="AH3" s="400"/>
      <c r="AI3" s="396"/>
      <c r="AJ3" s="395" t="s">
        <v>25</v>
      </c>
      <c r="AK3" s="400"/>
      <c r="AL3" s="400"/>
      <c r="AM3" s="396"/>
      <c r="AN3" s="395" t="s">
        <v>25</v>
      </c>
      <c r="AO3" s="400"/>
      <c r="AP3" s="400"/>
      <c r="AQ3" s="403"/>
      <c r="AR3" s="396"/>
      <c r="AS3" s="224"/>
      <c r="AT3" s="315"/>
      <c r="AU3" s="395" t="s">
        <v>25</v>
      </c>
      <c r="AV3" s="400"/>
      <c r="AW3" s="396"/>
      <c r="AX3" s="395" t="s">
        <v>25</v>
      </c>
      <c r="AY3" s="396"/>
      <c r="AZ3" s="395" t="s">
        <v>112</v>
      </c>
      <c r="BA3" s="400"/>
      <c r="BB3" s="396"/>
      <c r="BC3" s="395"/>
      <c r="BD3" s="396"/>
    </row>
    <row r="4" spans="1:56" s="22" customFormat="1" ht="15" customHeight="1" x14ac:dyDescent="0.45">
      <c r="A4" s="28"/>
      <c r="B4" s="370" t="s">
        <v>142</v>
      </c>
      <c r="C4" s="371"/>
      <c r="D4" s="372"/>
      <c r="E4" s="372"/>
      <c r="F4" s="372"/>
      <c r="G4" s="372"/>
      <c r="H4" s="353"/>
      <c r="I4" s="372"/>
      <c r="J4" s="372"/>
      <c r="K4" s="372"/>
      <c r="L4" s="373"/>
      <c r="M4" s="404"/>
      <c r="N4" s="405"/>
      <c r="O4" s="405"/>
      <c r="P4" s="406"/>
      <c r="Q4" s="283"/>
      <c r="R4" s="309"/>
      <c r="S4" s="31"/>
      <c r="T4" s="395"/>
      <c r="U4" s="396"/>
      <c r="V4" s="309"/>
      <c r="W4" s="260"/>
      <c r="X4" s="311"/>
      <c r="Y4" s="311"/>
      <c r="Z4" s="311"/>
      <c r="AA4" s="311"/>
      <c r="AB4" s="311"/>
      <c r="AC4" s="311"/>
      <c r="AD4" s="311"/>
      <c r="AE4" s="311"/>
      <c r="AF4" s="311"/>
      <c r="AG4" s="395"/>
      <c r="AH4" s="400"/>
      <c r="AI4" s="396"/>
      <c r="AJ4" s="395"/>
      <c r="AK4" s="400"/>
      <c r="AL4" s="400"/>
      <c r="AM4" s="396"/>
      <c r="AN4" s="309"/>
      <c r="AO4" s="33"/>
      <c r="AP4" s="33"/>
      <c r="AQ4" s="315"/>
      <c r="AR4" s="31"/>
      <c r="AS4" s="255"/>
      <c r="AT4" s="251"/>
      <c r="AU4" s="395"/>
      <c r="AV4" s="400"/>
      <c r="AW4" s="396"/>
      <c r="AX4" s="395"/>
      <c r="AY4" s="396"/>
      <c r="AZ4" s="309"/>
      <c r="BA4" s="311"/>
      <c r="BB4" s="310"/>
      <c r="BC4" s="395"/>
      <c r="BD4" s="396"/>
    </row>
    <row r="5" spans="1:56" s="41" customFormat="1" ht="62.1" customHeight="1" x14ac:dyDescent="0.35">
      <c r="A5" s="37" t="s">
        <v>79</v>
      </c>
      <c r="B5" s="369" t="s">
        <v>35</v>
      </c>
      <c r="C5" s="302" t="s">
        <v>101</v>
      </c>
      <c r="D5" s="40" t="s">
        <v>33</v>
      </c>
      <c r="E5" s="382" t="s">
        <v>138</v>
      </c>
      <c r="F5" s="40" t="s">
        <v>40</v>
      </c>
      <c r="G5" s="40" t="s">
        <v>39</v>
      </c>
      <c r="H5" s="380" t="s">
        <v>105</v>
      </c>
      <c r="I5" s="40" t="s">
        <v>133</v>
      </c>
      <c r="J5" s="40" t="s">
        <v>134</v>
      </c>
      <c r="K5" s="384" t="s">
        <v>135</v>
      </c>
      <c r="L5" s="385"/>
      <c r="M5" s="384" t="s">
        <v>103</v>
      </c>
      <c r="N5" s="386"/>
      <c r="O5" s="386"/>
      <c r="P5" s="385"/>
      <c r="Q5" s="226" t="s">
        <v>106</v>
      </c>
      <c r="R5" s="389" t="s">
        <v>91</v>
      </c>
      <c r="S5" s="390"/>
      <c r="T5" s="384" t="s">
        <v>107</v>
      </c>
      <c r="U5" s="385"/>
      <c r="V5" s="384" t="s">
        <v>121</v>
      </c>
      <c r="W5" s="386"/>
      <c r="X5" s="386"/>
      <c r="Y5" s="386"/>
      <c r="Z5" s="386"/>
      <c r="AA5" s="386"/>
      <c r="AB5" s="386"/>
      <c r="AC5" s="386"/>
      <c r="AD5" s="386"/>
      <c r="AE5" s="386"/>
      <c r="AF5" s="385"/>
      <c r="AG5" s="384" t="s">
        <v>108</v>
      </c>
      <c r="AH5" s="386"/>
      <c r="AI5" s="385"/>
      <c r="AJ5" s="389" t="s">
        <v>86</v>
      </c>
      <c r="AK5" s="391"/>
      <c r="AL5" s="391"/>
      <c r="AM5" s="390"/>
      <c r="AN5" s="384" t="s">
        <v>110</v>
      </c>
      <c r="AO5" s="386"/>
      <c r="AP5" s="386"/>
      <c r="AQ5" s="387"/>
      <c r="AR5" s="385"/>
      <c r="AS5" s="226" t="s">
        <v>125</v>
      </c>
      <c r="AT5" s="226" t="s">
        <v>98</v>
      </c>
      <c r="AU5" s="384" t="s">
        <v>111</v>
      </c>
      <c r="AV5" s="386"/>
      <c r="AW5" s="385"/>
      <c r="AX5" s="384" t="s">
        <v>139</v>
      </c>
      <c r="AY5" s="385"/>
      <c r="AZ5" s="388" t="s">
        <v>124</v>
      </c>
      <c r="BA5" s="388"/>
      <c r="BB5" s="388"/>
      <c r="BC5" s="389" t="s">
        <v>23</v>
      </c>
      <c r="BD5" s="390"/>
    </row>
    <row r="6" spans="1:56" s="383" customFormat="1" ht="50.1" customHeight="1" thickBot="1" x14ac:dyDescent="0.4">
      <c r="A6" s="42"/>
      <c r="B6" s="43" t="s">
        <v>132</v>
      </c>
      <c r="C6" s="84"/>
      <c r="D6" s="44"/>
      <c r="E6" s="44"/>
      <c r="F6" s="43" t="s">
        <v>102</v>
      </c>
      <c r="G6" s="44"/>
      <c r="H6" s="381" t="s">
        <v>99</v>
      </c>
      <c r="I6" s="43" t="s">
        <v>136</v>
      </c>
      <c r="J6" s="44"/>
      <c r="K6" s="43" t="s">
        <v>131</v>
      </c>
      <c r="L6" s="378" t="s">
        <v>31</v>
      </c>
      <c r="M6" s="43" t="s">
        <v>130</v>
      </c>
      <c r="N6" s="43" t="s">
        <v>31</v>
      </c>
      <c r="O6" s="45" t="s">
        <v>141</v>
      </c>
      <c r="P6" s="44" t="s">
        <v>31</v>
      </c>
      <c r="Q6" s="252" t="s">
        <v>99</v>
      </c>
      <c r="R6" s="43" t="s">
        <v>113</v>
      </c>
      <c r="S6" s="44" t="s">
        <v>31</v>
      </c>
      <c r="T6" s="43" t="s">
        <v>114</v>
      </c>
      <c r="U6" s="44" t="s">
        <v>31</v>
      </c>
      <c r="V6" s="43" t="s">
        <v>10</v>
      </c>
      <c r="W6" s="45" t="s">
        <v>188</v>
      </c>
      <c r="X6" s="392" t="s">
        <v>118</v>
      </c>
      <c r="Y6" s="393"/>
      <c r="Z6" s="394"/>
      <c r="AA6" s="392" t="s">
        <v>119</v>
      </c>
      <c r="AB6" s="393"/>
      <c r="AC6" s="394"/>
      <c r="AD6" s="392" t="s">
        <v>120</v>
      </c>
      <c r="AE6" s="393"/>
      <c r="AF6" s="394"/>
      <c r="AG6" s="43" t="s">
        <v>115</v>
      </c>
      <c r="AH6" s="43" t="s">
        <v>116</v>
      </c>
      <c r="AI6" s="44" t="s">
        <v>31</v>
      </c>
      <c r="AJ6" s="45" t="s">
        <v>117</v>
      </c>
      <c r="AK6" s="84" t="s">
        <v>93</v>
      </c>
      <c r="AL6" s="43" t="s">
        <v>109</v>
      </c>
      <c r="AM6" s="44" t="s">
        <v>31</v>
      </c>
      <c r="AN6" s="44" t="s">
        <v>95</v>
      </c>
      <c r="AO6" s="43" t="s">
        <v>96</v>
      </c>
      <c r="AP6" s="44" t="s">
        <v>97</v>
      </c>
      <c r="AQ6" s="252" t="s">
        <v>99</v>
      </c>
      <c r="AR6" s="43" t="s">
        <v>31</v>
      </c>
      <c r="AS6" s="252" t="s">
        <v>99</v>
      </c>
      <c r="AT6" s="252" t="s">
        <v>100</v>
      </c>
      <c r="AU6" s="45" t="s">
        <v>113</v>
      </c>
      <c r="AV6" s="84" t="s">
        <v>93</v>
      </c>
      <c r="AW6" s="44" t="s">
        <v>31</v>
      </c>
      <c r="AX6" s="43" t="s">
        <v>113</v>
      </c>
      <c r="AY6" s="84" t="s">
        <v>31</v>
      </c>
      <c r="AZ6" s="43" t="s">
        <v>115</v>
      </c>
      <c r="BA6" s="43" t="s">
        <v>122</v>
      </c>
      <c r="BB6" s="44" t="s">
        <v>31</v>
      </c>
      <c r="BC6" s="48" t="s">
        <v>123</v>
      </c>
      <c r="BD6" s="51" t="s">
        <v>31</v>
      </c>
    </row>
    <row r="7" spans="1:56" s="176" customFormat="1" x14ac:dyDescent="0.45">
      <c r="A7" s="12"/>
      <c r="B7" s="150"/>
      <c r="C7" s="53"/>
      <c r="D7" s="169"/>
      <c r="E7" s="169"/>
      <c r="F7" s="55"/>
      <c r="G7" s="54"/>
      <c r="H7" s="299"/>
      <c r="I7" s="55"/>
      <c r="J7" s="170"/>
      <c r="K7" s="65" t="s">
        <v>187</v>
      </c>
      <c r="L7" s="177"/>
      <c r="M7" s="65"/>
      <c r="N7" s="63"/>
      <c r="O7" s="65"/>
      <c r="P7" s="63"/>
      <c r="Q7" s="299"/>
      <c r="R7" s="65"/>
      <c r="S7" s="63"/>
      <c r="T7" s="65"/>
      <c r="U7" s="171"/>
      <c r="V7" s="189"/>
      <c r="W7" s="129"/>
      <c r="X7" s="20"/>
      <c r="Y7" s="21"/>
      <c r="Z7" s="59"/>
      <c r="AA7" s="20"/>
      <c r="AB7" s="21"/>
      <c r="AC7" s="59"/>
      <c r="AD7" s="20"/>
      <c r="AE7" s="21"/>
      <c r="AF7" s="59"/>
      <c r="AG7" s="172"/>
      <c r="AH7" s="172"/>
      <c r="AI7" s="171"/>
      <c r="AJ7" s="172"/>
      <c r="AK7" s="173"/>
      <c r="AL7" s="172"/>
      <c r="AM7" s="171"/>
      <c r="AN7" s="68"/>
      <c r="AO7" s="20"/>
      <c r="AP7" s="21"/>
      <c r="AQ7" s="298"/>
      <c r="AR7" s="170"/>
      <c r="AS7" s="174"/>
      <c r="AT7" s="61"/>
      <c r="AU7" s="130"/>
      <c r="AV7" s="267"/>
      <c r="AW7" s="55"/>
      <c r="AX7" s="130"/>
      <c r="AY7" s="62"/>
      <c r="AZ7" s="57"/>
      <c r="BA7" s="57"/>
      <c r="BB7" s="55"/>
      <c r="BC7" s="49" t="e">
        <f>IF(OR(#REF!="",#REF!="")=TRUE,"",NETWORKDAYS.INTL(#REF!,#REF!))</f>
        <v>#REF!</v>
      </c>
      <c r="BD7" s="175"/>
    </row>
    <row r="8" spans="1:56" s="176" customFormat="1" x14ac:dyDescent="0.45">
      <c r="A8" s="13"/>
      <c r="B8" s="150"/>
      <c r="C8" s="53"/>
      <c r="D8" s="170"/>
      <c r="E8" s="170"/>
      <c r="F8" s="55"/>
      <c r="G8" s="54"/>
      <c r="H8" s="298"/>
      <c r="I8" s="55"/>
      <c r="J8" s="55"/>
      <c r="K8" s="65"/>
      <c r="L8" s="177"/>
      <c r="M8" s="65"/>
      <c r="N8" s="63"/>
      <c r="O8" s="65"/>
      <c r="P8" s="63"/>
      <c r="Q8" s="298"/>
      <c r="R8" s="65"/>
      <c r="S8" s="63"/>
      <c r="T8" s="66"/>
      <c r="U8" s="177"/>
      <c r="V8" s="263"/>
      <c r="W8" s="129"/>
      <c r="X8" s="175"/>
      <c r="Y8" s="175"/>
      <c r="Z8" s="178"/>
      <c r="AA8" s="175"/>
      <c r="AB8" s="175"/>
      <c r="AC8" s="178"/>
      <c r="AD8" s="175"/>
      <c r="AE8" s="175"/>
      <c r="AF8" s="178"/>
      <c r="AG8" s="172"/>
      <c r="AH8" s="172"/>
      <c r="AI8" s="177"/>
      <c r="AJ8" s="179"/>
      <c r="AK8" s="173"/>
      <c r="AL8" s="179"/>
      <c r="AM8" s="177"/>
      <c r="AN8" s="6"/>
      <c r="AO8" s="5"/>
      <c r="AP8" s="5"/>
      <c r="AQ8" s="299"/>
      <c r="AR8" s="175"/>
      <c r="AS8" s="174"/>
      <c r="AT8" s="180"/>
      <c r="AU8" s="214"/>
      <c r="AV8" s="268"/>
      <c r="AW8" s="175"/>
      <c r="AX8" s="153"/>
      <c r="AY8" s="173"/>
      <c r="AZ8" s="57"/>
      <c r="BA8" s="57"/>
      <c r="BB8" s="175"/>
      <c r="BC8" s="49" t="e">
        <f>IF(OR(#REF!="",#REF!="")=TRUE,"",NETWORKDAYS.INTL(#REF!,#REF!))</f>
        <v>#REF!</v>
      </c>
      <c r="BD8" s="175"/>
    </row>
    <row r="9" spans="1:56" s="176" customFormat="1" x14ac:dyDescent="0.45">
      <c r="A9" s="13"/>
      <c r="B9" s="150"/>
      <c r="C9" s="53"/>
      <c r="D9" s="170"/>
      <c r="E9" s="170"/>
      <c r="F9" s="55"/>
      <c r="G9" s="54"/>
      <c r="H9" s="299"/>
      <c r="I9" s="5"/>
      <c r="J9" s="55"/>
      <c r="K9" s="65"/>
      <c r="L9" s="177"/>
      <c r="M9" s="65"/>
      <c r="N9" s="63"/>
      <c r="O9" s="65"/>
      <c r="P9" s="63"/>
      <c r="Q9" s="299"/>
      <c r="R9" s="65"/>
      <c r="S9" s="63"/>
      <c r="T9" s="66"/>
      <c r="U9" s="177"/>
      <c r="V9" s="263"/>
      <c r="W9" s="129"/>
      <c r="X9" s="175"/>
      <c r="Y9" s="175"/>
      <c r="Z9" s="178"/>
      <c r="AA9" s="175"/>
      <c r="AB9" s="175"/>
      <c r="AC9" s="175"/>
      <c r="AD9" s="175"/>
      <c r="AE9" s="175"/>
      <c r="AF9" s="178"/>
      <c r="AG9" s="172"/>
      <c r="AH9" s="172"/>
      <c r="AI9" s="177"/>
      <c r="AJ9" s="179"/>
      <c r="AK9" s="173"/>
      <c r="AL9" s="179"/>
      <c r="AM9" s="177"/>
      <c r="AN9" s="263"/>
      <c r="AO9" s="5"/>
      <c r="AP9" s="5"/>
      <c r="AQ9" s="299"/>
      <c r="AR9" s="175"/>
      <c r="AS9" s="174"/>
      <c r="AT9" s="180"/>
      <c r="AU9" s="214"/>
      <c r="AV9" s="268"/>
      <c r="AW9" s="175"/>
      <c r="AX9" s="153"/>
      <c r="AY9" s="173"/>
      <c r="AZ9" s="57"/>
      <c r="BA9" s="57"/>
      <c r="BB9" s="175"/>
      <c r="BC9" s="49" t="e">
        <f>IF(OR(#REF!="",#REF!="")=TRUE,"",NETWORKDAYS.INTL(#REF!,#REF!))</f>
        <v>#REF!</v>
      </c>
      <c r="BD9" s="175"/>
    </row>
    <row r="10" spans="1:56" s="176" customFormat="1" x14ac:dyDescent="0.45">
      <c r="A10" s="12"/>
      <c r="B10" s="150"/>
      <c r="C10" s="53"/>
      <c r="D10" s="170"/>
      <c r="E10" s="169"/>
      <c r="F10" s="55"/>
      <c r="G10" s="56"/>
      <c r="H10" s="299"/>
      <c r="I10" s="6"/>
      <c r="J10" s="55"/>
      <c r="K10" s="65"/>
      <c r="L10" s="177"/>
      <c r="M10" s="65"/>
      <c r="N10" s="63"/>
      <c r="O10" s="65"/>
      <c r="P10" s="63"/>
      <c r="Q10" s="299"/>
      <c r="R10" s="65"/>
      <c r="S10" s="63"/>
      <c r="T10" s="66"/>
      <c r="U10" s="177"/>
      <c r="V10" s="263"/>
      <c r="W10" s="129"/>
      <c r="X10" s="175"/>
      <c r="Y10" s="175"/>
      <c r="Z10" s="178"/>
      <c r="AA10" s="175"/>
      <c r="AB10" s="175"/>
      <c r="AC10" s="67"/>
      <c r="AD10" s="175"/>
      <c r="AE10" s="175"/>
      <c r="AF10" s="178"/>
      <c r="AG10" s="172"/>
      <c r="AH10" s="172"/>
      <c r="AI10" s="177"/>
      <c r="AJ10" s="179"/>
      <c r="AK10" s="173"/>
      <c r="AL10" s="179"/>
      <c r="AM10" s="177"/>
      <c r="AN10" s="263"/>
      <c r="AO10" s="175"/>
      <c r="AP10" s="175"/>
      <c r="AQ10" s="299"/>
      <c r="AR10" s="175"/>
      <c r="AS10" s="174"/>
      <c r="AT10" s="69"/>
      <c r="AU10" s="130"/>
      <c r="AV10" s="269"/>
      <c r="AW10" s="6"/>
      <c r="AX10" s="153"/>
      <c r="AY10" s="70"/>
      <c r="AZ10" s="57"/>
      <c r="BA10" s="57"/>
      <c r="BB10" s="175"/>
      <c r="BC10" s="49" t="e">
        <f>IF(OR(#REF!="",#REF!="")=TRUE,"",NETWORKDAYS.INTL(#REF!,#REF!))</f>
        <v>#REF!</v>
      </c>
      <c r="BD10" s="175"/>
    </row>
    <row r="11" spans="1:56" s="176" customFormat="1" x14ac:dyDescent="0.45">
      <c r="A11" s="13"/>
      <c r="B11" s="150"/>
      <c r="C11" s="53"/>
      <c r="D11" s="169"/>
      <c r="E11" s="169"/>
      <c r="F11" s="55"/>
      <c r="G11" s="56"/>
      <c r="H11" s="299"/>
      <c r="I11" s="6"/>
      <c r="J11" s="55"/>
      <c r="K11" s="65"/>
      <c r="L11" s="177"/>
      <c r="M11" s="65"/>
      <c r="N11" s="63"/>
      <c r="O11" s="65"/>
      <c r="P11" s="63"/>
      <c r="Q11" s="299"/>
      <c r="R11" s="65"/>
      <c r="S11" s="63"/>
      <c r="T11" s="66"/>
      <c r="U11" s="71"/>
      <c r="V11" s="263"/>
      <c r="W11" s="129"/>
      <c r="X11" s="71"/>
      <c r="Y11" s="71"/>
      <c r="Z11" s="72"/>
      <c r="AA11" s="71"/>
      <c r="AB11" s="71"/>
      <c r="AC11" s="72"/>
      <c r="AD11" s="71"/>
      <c r="AE11" s="71"/>
      <c r="AF11" s="72"/>
      <c r="AG11" s="73"/>
      <c r="AH11" s="73"/>
      <c r="AI11" s="74"/>
      <c r="AJ11" s="73"/>
      <c r="AK11" s="75"/>
      <c r="AL11" s="73"/>
      <c r="AM11" s="74"/>
      <c r="AN11" s="76"/>
      <c r="AO11" s="76"/>
      <c r="AP11" s="76"/>
      <c r="AQ11" s="296"/>
      <c r="AR11" s="71"/>
      <c r="AS11" s="77"/>
      <c r="AT11" s="78"/>
      <c r="AU11" s="293"/>
      <c r="AV11" s="270"/>
      <c r="AW11" s="76"/>
      <c r="AX11" s="288"/>
      <c r="AY11" s="79"/>
      <c r="AZ11" s="81"/>
      <c r="BA11" s="80"/>
      <c r="BB11" s="71"/>
      <c r="BC11" s="49" t="e">
        <f>IF(OR(#REF!="",#REF!="")=TRUE,"",NETWORKDAYS.INTL(#REF!,#REF!))</f>
        <v>#REF!</v>
      </c>
      <c r="BD11" s="175"/>
    </row>
    <row r="12" spans="1:56" s="176" customFormat="1" x14ac:dyDescent="0.45">
      <c r="A12" s="13"/>
      <c r="B12" s="150"/>
      <c r="C12" s="53"/>
      <c r="D12" s="170"/>
      <c r="E12" s="169"/>
      <c r="F12" s="55"/>
      <c r="G12" s="56"/>
      <c r="H12" s="307"/>
      <c r="I12" s="175"/>
      <c r="J12" s="175"/>
      <c r="K12" s="179"/>
      <c r="L12" s="177"/>
      <c r="M12" s="65"/>
      <c r="N12" s="63"/>
      <c r="O12" s="65"/>
      <c r="P12" s="63"/>
      <c r="Q12" s="299"/>
      <c r="R12" s="65"/>
      <c r="S12" s="63"/>
      <c r="T12" s="66"/>
      <c r="U12" s="177"/>
      <c r="V12" s="263"/>
      <c r="W12" s="129"/>
      <c r="X12" s="175"/>
      <c r="Y12" s="175"/>
      <c r="Z12" s="178"/>
      <c r="AA12" s="175"/>
      <c r="AB12" s="175"/>
      <c r="AC12" s="178"/>
      <c r="AD12" s="175"/>
      <c r="AE12" s="175"/>
      <c r="AF12" s="178"/>
      <c r="AG12" s="179"/>
      <c r="AH12" s="179"/>
      <c r="AI12" s="177"/>
      <c r="AJ12" s="179"/>
      <c r="AK12" s="173"/>
      <c r="AL12" s="179"/>
      <c r="AM12" s="177"/>
      <c r="AN12" s="263"/>
      <c r="AO12" s="175"/>
      <c r="AP12" s="175"/>
      <c r="AQ12" s="299"/>
      <c r="AR12" s="175"/>
      <c r="AS12" s="174"/>
      <c r="AT12" s="181"/>
      <c r="AU12" s="130"/>
      <c r="AV12" s="268"/>
      <c r="AW12" s="175"/>
      <c r="AX12" s="210"/>
      <c r="AY12" s="173"/>
      <c r="AZ12" s="57"/>
      <c r="BA12" s="66"/>
      <c r="BB12" s="175"/>
      <c r="BC12" s="49" t="e">
        <f>IF(OR(#REF!="",#REF!="")=TRUE,"",NETWORKDAYS.INTL(#REF!,#REF!))</f>
        <v>#REF!</v>
      </c>
      <c r="BD12" s="175"/>
    </row>
    <row r="13" spans="1:56" s="176" customFormat="1" x14ac:dyDescent="0.45">
      <c r="A13" s="12"/>
      <c r="B13" s="150"/>
      <c r="C13" s="53"/>
      <c r="D13" s="170"/>
      <c r="E13" s="169"/>
      <c r="F13" s="55"/>
      <c r="G13" s="56"/>
      <c r="H13" s="307"/>
      <c r="I13" s="175"/>
      <c r="J13" s="175"/>
      <c r="K13" s="179"/>
      <c r="L13" s="177"/>
      <c r="M13" s="65"/>
      <c r="N13" s="63"/>
      <c r="O13" s="65"/>
      <c r="P13" s="63"/>
      <c r="Q13" s="307"/>
      <c r="R13" s="65"/>
      <c r="S13" s="63"/>
      <c r="T13" s="66"/>
      <c r="U13" s="177"/>
      <c r="V13" s="263"/>
      <c r="W13" s="129"/>
      <c r="X13" s="175"/>
      <c r="Y13" s="175"/>
      <c r="Z13" s="178"/>
      <c r="AA13" s="175"/>
      <c r="AB13" s="175"/>
      <c r="AC13" s="178"/>
      <c r="AD13" s="175"/>
      <c r="AE13" s="175"/>
      <c r="AF13" s="178"/>
      <c r="AG13" s="179"/>
      <c r="AH13" s="179"/>
      <c r="AI13" s="177"/>
      <c r="AJ13" s="179"/>
      <c r="AK13" s="173"/>
      <c r="AL13" s="179"/>
      <c r="AM13" s="177"/>
      <c r="AN13" s="263"/>
      <c r="AO13" s="175"/>
      <c r="AP13" s="175"/>
      <c r="AQ13" s="307"/>
      <c r="AR13" s="175"/>
      <c r="AS13" s="174"/>
      <c r="AT13" s="181"/>
      <c r="AU13" s="130"/>
      <c r="AV13" s="268"/>
      <c r="AW13" s="175"/>
      <c r="AX13" s="210"/>
      <c r="AY13" s="173"/>
      <c r="AZ13" s="57"/>
      <c r="BA13" s="66"/>
      <c r="BB13" s="175"/>
      <c r="BC13" s="49" t="e">
        <f>IF(OR(#REF!="",#REF!="")=TRUE,"",NETWORKDAYS.INTL(#REF!,#REF!))</f>
        <v>#REF!</v>
      </c>
      <c r="BD13" s="175"/>
    </row>
    <row r="14" spans="1:56" s="176" customFormat="1" x14ac:dyDescent="0.45">
      <c r="A14" s="13"/>
      <c r="B14" s="150"/>
      <c r="C14" s="53"/>
      <c r="D14" s="170"/>
      <c r="E14" s="169"/>
      <c r="F14" s="55"/>
      <c r="G14" s="56"/>
      <c r="H14" s="307"/>
      <c r="I14" s="175"/>
      <c r="J14" s="175"/>
      <c r="K14" s="179"/>
      <c r="L14" s="177"/>
      <c r="M14" s="65"/>
      <c r="N14" s="63"/>
      <c r="O14" s="65"/>
      <c r="P14" s="63"/>
      <c r="Q14" s="307"/>
      <c r="R14" s="65"/>
      <c r="S14" s="63"/>
      <c r="T14" s="66"/>
      <c r="U14" s="177"/>
      <c r="V14" s="263"/>
      <c r="W14" s="129"/>
      <c r="X14" s="175"/>
      <c r="Y14" s="175"/>
      <c r="Z14" s="178"/>
      <c r="AA14" s="175"/>
      <c r="AB14" s="175"/>
      <c r="AC14" s="178"/>
      <c r="AD14" s="175"/>
      <c r="AE14" s="175"/>
      <c r="AF14" s="178"/>
      <c r="AG14" s="179"/>
      <c r="AH14" s="179"/>
      <c r="AI14" s="177"/>
      <c r="AJ14" s="179"/>
      <c r="AK14" s="173"/>
      <c r="AL14" s="179"/>
      <c r="AM14" s="177"/>
      <c r="AN14" s="263"/>
      <c r="AO14" s="175"/>
      <c r="AP14" s="175"/>
      <c r="AQ14" s="307"/>
      <c r="AR14" s="175"/>
      <c r="AS14" s="174"/>
      <c r="AT14" s="181"/>
      <c r="AU14" s="130"/>
      <c r="AV14" s="268"/>
      <c r="AW14" s="175"/>
      <c r="AX14" s="210"/>
      <c r="AY14" s="173"/>
      <c r="AZ14" s="57"/>
      <c r="BA14" s="66"/>
      <c r="BB14" s="175"/>
      <c r="BC14" s="49" t="e">
        <f>IF(OR(#REF!="",#REF!="")=TRUE,"",NETWORKDAYS.INTL(#REF!,#REF!))</f>
        <v>#REF!</v>
      </c>
      <c r="BD14" s="175"/>
    </row>
    <row r="15" spans="1:56" s="176" customFormat="1" x14ac:dyDescent="0.45">
      <c r="A15" s="13"/>
      <c r="B15" s="150"/>
      <c r="C15" s="53"/>
      <c r="D15" s="170"/>
      <c r="E15" s="169"/>
      <c r="F15" s="55"/>
      <c r="G15" s="56"/>
      <c r="H15" s="307"/>
      <c r="I15" s="175"/>
      <c r="J15" s="175"/>
      <c r="K15" s="179"/>
      <c r="L15" s="177"/>
      <c r="M15" s="65"/>
      <c r="N15" s="63"/>
      <c r="O15" s="65"/>
      <c r="P15" s="63"/>
      <c r="Q15" s="307"/>
      <c r="R15" s="65"/>
      <c r="S15" s="63"/>
      <c r="T15" s="66"/>
      <c r="U15" s="177"/>
      <c r="V15" s="263"/>
      <c r="W15" s="129"/>
      <c r="X15" s="175"/>
      <c r="Y15" s="175"/>
      <c r="Z15" s="178"/>
      <c r="AA15" s="175"/>
      <c r="AB15" s="175"/>
      <c r="AC15" s="178"/>
      <c r="AD15" s="175"/>
      <c r="AE15" s="175"/>
      <c r="AF15" s="178"/>
      <c r="AG15" s="179"/>
      <c r="AH15" s="179"/>
      <c r="AI15" s="177"/>
      <c r="AJ15" s="179"/>
      <c r="AK15" s="173"/>
      <c r="AL15" s="179"/>
      <c r="AM15" s="177"/>
      <c r="AN15" s="263"/>
      <c r="AO15" s="175"/>
      <c r="AP15" s="175"/>
      <c r="AQ15" s="307"/>
      <c r="AR15" s="175"/>
      <c r="AS15" s="174"/>
      <c r="AT15" s="181"/>
      <c r="AU15" s="130"/>
      <c r="AV15" s="268"/>
      <c r="AW15" s="175"/>
      <c r="AX15" s="210"/>
      <c r="AY15" s="173"/>
      <c r="AZ15" s="57"/>
      <c r="BA15" s="66"/>
      <c r="BB15" s="175"/>
      <c r="BC15" s="49" t="e">
        <f>IF(OR(#REF!="",#REF!="")=TRUE,"",NETWORKDAYS.INTL(#REF!,#REF!))</f>
        <v>#REF!</v>
      </c>
      <c r="BD15" s="175"/>
    </row>
    <row r="16" spans="1:56" s="176" customFormat="1" x14ac:dyDescent="0.45">
      <c r="A16" s="12"/>
      <c r="B16" s="150"/>
      <c r="C16" s="53"/>
      <c r="D16" s="170"/>
      <c r="E16" s="169"/>
      <c r="F16" s="55"/>
      <c r="G16" s="56"/>
      <c r="H16" s="307"/>
      <c r="I16" s="175"/>
      <c r="J16" s="175"/>
      <c r="K16" s="179"/>
      <c r="L16" s="177"/>
      <c r="M16" s="65"/>
      <c r="N16" s="63"/>
      <c r="O16" s="65"/>
      <c r="P16" s="63"/>
      <c r="Q16" s="307"/>
      <c r="R16" s="65"/>
      <c r="S16" s="63"/>
      <c r="T16" s="66"/>
      <c r="U16" s="177"/>
      <c r="V16" s="263"/>
      <c r="W16" s="129"/>
      <c r="X16" s="175"/>
      <c r="Y16" s="175"/>
      <c r="Z16" s="178"/>
      <c r="AA16" s="175"/>
      <c r="AB16" s="175"/>
      <c r="AC16" s="178"/>
      <c r="AD16" s="175"/>
      <c r="AE16" s="175"/>
      <c r="AF16" s="178"/>
      <c r="AG16" s="179"/>
      <c r="AH16" s="179"/>
      <c r="AI16" s="177"/>
      <c r="AJ16" s="179"/>
      <c r="AK16" s="173"/>
      <c r="AL16" s="179"/>
      <c r="AM16" s="177"/>
      <c r="AN16" s="263"/>
      <c r="AO16" s="175"/>
      <c r="AP16" s="175"/>
      <c r="AQ16" s="307"/>
      <c r="AR16" s="175"/>
      <c r="AS16" s="174"/>
      <c r="AT16" s="178"/>
      <c r="AU16" s="130"/>
      <c r="AV16" s="268"/>
      <c r="AW16" s="175"/>
      <c r="AX16" s="210"/>
      <c r="AY16" s="173"/>
      <c r="AZ16" s="57"/>
      <c r="BA16" s="66"/>
      <c r="BB16" s="175"/>
      <c r="BC16" s="49" t="e">
        <f>IF(OR(#REF!="",#REF!="")=TRUE,"",NETWORKDAYS.INTL(#REF!,#REF!))</f>
        <v>#REF!</v>
      </c>
      <c r="BD16" s="175"/>
    </row>
    <row r="17" spans="1:56" s="176" customFormat="1" x14ac:dyDescent="0.45">
      <c r="A17" s="13"/>
      <c r="B17" s="150"/>
      <c r="C17" s="53"/>
      <c r="D17" s="170"/>
      <c r="E17" s="169"/>
      <c r="F17" s="55"/>
      <c r="G17" s="56"/>
      <c r="H17" s="307"/>
      <c r="I17" s="175"/>
      <c r="J17" s="175"/>
      <c r="K17" s="179"/>
      <c r="L17" s="177"/>
      <c r="M17" s="65"/>
      <c r="N17" s="63"/>
      <c r="O17" s="65"/>
      <c r="P17" s="63"/>
      <c r="Q17" s="307"/>
      <c r="R17" s="65"/>
      <c r="S17" s="63"/>
      <c r="T17" s="66"/>
      <c r="U17" s="177"/>
      <c r="V17" s="263"/>
      <c r="W17" s="129"/>
      <c r="X17" s="175"/>
      <c r="Y17" s="175"/>
      <c r="Z17" s="178"/>
      <c r="AA17" s="175"/>
      <c r="AB17" s="175"/>
      <c r="AC17" s="178"/>
      <c r="AD17" s="175"/>
      <c r="AE17" s="175"/>
      <c r="AF17" s="178"/>
      <c r="AG17" s="179"/>
      <c r="AH17" s="179"/>
      <c r="AI17" s="177"/>
      <c r="AJ17" s="179"/>
      <c r="AK17" s="173"/>
      <c r="AL17" s="179"/>
      <c r="AM17" s="177"/>
      <c r="AN17" s="263"/>
      <c r="AO17" s="175"/>
      <c r="AP17" s="175"/>
      <c r="AQ17" s="307"/>
      <c r="AR17" s="178"/>
      <c r="AS17" s="174"/>
      <c r="AT17" s="181"/>
      <c r="AU17" s="130"/>
      <c r="AV17" s="268"/>
      <c r="AW17" s="175"/>
      <c r="AX17" s="210"/>
      <c r="AY17" s="173"/>
      <c r="AZ17" s="57"/>
      <c r="BA17" s="66"/>
      <c r="BB17" s="175"/>
      <c r="BC17" s="49" t="e">
        <f>IF(OR(#REF!="",#REF!="")=TRUE,"",NETWORKDAYS.INTL(#REF!,#REF!))</f>
        <v>#REF!</v>
      </c>
      <c r="BD17" s="175"/>
    </row>
    <row r="18" spans="1:56" s="176" customFormat="1" x14ac:dyDescent="0.45">
      <c r="A18" s="13"/>
      <c r="B18" s="155"/>
      <c r="C18" s="85"/>
      <c r="D18" s="175"/>
      <c r="E18" s="175"/>
      <c r="F18" s="175"/>
      <c r="G18" s="175"/>
      <c r="H18" s="307"/>
      <c r="I18" s="175"/>
      <c r="J18" s="175"/>
      <c r="K18" s="179"/>
      <c r="L18" s="177"/>
      <c r="M18" s="238"/>
      <c r="N18" s="177"/>
      <c r="O18" s="179"/>
      <c r="P18" s="177"/>
      <c r="Q18" s="307"/>
      <c r="R18" s="238"/>
      <c r="S18" s="177"/>
      <c r="T18" s="179"/>
      <c r="U18" s="177"/>
      <c r="V18" s="263"/>
      <c r="W18" s="262"/>
      <c r="X18" s="175"/>
      <c r="Y18" s="175"/>
      <c r="Z18" s="175"/>
      <c r="AA18" s="175"/>
      <c r="AB18" s="175"/>
      <c r="AC18" s="175"/>
      <c r="AD18" s="175"/>
      <c r="AE18" s="175"/>
      <c r="AF18" s="175"/>
      <c r="AG18" s="179"/>
      <c r="AH18" s="179"/>
      <c r="AI18" s="177"/>
      <c r="AJ18" s="179"/>
      <c r="AK18" s="183"/>
      <c r="AL18" s="177"/>
      <c r="AM18" s="177"/>
      <c r="AN18" s="263"/>
      <c r="AO18" s="175"/>
      <c r="AP18" s="175"/>
      <c r="AQ18" s="307"/>
      <c r="AR18" s="175"/>
      <c r="AS18" s="170"/>
      <c r="AT18" s="170"/>
      <c r="AU18" s="214"/>
      <c r="AV18" s="268"/>
      <c r="AW18" s="175"/>
      <c r="AX18" s="210"/>
      <c r="AY18" s="173"/>
      <c r="AZ18" s="179"/>
      <c r="BA18" s="179"/>
      <c r="BB18" s="175"/>
      <c r="BC18" s="49" t="e">
        <v>#REF!</v>
      </c>
      <c r="BD18" s="175"/>
    </row>
    <row r="19" spans="1:56" s="176" customFormat="1" x14ac:dyDescent="0.45">
      <c r="A19" s="12"/>
      <c r="B19" s="150"/>
      <c r="C19" s="53"/>
      <c r="D19" s="175"/>
      <c r="E19" s="175"/>
      <c r="F19" s="175"/>
      <c r="G19" s="175"/>
      <c r="H19" s="307"/>
      <c r="I19" s="175"/>
      <c r="J19" s="175"/>
      <c r="K19" s="179"/>
      <c r="L19" s="177"/>
      <c r="M19" s="238"/>
      <c r="N19" s="177"/>
      <c r="O19" s="179"/>
      <c r="P19" s="177"/>
      <c r="Q19" s="307"/>
      <c r="R19" s="238"/>
      <c r="S19" s="177"/>
      <c r="T19" s="179"/>
      <c r="U19" s="177"/>
      <c r="V19" s="263"/>
      <c r="W19" s="262"/>
      <c r="X19" s="175"/>
      <c r="Y19" s="175"/>
      <c r="Z19" s="175"/>
      <c r="AA19" s="175"/>
      <c r="AB19" s="175"/>
      <c r="AC19" s="175"/>
      <c r="AD19" s="175"/>
      <c r="AE19" s="175"/>
      <c r="AF19" s="175"/>
      <c r="AG19" s="179"/>
      <c r="AH19" s="179"/>
      <c r="AI19" s="177"/>
      <c r="AJ19" s="179"/>
      <c r="AK19" s="183"/>
      <c r="AL19" s="177"/>
      <c r="AM19" s="177"/>
      <c r="AN19" s="263"/>
      <c r="AO19" s="175"/>
      <c r="AP19" s="175"/>
      <c r="AQ19" s="307"/>
      <c r="AR19" s="175"/>
      <c r="AS19" s="170"/>
      <c r="AT19" s="170"/>
      <c r="AU19" s="214"/>
      <c r="AV19" s="268"/>
      <c r="AW19" s="175"/>
      <c r="AX19" s="210"/>
      <c r="AY19" s="173"/>
      <c r="AZ19" s="179"/>
      <c r="BA19" s="179"/>
      <c r="BB19" s="175"/>
      <c r="BC19" s="49" t="e">
        <v>#REF!</v>
      </c>
      <c r="BD19" s="175"/>
    </row>
    <row r="20" spans="1:56" s="176" customFormat="1" x14ac:dyDescent="0.45">
      <c r="A20" s="13"/>
      <c r="B20" s="155"/>
      <c r="C20" s="85"/>
      <c r="D20" s="175"/>
      <c r="E20" s="175"/>
      <c r="F20" s="175"/>
      <c r="G20" s="175"/>
      <c r="H20" s="307"/>
      <c r="I20" s="175"/>
      <c r="J20" s="175"/>
      <c r="K20" s="179"/>
      <c r="L20" s="177"/>
      <c r="M20" s="238"/>
      <c r="N20" s="177"/>
      <c r="O20" s="179"/>
      <c r="P20" s="177"/>
      <c r="Q20" s="307"/>
      <c r="R20" s="238"/>
      <c r="S20" s="177"/>
      <c r="T20" s="179"/>
      <c r="U20" s="177"/>
      <c r="V20" s="263"/>
      <c r="W20" s="262"/>
      <c r="X20" s="175"/>
      <c r="Y20" s="175"/>
      <c r="Z20" s="175"/>
      <c r="AA20" s="175"/>
      <c r="AB20" s="175"/>
      <c r="AC20" s="175"/>
      <c r="AD20" s="175"/>
      <c r="AE20" s="175"/>
      <c r="AF20" s="175"/>
      <c r="AG20" s="179"/>
      <c r="AH20" s="179"/>
      <c r="AI20" s="177"/>
      <c r="AJ20" s="179"/>
      <c r="AK20" s="183"/>
      <c r="AL20" s="177"/>
      <c r="AM20" s="177"/>
      <c r="AN20" s="263"/>
      <c r="AO20" s="175"/>
      <c r="AP20" s="175"/>
      <c r="AQ20" s="307"/>
      <c r="AR20" s="175"/>
      <c r="AS20" s="170"/>
      <c r="AT20" s="170"/>
      <c r="AU20" s="214"/>
      <c r="AV20" s="268"/>
      <c r="AW20" s="175"/>
      <c r="AX20" s="210"/>
      <c r="AY20" s="173"/>
      <c r="AZ20" s="179"/>
      <c r="BA20" s="179"/>
      <c r="BB20" s="175"/>
      <c r="BC20" s="49" t="e">
        <v>#REF!</v>
      </c>
      <c r="BD20" s="175"/>
    </row>
    <row r="21" spans="1:56" s="176" customFormat="1" x14ac:dyDescent="0.45">
      <c r="A21" s="13"/>
      <c r="B21" s="155"/>
      <c r="C21" s="85"/>
      <c r="D21" s="175"/>
      <c r="E21" s="175"/>
      <c r="F21" s="175"/>
      <c r="G21" s="175"/>
      <c r="H21" s="307"/>
      <c r="I21" s="175"/>
      <c r="J21" s="175"/>
      <c r="K21" s="179"/>
      <c r="L21" s="177"/>
      <c r="M21" s="238"/>
      <c r="N21" s="177"/>
      <c r="O21" s="179"/>
      <c r="P21" s="177"/>
      <c r="Q21" s="307"/>
      <c r="R21" s="238"/>
      <c r="S21" s="177"/>
      <c r="T21" s="179"/>
      <c r="U21" s="177"/>
      <c r="V21" s="263"/>
      <c r="W21" s="262"/>
      <c r="X21" s="175"/>
      <c r="Y21" s="175"/>
      <c r="Z21" s="175"/>
      <c r="AA21" s="175"/>
      <c r="AB21" s="175"/>
      <c r="AC21" s="175"/>
      <c r="AD21" s="175"/>
      <c r="AE21" s="175"/>
      <c r="AF21" s="175"/>
      <c r="AG21" s="179"/>
      <c r="AH21" s="179"/>
      <c r="AI21" s="177"/>
      <c r="AJ21" s="179"/>
      <c r="AK21" s="183"/>
      <c r="AL21" s="177"/>
      <c r="AM21" s="177"/>
      <c r="AN21" s="263"/>
      <c r="AO21" s="175"/>
      <c r="AP21" s="175"/>
      <c r="AQ21" s="307"/>
      <c r="AR21" s="175"/>
      <c r="AS21" s="170"/>
      <c r="AT21" s="170"/>
      <c r="AU21" s="214"/>
      <c r="AV21" s="268"/>
      <c r="AW21" s="175"/>
      <c r="AX21" s="210"/>
      <c r="AY21" s="173"/>
      <c r="AZ21" s="179"/>
      <c r="BA21" s="179"/>
      <c r="BB21" s="175"/>
      <c r="BC21" s="49" t="e">
        <v>#REF!</v>
      </c>
      <c r="BD21" s="175"/>
    </row>
    <row r="22" spans="1:56" s="176" customFormat="1" x14ac:dyDescent="0.45">
      <c r="A22" s="12"/>
      <c r="B22" s="150"/>
      <c r="C22" s="53"/>
      <c r="D22" s="175"/>
      <c r="E22" s="175"/>
      <c r="F22" s="175"/>
      <c r="G22" s="175"/>
      <c r="H22" s="307"/>
      <c r="I22" s="175"/>
      <c r="J22" s="175"/>
      <c r="K22" s="179"/>
      <c r="L22" s="177"/>
      <c r="M22" s="238"/>
      <c r="N22" s="177"/>
      <c r="O22" s="179"/>
      <c r="P22" s="177"/>
      <c r="Q22" s="307"/>
      <c r="R22" s="238"/>
      <c r="S22" s="177"/>
      <c r="T22" s="179"/>
      <c r="U22" s="177"/>
      <c r="V22" s="263"/>
      <c r="W22" s="262"/>
      <c r="X22" s="175"/>
      <c r="Y22" s="175"/>
      <c r="Z22" s="175"/>
      <c r="AA22" s="175"/>
      <c r="AB22" s="175"/>
      <c r="AC22" s="175"/>
      <c r="AD22" s="175"/>
      <c r="AE22" s="175"/>
      <c r="AF22" s="175"/>
      <c r="AG22" s="179"/>
      <c r="AH22" s="179"/>
      <c r="AI22" s="177"/>
      <c r="AJ22" s="179"/>
      <c r="AK22" s="183"/>
      <c r="AL22" s="177"/>
      <c r="AM22" s="177"/>
      <c r="AN22" s="263"/>
      <c r="AO22" s="175"/>
      <c r="AP22" s="175"/>
      <c r="AQ22" s="307"/>
      <c r="AR22" s="175"/>
      <c r="AS22" s="170"/>
      <c r="AT22" s="170"/>
      <c r="AU22" s="214"/>
      <c r="AV22" s="268"/>
      <c r="AW22" s="175"/>
      <c r="AX22" s="210"/>
      <c r="AY22" s="173"/>
      <c r="AZ22" s="179"/>
      <c r="BA22" s="179"/>
      <c r="BB22" s="175"/>
      <c r="BC22" s="49" t="e">
        <v>#REF!</v>
      </c>
      <c r="BD22" s="175"/>
    </row>
    <row r="23" spans="1:56" s="176" customFormat="1" x14ac:dyDescent="0.45">
      <c r="A23" s="13"/>
      <c r="B23" s="155"/>
      <c r="C23" s="85"/>
      <c r="D23" s="175"/>
      <c r="E23" s="175"/>
      <c r="F23" s="175"/>
      <c r="G23" s="175"/>
      <c r="H23" s="307"/>
      <c r="I23" s="175"/>
      <c r="J23" s="175"/>
      <c r="K23" s="179"/>
      <c r="L23" s="177"/>
      <c r="M23" s="238"/>
      <c r="N23" s="177"/>
      <c r="O23" s="179"/>
      <c r="P23" s="177"/>
      <c r="Q23" s="307"/>
      <c r="R23" s="238"/>
      <c r="S23" s="177"/>
      <c r="T23" s="179"/>
      <c r="U23" s="177"/>
      <c r="V23" s="263"/>
      <c r="W23" s="262"/>
      <c r="X23" s="175"/>
      <c r="Y23" s="175"/>
      <c r="Z23" s="175"/>
      <c r="AA23" s="175"/>
      <c r="AB23" s="175"/>
      <c r="AC23" s="175"/>
      <c r="AD23" s="175"/>
      <c r="AE23" s="175"/>
      <c r="AF23" s="175"/>
      <c r="AG23" s="179"/>
      <c r="AH23" s="179"/>
      <c r="AI23" s="177"/>
      <c r="AJ23" s="179"/>
      <c r="AK23" s="183"/>
      <c r="AL23" s="177"/>
      <c r="AM23" s="177"/>
      <c r="AN23" s="263"/>
      <c r="AO23" s="175"/>
      <c r="AP23" s="175"/>
      <c r="AQ23" s="307"/>
      <c r="AR23" s="175"/>
      <c r="AS23" s="170"/>
      <c r="AT23" s="170"/>
      <c r="AU23" s="214"/>
      <c r="AV23" s="268"/>
      <c r="AW23" s="175"/>
      <c r="AX23" s="210"/>
      <c r="AY23" s="173"/>
      <c r="AZ23" s="179"/>
      <c r="BA23" s="179"/>
      <c r="BB23" s="175"/>
      <c r="BC23" s="49" t="e">
        <v>#REF!</v>
      </c>
      <c r="BD23" s="175"/>
    </row>
    <row r="24" spans="1:56" s="176" customFormat="1" x14ac:dyDescent="0.45">
      <c r="A24" s="13"/>
      <c r="B24" s="155"/>
      <c r="C24" s="85"/>
      <c r="D24" s="175"/>
      <c r="E24" s="175"/>
      <c r="F24" s="175"/>
      <c r="G24" s="175"/>
      <c r="H24" s="307"/>
      <c r="I24" s="175"/>
      <c r="J24" s="175"/>
      <c r="K24" s="179"/>
      <c r="L24" s="177"/>
      <c r="M24" s="238"/>
      <c r="N24" s="177"/>
      <c r="O24" s="179"/>
      <c r="P24" s="177"/>
      <c r="Q24" s="307"/>
      <c r="R24" s="238"/>
      <c r="S24" s="177"/>
      <c r="T24" s="179"/>
      <c r="U24" s="177"/>
      <c r="V24" s="263"/>
      <c r="W24" s="262"/>
      <c r="X24" s="175"/>
      <c r="Y24" s="175"/>
      <c r="Z24" s="175"/>
      <c r="AA24" s="175"/>
      <c r="AB24" s="175"/>
      <c r="AC24" s="175"/>
      <c r="AD24" s="175"/>
      <c r="AE24" s="175"/>
      <c r="AF24" s="175"/>
      <c r="AG24" s="179"/>
      <c r="AH24" s="179"/>
      <c r="AI24" s="177"/>
      <c r="AJ24" s="179"/>
      <c r="AK24" s="183"/>
      <c r="AL24" s="177"/>
      <c r="AM24" s="177"/>
      <c r="AN24" s="263"/>
      <c r="AO24" s="175"/>
      <c r="AP24" s="175"/>
      <c r="AQ24" s="307"/>
      <c r="AR24" s="175"/>
      <c r="AS24" s="170"/>
      <c r="AT24" s="170"/>
      <c r="AU24" s="214"/>
      <c r="AV24" s="268"/>
      <c r="AW24" s="175"/>
      <c r="AX24" s="210"/>
      <c r="AY24" s="173"/>
      <c r="AZ24" s="179"/>
      <c r="BA24" s="179"/>
      <c r="BB24" s="175"/>
      <c r="BC24" s="49" t="e">
        <v>#REF!</v>
      </c>
      <c r="BD24" s="175"/>
    </row>
    <row r="25" spans="1:56" s="176" customFormat="1" x14ac:dyDescent="0.45">
      <c r="A25" s="12"/>
      <c r="B25" s="150"/>
      <c r="C25" s="53"/>
      <c r="D25" s="175"/>
      <c r="E25" s="175"/>
      <c r="F25" s="175"/>
      <c r="G25" s="175"/>
      <c r="H25" s="307"/>
      <c r="I25" s="175"/>
      <c r="J25" s="175"/>
      <c r="K25" s="179"/>
      <c r="L25" s="177"/>
      <c r="M25" s="238"/>
      <c r="N25" s="177"/>
      <c r="O25" s="179"/>
      <c r="P25" s="177"/>
      <c r="Q25" s="307"/>
      <c r="R25" s="238"/>
      <c r="S25" s="177"/>
      <c r="T25" s="179"/>
      <c r="U25" s="177"/>
      <c r="V25" s="263"/>
      <c r="W25" s="262"/>
      <c r="X25" s="175"/>
      <c r="Y25" s="175"/>
      <c r="Z25" s="175"/>
      <c r="AA25" s="175"/>
      <c r="AB25" s="175"/>
      <c r="AC25" s="175"/>
      <c r="AD25" s="175"/>
      <c r="AE25" s="175"/>
      <c r="AF25" s="175"/>
      <c r="AG25" s="179"/>
      <c r="AH25" s="179"/>
      <c r="AI25" s="177"/>
      <c r="AJ25" s="179"/>
      <c r="AK25" s="183"/>
      <c r="AL25" s="177"/>
      <c r="AM25" s="177"/>
      <c r="AN25" s="263"/>
      <c r="AO25" s="175"/>
      <c r="AP25" s="175"/>
      <c r="AQ25" s="307"/>
      <c r="AR25" s="175"/>
      <c r="AS25" s="170"/>
      <c r="AT25" s="170"/>
      <c r="AU25" s="214"/>
      <c r="AV25" s="268"/>
      <c r="AW25" s="175"/>
      <c r="AX25" s="210"/>
      <c r="AY25" s="173"/>
      <c r="AZ25" s="179"/>
      <c r="BA25" s="179"/>
      <c r="BB25" s="175"/>
      <c r="BC25" s="49" t="e">
        <v>#REF!</v>
      </c>
      <c r="BD25" s="175"/>
    </row>
    <row r="26" spans="1:56" s="176" customFormat="1" x14ac:dyDescent="0.45">
      <c r="A26" s="13"/>
      <c r="B26" s="155"/>
      <c r="C26" s="85"/>
      <c r="D26" s="175"/>
      <c r="E26" s="175"/>
      <c r="F26" s="175"/>
      <c r="G26" s="175"/>
      <c r="H26" s="307"/>
      <c r="I26" s="175"/>
      <c r="J26" s="175"/>
      <c r="K26" s="179"/>
      <c r="L26" s="177"/>
      <c r="M26" s="238"/>
      <c r="N26" s="177"/>
      <c r="O26" s="179"/>
      <c r="P26" s="177"/>
      <c r="Q26" s="307"/>
      <c r="R26" s="238"/>
      <c r="S26" s="177"/>
      <c r="T26" s="179"/>
      <c r="U26" s="177"/>
      <c r="V26" s="263"/>
      <c r="W26" s="262"/>
      <c r="X26" s="175"/>
      <c r="Y26" s="175"/>
      <c r="Z26" s="175"/>
      <c r="AA26" s="175"/>
      <c r="AB26" s="175"/>
      <c r="AC26" s="175"/>
      <c r="AD26" s="175"/>
      <c r="AE26" s="175"/>
      <c r="AF26" s="175"/>
      <c r="AG26" s="179"/>
      <c r="AH26" s="179"/>
      <c r="AI26" s="177"/>
      <c r="AJ26" s="179"/>
      <c r="AK26" s="183"/>
      <c r="AL26" s="177"/>
      <c r="AM26" s="177"/>
      <c r="AN26" s="263"/>
      <c r="AO26" s="175"/>
      <c r="AP26" s="175"/>
      <c r="AQ26" s="307"/>
      <c r="AR26" s="175"/>
      <c r="AS26" s="170"/>
      <c r="AT26" s="170"/>
      <c r="AU26" s="214"/>
      <c r="AV26" s="268"/>
      <c r="AW26" s="175"/>
      <c r="AX26" s="210"/>
      <c r="AY26" s="173"/>
      <c r="AZ26" s="179"/>
      <c r="BA26" s="179"/>
      <c r="BB26" s="175"/>
      <c r="BC26" s="49" t="e">
        <v>#REF!</v>
      </c>
      <c r="BD26" s="175"/>
    </row>
    <row r="27" spans="1:56" s="176" customFormat="1" x14ac:dyDescent="0.45">
      <c r="A27" s="13"/>
      <c r="B27" s="155"/>
      <c r="C27" s="85"/>
      <c r="D27" s="175"/>
      <c r="E27" s="175"/>
      <c r="F27" s="175"/>
      <c r="G27" s="175"/>
      <c r="H27" s="307"/>
      <c r="I27" s="175"/>
      <c r="J27" s="175"/>
      <c r="K27" s="179"/>
      <c r="L27" s="177"/>
      <c r="M27" s="238"/>
      <c r="N27" s="177"/>
      <c r="O27" s="179"/>
      <c r="P27" s="177"/>
      <c r="Q27" s="307"/>
      <c r="R27" s="238"/>
      <c r="S27" s="177"/>
      <c r="T27" s="179"/>
      <c r="U27" s="177"/>
      <c r="V27" s="263"/>
      <c r="W27" s="262"/>
      <c r="X27" s="175"/>
      <c r="Y27" s="175"/>
      <c r="Z27" s="175"/>
      <c r="AA27" s="175"/>
      <c r="AB27" s="175"/>
      <c r="AC27" s="175"/>
      <c r="AD27" s="175"/>
      <c r="AE27" s="175"/>
      <c r="AF27" s="175"/>
      <c r="AG27" s="179"/>
      <c r="AH27" s="179"/>
      <c r="AI27" s="177"/>
      <c r="AJ27" s="179"/>
      <c r="AK27" s="183"/>
      <c r="AL27" s="177"/>
      <c r="AM27" s="177"/>
      <c r="AN27" s="263"/>
      <c r="AO27" s="175"/>
      <c r="AP27" s="175"/>
      <c r="AQ27" s="307"/>
      <c r="AR27" s="175"/>
      <c r="AS27" s="170"/>
      <c r="AT27" s="170"/>
      <c r="AU27" s="214"/>
      <c r="AV27" s="268"/>
      <c r="AW27" s="175"/>
      <c r="AX27" s="210"/>
      <c r="AY27" s="173"/>
      <c r="AZ27" s="179"/>
      <c r="BA27" s="179"/>
      <c r="BB27" s="175"/>
      <c r="BC27" s="49" t="e">
        <v>#REF!</v>
      </c>
      <c r="BD27" s="175"/>
    </row>
    <row r="28" spans="1:56" s="176" customFormat="1" x14ac:dyDescent="0.45">
      <c r="A28" s="12"/>
      <c r="B28" s="150"/>
      <c r="C28" s="53"/>
      <c r="D28" s="175"/>
      <c r="E28" s="175"/>
      <c r="F28" s="175"/>
      <c r="G28" s="175"/>
      <c r="H28" s="307"/>
      <c r="I28" s="175"/>
      <c r="J28" s="175"/>
      <c r="K28" s="179"/>
      <c r="L28" s="177"/>
      <c r="M28" s="238"/>
      <c r="N28" s="177"/>
      <c r="O28" s="179"/>
      <c r="P28" s="177"/>
      <c r="Q28" s="307"/>
      <c r="R28" s="238"/>
      <c r="S28" s="177"/>
      <c r="T28" s="179"/>
      <c r="U28" s="177"/>
      <c r="V28" s="263"/>
      <c r="W28" s="262"/>
      <c r="X28" s="175"/>
      <c r="Y28" s="175"/>
      <c r="Z28" s="175"/>
      <c r="AA28" s="175"/>
      <c r="AB28" s="175"/>
      <c r="AC28" s="175"/>
      <c r="AD28" s="175"/>
      <c r="AE28" s="175"/>
      <c r="AF28" s="175"/>
      <c r="AG28" s="179"/>
      <c r="AH28" s="179"/>
      <c r="AI28" s="177"/>
      <c r="AJ28" s="179"/>
      <c r="AK28" s="183"/>
      <c r="AL28" s="177"/>
      <c r="AM28" s="177"/>
      <c r="AN28" s="263"/>
      <c r="AO28" s="175"/>
      <c r="AP28" s="175"/>
      <c r="AQ28" s="307"/>
      <c r="AR28" s="175"/>
      <c r="AS28" s="170"/>
      <c r="AT28" s="170"/>
      <c r="AU28" s="214"/>
      <c r="AV28" s="268"/>
      <c r="AW28" s="175"/>
      <c r="AX28" s="210"/>
      <c r="AY28" s="173"/>
      <c r="AZ28" s="179"/>
      <c r="BA28" s="179"/>
      <c r="BB28" s="175"/>
      <c r="BC28" s="49" t="e">
        <v>#REF!</v>
      </c>
      <c r="BD28" s="175"/>
    </row>
    <row r="29" spans="1:56" s="176" customFormat="1" ht="14.25" customHeight="1" x14ac:dyDescent="0.45">
      <c r="A29" s="13"/>
      <c r="B29" s="155"/>
      <c r="C29" s="85"/>
      <c r="D29" s="175"/>
      <c r="E29" s="175"/>
      <c r="F29" s="175"/>
      <c r="G29" s="175"/>
      <c r="H29" s="307"/>
      <c r="I29" s="175"/>
      <c r="J29" s="175"/>
      <c r="K29" s="179"/>
      <c r="L29" s="177"/>
      <c r="M29" s="238"/>
      <c r="N29" s="177"/>
      <c r="O29" s="179"/>
      <c r="P29" s="177"/>
      <c r="Q29" s="307"/>
      <c r="R29" s="238"/>
      <c r="S29" s="177"/>
      <c r="T29" s="179"/>
      <c r="U29" s="177"/>
      <c r="V29" s="263"/>
      <c r="W29" s="262"/>
      <c r="X29" s="175"/>
      <c r="Y29" s="175"/>
      <c r="Z29" s="175"/>
      <c r="AA29" s="175"/>
      <c r="AB29" s="175"/>
      <c r="AC29" s="175"/>
      <c r="AD29" s="175"/>
      <c r="AE29" s="175"/>
      <c r="AF29" s="175"/>
      <c r="AG29" s="179"/>
      <c r="AH29" s="179"/>
      <c r="AI29" s="177"/>
      <c r="AJ29" s="179"/>
      <c r="AK29" s="183"/>
      <c r="AL29" s="177"/>
      <c r="AM29" s="177"/>
      <c r="AN29" s="263"/>
      <c r="AO29" s="175"/>
      <c r="AP29" s="175"/>
      <c r="AQ29" s="307"/>
      <c r="AR29" s="175"/>
      <c r="AS29" s="170"/>
      <c r="AT29" s="170"/>
      <c r="AU29" s="214"/>
      <c r="AV29" s="268"/>
      <c r="AW29" s="175"/>
      <c r="AX29" s="210"/>
      <c r="AY29" s="173"/>
      <c r="AZ29" s="179"/>
      <c r="BA29" s="179"/>
      <c r="BB29" s="175"/>
      <c r="BC29" s="49" t="e">
        <v>#REF!</v>
      </c>
      <c r="BD29" s="175"/>
    </row>
    <row r="30" spans="1:56" s="176" customFormat="1" x14ac:dyDescent="0.45">
      <c r="A30" s="13"/>
      <c r="B30" s="155"/>
      <c r="C30" s="85"/>
      <c r="D30" s="175"/>
      <c r="E30" s="175"/>
      <c r="F30" s="175"/>
      <c r="G30" s="175"/>
      <c r="H30" s="307"/>
      <c r="I30" s="175"/>
      <c r="J30" s="175"/>
      <c r="K30" s="179"/>
      <c r="L30" s="177"/>
      <c r="M30" s="238"/>
      <c r="N30" s="177"/>
      <c r="O30" s="179"/>
      <c r="P30" s="177"/>
      <c r="Q30" s="307"/>
      <c r="R30" s="238"/>
      <c r="S30" s="177"/>
      <c r="T30" s="179"/>
      <c r="U30" s="177"/>
      <c r="V30" s="263"/>
      <c r="W30" s="262"/>
      <c r="X30" s="175"/>
      <c r="Y30" s="175"/>
      <c r="Z30" s="175"/>
      <c r="AA30" s="175"/>
      <c r="AB30" s="175"/>
      <c r="AC30" s="175"/>
      <c r="AD30" s="175"/>
      <c r="AE30" s="175"/>
      <c r="AF30" s="175"/>
      <c r="AG30" s="179"/>
      <c r="AH30" s="179"/>
      <c r="AI30" s="177"/>
      <c r="AJ30" s="179"/>
      <c r="AK30" s="183"/>
      <c r="AL30" s="177"/>
      <c r="AM30" s="177"/>
      <c r="AN30" s="263"/>
      <c r="AO30" s="175"/>
      <c r="AP30" s="175"/>
      <c r="AQ30" s="307"/>
      <c r="AR30" s="175"/>
      <c r="AS30" s="170"/>
      <c r="AT30" s="170"/>
      <c r="AU30" s="214"/>
      <c r="AV30" s="268"/>
      <c r="AW30" s="175"/>
      <c r="AX30" s="210"/>
      <c r="AY30" s="173"/>
      <c r="AZ30" s="179"/>
      <c r="BA30" s="179"/>
      <c r="BB30" s="175"/>
      <c r="BC30" s="49" t="e">
        <v>#REF!</v>
      </c>
      <c r="BD30" s="175"/>
    </row>
    <row r="31" spans="1:56" s="176" customFormat="1" x14ac:dyDescent="0.45">
      <c r="A31" s="12"/>
      <c r="B31" s="150"/>
      <c r="C31" s="53"/>
      <c r="D31" s="175"/>
      <c r="E31" s="175"/>
      <c r="F31" s="175"/>
      <c r="G31" s="175"/>
      <c r="H31" s="307"/>
      <c r="I31" s="175"/>
      <c r="J31" s="175"/>
      <c r="K31" s="179"/>
      <c r="L31" s="177"/>
      <c r="M31" s="238"/>
      <c r="N31" s="177"/>
      <c r="O31" s="179"/>
      <c r="P31" s="177"/>
      <c r="Q31" s="307"/>
      <c r="R31" s="238"/>
      <c r="S31" s="177"/>
      <c r="T31" s="179"/>
      <c r="U31" s="177"/>
      <c r="V31" s="263"/>
      <c r="W31" s="262"/>
      <c r="X31" s="175"/>
      <c r="Y31" s="175"/>
      <c r="Z31" s="175"/>
      <c r="AA31" s="175"/>
      <c r="AB31" s="175"/>
      <c r="AC31" s="175"/>
      <c r="AD31" s="175"/>
      <c r="AE31" s="175"/>
      <c r="AF31" s="175"/>
      <c r="AG31" s="179"/>
      <c r="AH31" s="179"/>
      <c r="AI31" s="177"/>
      <c r="AJ31" s="179"/>
      <c r="AK31" s="183"/>
      <c r="AL31" s="177"/>
      <c r="AM31" s="177"/>
      <c r="AN31" s="263"/>
      <c r="AO31" s="175"/>
      <c r="AP31" s="175"/>
      <c r="AQ31" s="307"/>
      <c r="AR31" s="175"/>
      <c r="AS31" s="170"/>
      <c r="AT31" s="170"/>
      <c r="AU31" s="214"/>
      <c r="AV31" s="268"/>
      <c r="AW31" s="175"/>
      <c r="AX31" s="210"/>
      <c r="AY31" s="173"/>
      <c r="AZ31" s="179"/>
      <c r="BA31" s="179"/>
      <c r="BB31" s="175"/>
      <c r="BC31" s="49" t="e">
        <v>#REF!</v>
      </c>
      <c r="BD31" s="175"/>
    </row>
    <row r="32" spans="1:56" s="176" customFormat="1" x14ac:dyDescent="0.45">
      <c r="A32" s="13"/>
      <c r="B32" s="155"/>
      <c r="C32" s="85"/>
      <c r="D32" s="175"/>
      <c r="E32" s="175"/>
      <c r="F32" s="175"/>
      <c r="G32" s="175"/>
      <c r="H32" s="307"/>
      <c r="I32" s="175"/>
      <c r="J32" s="175"/>
      <c r="K32" s="179"/>
      <c r="L32" s="177"/>
      <c r="M32" s="238"/>
      <c r="N32" s="177"/>
      <c r="O32" s="179"/>
      <c r="P32" s="177"/>
      <c r="Q32" s="307"/>
      <c r="R32" s="238"/>
      <c r="S32" s="177"/>
      <c r="T32" s="179"/>
      <c r="U32" s="177"/>
      <c r="V32" s="263"/>
      <c r="W32" s="262"/>
      <c r="X32" s="175"/>
      <c r="Y32" s="175"/>
      <c r="Z32" s="175"/>
      <c r="AA32" s="175"/>
      <c r="AB32" s="175"/>
      <c r="AC32" s="175"/>
      <c r="AD32" s="175"/>
      <c r="AE32" s="175"/>
      <c r="AF32" s="175"/>
      <c r="AG32" s="179"/>
      <c r="AH32" s="179"/>
      <c r="AI32" s="177"/>
      <c r="AJ32" s="179"/>
      <c r="AK32" s="183"/>
      <c r="AL32" s="177"/>
      <c r="AM32" s="177"/>
      <c r="AN32" s="263"/>
      <c r="AO32" s="175"/>
      <c r="AP32" s="175"/>
      <c r="AQ32" s="307"/>
      <c r="AR32" s="175"/>
      <c r="AS32" s="170"/>
      <c r="AT32" s="170"/>
      <c r="AU32" s="214"/>
      <c r="AV32" s="268"/>
      <c r="AW32" s="175"/>
      <c r="AX32" s="210"/>
      <c r="AY32" s="173"/>
      <c r="AZ32" s="179"/>
      <c r="BA32" s="179"/>
      <c r="BB32" s="175"/>
      <c r="BC32" s="49" t="e">
        <v>#REF!</v>
      </c>
      <c r="BD32" s="175"/>
    </row>
    <row r="33" spans="1:56" s="176" customFormat="1" x14ac:dyDescent="0.45">
      <c r="A33" s="13"/>
      <c r="B33" s="155"/>
      <c r="C33" s="85"/>
      <c r="D33" s="175"/>
      <c r="E33" s="175"/>
      <c r="F33" s="175"/>
      <c r="G33" s="175"/>
      <c r="H33" s="307"/>
      <c r="I33" s="175"/>
      <c r="J33" s="175"/>
      <c r="K33" s="179"/>
      <c r="L33" s="177"/>
      <c r="M33" s="238"/>
      <c r="N33" s="177"/>
      <c r="O33" s="179"/>
      <c r="P33" s="177"/>
      <c r="Q33" s="307"/>
      <c r="R33" s="238"/>
      <c r="S33" s="177"/>
      <c r="T33" s="179"/>
      <c r="U33" s="177"/>
      <c r="V33" s="263"/>
      <c r="W33" s="262"/>
      <c r="X33" s="175"/>
      <c r="Y33" s="175"/>
      <c r="Z33" s="175"/>
      <c r="AA33" s="175"/>
      <c r="AB33" s="175"/>
      <c r="AC33" s="175"/>
      <c r="AD33" s="175"/>
      <c r="AE33" s="175"/>
      <c r="AF33" s="175"/>
      <c r="AG33" s="179"/>
      <c r="AH33" s="179"/>
      <c r="AI33" s="177"/>
      <c r="AJ33" s="179"/>
      <c r="AK33" s="183"/>
      <c r="AL33" s="177"/>
      <c r="AM33" s="177"/>
      <c r="AN33" s="263"/>
      <c r="AO33" s="175"/>
      <c r="AP33" s="175"/>
      <c r="AQ33" s="307"/>
      <c r="AR33" s="175"/>
      <c r="AS33" s="170"/>
      <c r="AT33" s="170"/>
      <c r="AU33" s="214"/>
      <c r="AV33" s="268"/>
      <c r="AW33" s="175"/>
      <c r="AX33" s="210"/>
      <c r="AY33" s="173"/>
      <c r="AZ33" s="179"/>
      <c r="BA33" s="179"/>
      <c r="BB33" s="175"/>
      <c r="BC33" s="49" t="e">
        <v>#REF!</v>
      </c>
      <c r="BD33" s="175"/>
    </row>
    <row r="34" spans="1:56" s="176" customFormat="1" x14ac:dyDescent="0.45">
      <c r="A34" s="12"/>
      <c r="B34" s="150"/>
      <c r="C34" s="53"/>
      <c r="D34" s="175"/>
      <c r="E34" s="175"/>
      <c r="F34" s="175"/>
      <c r="G34" s="175"/>
      <c r="H34" s="307"/>
      <c r="I34" s="175"/>
      <c r="J34" s="175"/>
      <c r="K34" s="179"/>
      <c r="L34" s="177"/>
      <c r="M34" s="238"/>
      <c r="N34" s="177"/>
      <c r="O34" s="179"/>
      <c r="P34" s="177"/>
      <c r="Q34" s="307"/>
      <c r="R34" s="238"/>
      <c r="S34" s="177"/>
      <c r="T34" s="179"/>
      <c r="U34" s="177"/>
      <c r="V34" s="263"/>
      <c r="W34" s="262"/>
      <c r="X34" s="175"/>
      <c r="Y34" s="175"/>
      <c r="Z34" s="175"/>
      <c r="AA34" s="175"/>
      <c r="AB34" s="175"/>
      <c r="AC34" s="175"/>
      <c r="AD34" s="175"/>
      <c r="AE34" s="175"/>
      <c r="AF34" s="175"/>
      <c r="AG34" s="179"/>
      <c r="AH34" s="179"/>
      <c r="AI34" s="177"/>
      <c r="AJ34" s="179"/>
      <c r="AK34" s="183"/>
      <c r="AL34" s="177"/>
      <c r="AM34" s="177"/>
      <c r="AN34" s="263"/>
      <c r="AO34" s="175"/>
      <c r="AP34" s="175"/>
      <c r="AQ34" s="307"/>
      <c r="AR34" s="175"/>
      <c r="AS34" s="170"/>
      <c r="AT34" s="170"/>
      <c r="AU34" s="214"/>
      <c r="AV34" s="268"/>
      <c r="AW34" s="175"/>
      <c r="AX34" s="210"/>
      <c r="AY34" s="173"/>
      <c r="AZ34" s="179"/>
      <c r="BA34" s="179"/>
      <c r="BB34" s="175"/>
      <c r="BC34" s="49" t="e">
        <v>#REF!</v>
      </c>
      <c r="BD34" s="175"/>
    </row>
    <row r="35" spans="1:56" s="176" customFormat="1" x14ac:dyDescent="0.45">
      <c r="A35" s="13"/>
      <c r="B35" s="155"/>
      <c r="C35" s="85"/>
      <c r="D35" s="175"/>
      <c r="E35" s="175"/>
      <c r="F35" s="175"/>
      <c r="G35" s="175"/>
      <c r="H35" s="307"/>
      <c r="I35" s="175"/>
      <c r="J35" s="175"/>
      <c r="K35" s="179"/>
      <c r="L35" s="177"/>
      <c r="M35" s="238"/>
      <c r="N35" s="177"/>
      <c r="O35" s="179"/>
      <c r="P35" s="177"/>
      <c r="Q35" s="307"/>
      <c r="R35" s="238"/>
      <c r="S35" s="177"/>
      <c r="T35" s="179"/>
      <c r="U35" s="177"/>
      <c r="V35" s="263"/>
      <c r="W35" s="262"/>
      <c r="X35" s="175"/>
      <c r="Y35" s="175"/>
      <c r="Z35" s="175"/>
      <c r="AA35" s="175"/>
      <c r="AB35" s="175"/>
      <c r="AC35" s="175"/>
      <c r="AD35" s="175"/>
      <c r="AE35" s="175"/>
      <c r="AF35" s="175"/>
      <c r="AG35" s="179"/>
      <c r="AH35" s="179"/>
      <c r="AI35" s="177"/>
      <c r="AJ35" s="179"/>
      <c r="AK35" s="183"/>
      <c r="AL35" s="177"/>
      <c r="AM35" s="177"/>
      <c r="AN35" s="263"/>
      <c r="AO35" s="175"/>
      <c r="AP35" s="175"/>
      <c r="AQ35" s="307"/>
      <c r="AR35" s="175"/>
      <c r="AS35" s="170"/>
      <c r="AT35" s="170"/>
      <c r="AU35" s="214"/>
      <c r="AV35" s="268"/>
      <c r="AW35" s="175"/>
      <c r="AX35" s="210"/>
      <c r="AY35" s="173"/>
      <c r="AZ35" s="179"/>
      <c r="BA35" s="179"/>
      <c r="BB35" s="175"/>
      <c r="BC35" s="49" t="e">
        <v>#REF!</v>
      </c>
      <c r="BD35" s="175"/>
    </row>
    <row r="36" spans="1:56" s="176" customFormat="1" x14ac:dyDescent="0.45">
      <c r="A36" s="13"/>
      <c r="B36" s="155"/>
      <c r="C36" s="85"/>
      <c r="D36" s="175"/>
      <c r="E36" s="175"/>
      <c r="F36" s="175"/>
      <c r="G36" s="175"/>
      <c r="H36" s="307"/>
      <c r="I36" s="175"/>
      <c r="J36" s="175"/>
      <c r="K36" s="179"/>
      <c r="L36" s="177"/>
      <c r="M36" s="238"/>
      <c r="N36" s="177"/>
      <c r="O36" s="179"/>
      <c r="P36" s="177"/>
      <c r="Q36" s="307"/>
      <c r="R36" s="238"/>
      <c r="S36" s="177"/>
      <c r="T36" s="179"/>
      <c r="U36" s="177"/>
      <c r="V36" s="263"/>
      <c r="W36" s="262"/>
      <c r="X36" s="175"/>
      <c r="Y36" s="175"/>
      <c r="Z36" s="175"/>
      <c r="AA36" s="175"/>
      <c r="AB36" s="175"/>
      <c r="AC36" s="175"/>
      <c r="AD36" s="175"/>
      <c r="AE36" s="175"/>
      <c r="AF36" s="175"/>
      <c r="AG36" s="179"/>
      <c r="AH36" s="179"/>
      <c r="AI36" s="177"/>
      <c r="AJ36" s="179"/>
      <c r="AK36" s="183"/>
      <c r="AL36" s="177"/>
      <c r="AM36" s="177"/>
      <c r="AN36" s="263"/>
      <c r="AO36" s="175"/>
      <c r="AP36" s="175"/>
      <c r="AQ36" s="307"/>
      <c r="AR36" s="175"/>
      <c r="AS36" s="170"/>
      <c r="AT36" s="170"/>
      <c r="AU36" s="214"/>
      <c r="AV36" s="268"/>
      <c r="AW36" s="175"/>
      <c r="AX36" s="210"/>
      <c r="AY36" s="173"/>
      <c r="AZ36" s="179"/>
      <c r="BA36" s="179"/>
      <c r="BB36" s="175"/>
      <c r="BC36" s="49" t="e">
        <v>#REF!</v>
      </c>
      <c r="BD36" s="175"/>
    </row>
    <row r="37" spans="1:56" s="176" customFormat="1" x14ac:dyDescent="0.45">
      <c r="A37" s="12"/>
      <c r="B37" s="150"/>
      <c r="C37" s="53"/>
      <c r="D37" s="175"/>
      <c r="E37" s="175"/>
      <c r="F37" s="175"/>
      <c r="G37" s="175"/>
      <c r="H37" s="307"/>
      <c r="I37" s="175"/>
      <c r="J37" s="175"/>
      <c r="K37" s="179"/>
      <c r="L37" s="177"/>
      <c r="M37" s="238"/>
      <c r="N37" s="177"/>
      <c r="O37" s="179"/>
      <c r="P37" s="177"/>
      <c r="Q37" s="307"/>
      <c r="R37" s="238"/>
      <c r="S37" s="177"/>
      <c r="T37" s="179"/>
      <c r="U37" s="177"/>
      <c r="V37" s="263"/>
      <c r="W37" s="262"/>
      <c r="X37" s="175"/>
      <c r="Y37" s="175"/>
      <c r="Z37" s="175"/>
      <c r="AA37" s="175"/>
      <c r="AB37" s="175"/>
      <c r="AC37" s="175"/>
      <c r="AD37" s="175"/>
      <c r="AE37" s="175"/>
      <c r="AF37" s="175"/>
      <c r="AG37" s="179"/>
      <c r="AH37" s="179"/>
      <c r="AI37" s="177"/>
      <c r="AJ37" s="179"/>
      <c r="AK37" s="183"/>
      <c r="AL37" s="177"/>
      <c r="AM37" s="177"/>
      <c r="AN37" s="263"/>
      <c r="AO37" s="175"/>
      <c r="AP37" s="175"/>
      <c r="AQ37" s="307"/>
      <c r="AR37" s="175"/>
      <c r="AS37" s="170"/>
      <c r="AT37" s="170"/>
      <c r="AU37" s="214"/>
      <c r="AV37" s="268"/>
      <c r="AW37" s="175"/>
      <c r="AX37" s="210"/>
      <c r="AY37" s="173"/>
      <c r="AZ37" s="179"/>
      <c r="BA37" s="179"/>
      <c r="BB37" s="175"/>
      <c r="BC37" s="49" t="e">
        <v>#REF!</v>
      </c>
      <c r="BD37" s="175"/>
    </row>
    <row r="38" spans="1:56" s="176" customFormat="1" x14ac:dyDescent="0.45">
      <c r="A38" s="13"/>
      <c r="B38" s="155"/>
      <c r="C38" s="85"/>
      <c r="D38" s="175"/>
      <c r="E38" s="175"/>
      <c r="F38" s="175"/>
      <c r="G38" s="175"/>
      <c r="H38" s="307"/>
      <c r="I38" s="175"/>
      <c r="J38" s="175"/>
      <c r="K38" s="179"/>
      <c r="L38" s="177"/>
      <c r="M38" s="238"/>
      <c r="N38" s="177"/>
      <c r="O38" s="179"/>
      <c r="P38" s="177"/>
      <c r="Q38" s="307"/>
      <c r="R38" s="238"/>
      <c r="S38" s="177"/>
      <c r="T38" s="179"/>
      <c r="U38" s="177"/>
      <c r="V38" s="263"/>
      <c r="W38" s="262"/>
      <c r="X38" s="175"/>
      <c r="Y38" s="175"/>
      <c r="Z38" s="175"/>
      <c r="AA38" s="175"/>
      <c r="AB38" s="175"/>
      <c r="AC38" s="175"/>
      <c r="AD38" s="175"/>
      <c r="AE38" s="175"/>
      <c r="AF38" s="175"/>
      <c r="AG38" s="179"/>
      <c r="AH38" s="179"/>
      <c r="AI38" s="177"/>
      <c r="AJ38" s="179"/>
      <c r="AK38" s="183"/>
      <c r="AL38" s="177"/>
      <c r="AM38" s="177"/>
      <c r="AN38" s="263"/>
      <c r="AO38" s="175"/>
      <c r="AP38" s="175"/>
      <c r="AQ38" s="307"/>
      <c r="AR38" s="175"/>
      <c r="AS38" s="170"/>
      <c r="AT38" s="170"/>
      <c r="AU38" s="214"/>
      <c r="AV38" s="268"/>
      <c r="AW38" s="175"/>
      <c r="AX38" s="210"/>
      <c r="AY38" s="173"/>
      <c r="AZ38" s="179"/>
      <c r="BA38" s="179"/>
      <c r="BB38" s="175"/>
      <c r="BC38" s="49" t="e">
        <v>#REF!</v>
      </c>
      <c r="BD38" s="175"/>
    </row>
    <row r="39" spans="1:56" s="176" customFormat="1" x14ac:dyDescent="0.45">
      <c r="A39" s="13"/>
      <c r="B39" s="155"/>
      <c r="C39" s="85"/>
      <c r="D39" s="175"/>
      <c r="E39" s="175"/>
      <c r="F39" s="175"/>
      <c r="G39" s="175"/>
      <c r="H39" s="307"/>
      <c r="I39" s="175"/>
      <c r="J39" s="175"/>
      <c r="K39" s="179"/>
      <c r="L39" s="177"/>
      <c r="M39" s="238"/>
      <c r="N39" s="177"/>
      <c r="O39" s="179"/>
      <c r="P39" s="177"/>
      <c r="Q39" s="307"/>
      <c r="R39" s="238"/>
      <c r="S39" s="177"/>
      <c r="T39" s="179"/>
      <c r="U39" s="177"/>
      <c r="V39" s="263"/>
      <c r="W39" s="262"/>
      <c r="X39" s="175"/>
      <c r="Y39" s="175"/>
      <c r="Z39" s="175"/>
      <c r="AA39" s="175"/>
      <c r="AB39" s="175"/>
      <c r="AC39" s="175"/>
      <c r="AD39" s="175"/>
      <c r="AE39" s="175"/>
      <c r="AF39" s="175"/>
      <c r="AG39" s="179"/>
      <c r="AH39" s="179"/>
      <c r="AI39" s="177"/>
      <c r="AJ39" s="179"/>
      <c r="AK39" s="183"/>
      <c r="AL39" s="177"/>
      <c r="AM39" s="177"/>
      <c r="AN39" s="263"/>
      <c r="AO39" s="175"/>
      <c r="AP39" s="175"/>
      <c r="AQ39" s="307"/>
      <c r="AR39" s="175"/>
      <c r="AS39" s="170"/>
      <c r="AT39" s="170"/>
      <c r="AU39" s="214"/>
      <c r="AV39" s="268"/>
      <c r="AW39" s="175"/>
      <c r="AX39" s="210"/>
      <c r="AY39" s="173"/>
      <c r="AZ39" s="179"/>
      <c r="BA39" s="179"/>
      <c r="BB39" s="175"/>
      <c r="BC39" s="49" t="e">
        <v>#REF!</v>
      </c>
      <c r="BD39" s="175"/>
    </row>
    <row r="40" spans="1:56" s="176" customFormat="1" x14ac:dyDescent="0.45">
      <c r="A40" s="12"/>
      <c r="B40" s="150"/>
      <c r="C40" s="53"/>
      <c r="D40" s="175"/>
      <c r="E40" s="175"/>
      <c r="F40" s="175"/>
      <c r="G40" s="175"/>
      <c r="H40" s="307"/>
      <c r="I40" s="175"/>
      <c r="J40" s="175"/>
      <c r="K40" s="179"/>
      <c r="L40" s="177"/>
      <c r="M40" s="238"/>
      <c r="N40" s="177"/>
      <c r="O40" s="179"/>
      <c r="P40" s="177"/>
      <c r="Q40" s="307"/>
      <c r="R40" s="238"/>
      <c r="S40" s="177"/>
      <c r="T40" s="179"/>
      <c r="U40" s="177"/>
      <c r="V40" s="263"/>
      <c r="W40" s="262"/>
      <c r="X40" s="175"/>
      <c r="Y40" s="175"/>
      <c r="Z40" s="175"/>
      <c r="AA40" s="175"/>
      <c r="AB40" s="175"/>
      <c r="AC40" s="175"/>
      <c r="AD40" s="175"/>
      <c r="AE40" s="175"/>
      <c r="AF40" s="175"/>
      <c r="AG40" s="179"/>
      <c r="AH40" s="179"/>
      <c r="AI40" s="177"/>
      <c r="AJ40" s="179"/>
      <c r="AK40" s="183"/>
      <c r="AL40" s="177"/>
      <c r="AM40" s="177"/>
      <c r="AN40" s="263"/>
      <c r="AO40" s="175"/>
      <c r="AP40" s="175"/>
      <c r="AQ40" s="307"/>
      <c r="AR40" s="175"/>
      <c r="AS40" s="170"/>
      <c r="AT40" s="170"/>
      <c r="AU40" s="214"/>
      <c r="AV40" s="268"/>
      <c r="AW40" s="175"/>
      <c r="AX40" s="210"/>
      <c r="AY40" s="173"/>
      <c r="AZ40" s="179"/>
      <c r="BA40" s="179"/>
      <c r="BB40" s="175"/>
      <c r="BC40" s="49" t="e">
        <v>#REF!</v>
      </c>
      <c r="BD40" s="175"/>
    </row>
    <row r="41" spans="1:56" s="176" customFormat="1" x14ac:dyDescent="0.45">
      <c r="A41" s="13"/>
      <c r="B41" s="155"/>
      <c r="C41" s="85"/>
      <c r="D41" s="175"/>
      <c r="E41" s="175"/>
      <c r="F41" s="175"/>
      <c r="G41" s="175"/>
      <c r="H41" s="307"/>
      <c r="I41" s="175"/>
      <c r="J41" s="175"/>
      <c r="K41" s="179"/>
      <c r="L41" s="177"/>
      <c r="M41" s="238"/>
      <c r="N41" s="177"/>
      <c r="O41" s="179"/>
      <c r="P41" s="177"/>
      <c r="Q41" s="307"/>
      <c r="R41" s="238"/>
      <c r="S41" s="177"/>
      <c r="T41" s="179"/>
      <c r="U41" s="177"/>
      <c r="V41" s="263"/>
      <c r="W41" s="262"/>
      <c r="X41" s="175"/>
      <c r="Y41" s="175"/>
      <c r="Z41" s="175"/>
      <c r="AA41" s="175"/>
      <c r="AB41" s="175"/>
      <c r="AC41" s="175"/>
      <c r="AD41" s="175"/>
      <c r="AE41" s="175"/>
      <c r="AF41" s="175"/>
      <c r="AG41" s="179"/>
      <c r="AH41" s="179"/>
      <c r="AI41" s="177"/>
      <c r="AJ41" s="179"/>
      <c r="AK41" s="183"/>
      <c r="AL41" s="177"/>
      <c r="AM41" s="177"/>
      <c r="AN41" s="263"/>
      <c r="AO41" s="175"/>
      <c r="AP41" s="175"/>
      <c r="AQ41" s="307"/>
      <c r="AR41" s="175"/>
      <c r="AS41" s="170"/>
      <c r="AT41" s="170"/>
      <c r="AU41" s="214"/>
      <c r="AV41" s="268"/>
      <c r="AW41" s="175"/>
      <c r="AX41" s="210"/>
      <c r="AY41" s="173"/>
      <c r="AZ41" s="179"/>
      <c r="BA41" s="179"/>
      <c r="BB41" s="175"/>
      <c r="BC41" s="49" t="e">
        <v>#REF!</v>
      </c>
      <c r="BD41" s="175"/>
    </row>
    <row r="42" spans="1:56" s="176" customFormat="1" x14ac:dyDescent="0.45">
      <c r="A42" s="13"/>
      <c r="B42" s="155"/>
      <c r="C42" s="85"/>
      <c r="D42" s="175"/>
      <c r="E42" s="175"/>
      <c r="F42" s="175"/>
      <c r="G42" s="175"/>
      <c r="H42" s="307"/>
      <c r="I42" s="175"/>
      <c r="J42" s="175"/>
      <c r="K42" s="179"/>
      <c r="L42" s="177"/>
      <c r="M42" s="238"/>
      <c r="N42" s="177"/>
      <c r="O42" s="179"/>
      <c r="P42" s="177"/>
      <c r="Q42" s="307"/>
      <c r="R42" s="238"/>
      <c r="S42" s="177"/>
      <c r="T42" s="179"/>
      <c r="U42" s="177"/>
      <c r="V42" s="263"/>
      <c r="W42" s="262"/>
      <c r="X42" s="175"/>
      <c r="Y42" s="175"/>
      <c r="Z42" s="175"/>
      <c r="AA42" s="175"/>
      <c r="AB42" s="175"/>
      <c r="AC42" s="175"/>
      <c r="AD42" s="175"/>
      <c r="AE42" s="175"/>
      <c r="AF42" s="175"/>
      <c r="AG42" s="179"/>
      <c r="AH42" s="179"/>
      <c r="AI42" s="177"/>
      <c r="AJ42" s="179"/>
      <c r="AK42" s="183"/>
      <c r="AL42" s="177"/>
      <c r="AM42" s="177"/>
      <c r="AN42" s="263"/>
      <c r="AO42" s="175"/>
      <c r="AP42" s="175"/>
      <c r="AQ42" s="307"/>
      <c r="AR42" s="175"/>
      <c r="AS42" s="170"/>
      <c r="AT42" s="170"/>
      <c r="AU42" s="214"/>
      <c r="AV42" s="268"/>
      <c r="AW42" s="175"/>
      <c r="AX42" s="210"/>
      <c r="AY42" s="173"/>
      <c r="AZ42" s="179"/>
      <c r="BA42" s="179"/>
      <c r="BB42" s="175"/>
      <c r="BC42" s="49" t="e">
        <v>#REF!</v>
      </c>
      <c r="BD42" s="175"/>
    </row>
    <row r="43" spans="1:56" s="176" customFormat="1" x14ac:dyDescent="0.45">
      <c r="A43" s="12"/>
      <c r="B43" s="150"/>
      <c r="C43" s="53"/>
      <c r="D43" s="175"/>
      <c r="E43" s="175"/>
      <c r="F43" s="175"/>
      <c r="G43" s="175"/>
      <c r="H43" s="307"/>
      <c r="I43" s="175"/>
      <c r="J43" s="175"/>
      <c r="K43" s="179"/>
      <c r="L43" s="177"/>
      <c r="M43" s="238"/>
      <c r="N43" s="177"/>
      <c r="O43" s="179"/>
      <c r="P43" s="177"/>
      <c r="Q43" s="307"/>
      <c r="R43" s="238"/>
      <c r="S43" s="177"/>
      <c r="T43" s="179"/>
      <c r="U43" s="177"/>
      <c r="V43" s="263"/>
      <c r="W43" s="262"/>
      <c r="X43" s="175"/>
      <c r="Y43" s="175"/>
      <c r="Z43" s="175"/>
      <c r="AA43" s="175"/>
      <c r="AB43" s="175"/>
      <c r="AC43" s="175"/>
      <c r="AD43" s="175"/>
      <c r="AE43" s="175"/>
      <c r="AF43" s="175"/>
      <c r="AG43" s="179"/>
      <c r="AH43" s="179"/>
      <c r="AI43" s="177"/>
      <c r="AJ43" s="179"/>
      <c r="AK43" s="183"/>
      <c r="AL43" s="177"/>
      <c r="AM43" s="177"/>
      <c r="AN43" s="263"/>
      <c r="AO43" s="175"/>
      <c r="AP43" s="175"/>
      <c r="AQ43" s="307"/>
      <c r="AR43" s="175"/>
      <c r="AS43" s="170"/>
      <c r="AT43" s="170"/>
      <c r="AU43" s="214"/>
      <c r="AV43" s="268"/>
      <c r="AW43" s="175"/>
      <c r="AX43" s="210"/>
      <c r="AY43" s="173"/>
      <c r="AZ43" s="179"/>
      <c r="BA43" s="179"/>
      <c r="BB43" s="175"/>
      <c r="BC43" s="49" t="e">
        <v>#REF!</v>
      </c>
      <c r="BD43" s="175"/>
    </row>
    <row r="44" spans="1:56" s="176" customFormat="1" x14ac:dyDescent="0.45">
      <c r="A44" s="13"/>
      <c r="B44" s="155"/>
      <c r="C44" s="85"/>
      <c r="D44" s="175"/>
      <c r="E44" s="175"/>
      <c r="F44" s="175"/>
      <c r="G44" s="175"/>
      <c r="H44" s="307"/>
      <c r="I44" s="175"/>
      <c r="J44" s="175"/>
      <c r="K44" s="179"/>
      <c r="L44" s="177"/>
      <c r="M44" s="238"/>
      <c r="N44" s="177"/>
      <c r="O44" s="179"/>
      <c r="P44" s="177"/>
      <c r="Q44" s="307"/>
      <c r="R44" s="238"/>
      <c r="S44" s="177"/>
      <c r="T44" s="179"/>
      <c r="U44" s="177"/>
      <c r="V44" s="263"/>
      <c r="W44" s="262"/>
      <c r="X44" s="175"/>
      <c r="Y44" s="175"/>
      <c r="Z44" s="175"/>
      <c r="AA44" s="175"/>
      <c r="AB44" s="175"/>
      <c r="AC44" s="175"/>
      <c r="AD44" s="175"/>
      <c r="AE44" s="175"/>
      <c r="AF44" s="175"/>
      <c r="AG44" s="179"/>
      <c r="AH44" s="179"/>
      <c r="AI44" s="177"/>
      <c r="AJ44" s="179"/>
      <c r="AK44" s="183"/>
      <c r="AL44" s="177"/>
      <c r="AM44" s="177"/>
      <c r="AN44" s="263"/>
      <c r="AO44" s="175"/>
      <c r="AP44" s="175"/>
      <c r="AQ44" s="307"/>
      <c r="AR44" s="175"/>
      <c r="AS44" s="170"/>
      <c r="AT44" s="170"/>
      <c r="AU44" s="214"/>
      <c r="AV44" s="268"/>
      <c r="AW44" s="175"/>
      <c r="AX44" s="210"/>
      <c r="AY44" s="173"/>
      <c r="AZ44" s="179"/>
      <c r="BA44" s="179"/>
      <c r="BB44" s="175"/>
      <c r="BC44" s="49" t="e">
        <v>#REF!</v>
      </c>
      <c r="BD44" s="175"/>
    </row>
    <row r="45" spans="1:56" s="176" customFormat="1" x14ac:dyDescent="0.45">
      <c r="A45" s="13"/>
      <c r="B45" s="155"/>
      <c r="C45" s="85"/>
      <c r="D45" s="175"/>
      <c r="E45" s="175"/>
      <c r="F45" s="175"/>
      <c r="G45" s="175"/>
      <c r="H45" s="307"/>
      <c r="I45" s="175"/>
      <c r="J45" s="175"/>
      <c r="K45" s="179"/>
      <c r="L45" s="177"/>
      <c r="M45" s="238"/>
      <c r="N45" s="177"/>
      <c r="O45" s="179"/>
      <c r="P45" s="177"/>
      <c r="Q45" s="307"/>
      <c r="R45" s="238"/>
      <c r="S45" s="177"/>
      <c r="T45" s="179"/>
      <c r="U45" s="177"/>
      <c r="V45" s="263"/>
      <c r="W45" s="262"/>
      <c r="X45" s="175"/>
      <c r="Y45" s="175"/>
      <c r="Z45" s="175"/>
      <c r="AA45" s="175"/>
      <c r="AB45" s="175"/>
      <c r="AC45" s="175"/>
      <c r="AD45" s="175"/>
      <c r="AE45" s="175"/>
      <c r="AF45" s="175"/>
      <c r="AG45" s="179"/>
      <c r="AH45" s="179"/>
      <c r="AI45" s="177"/>
      <c r="AJ45" s="179"/>
      <c r="AK45" s="183"/>
      <c r="AL45" s="177"/>
      <c r="AM45" s="177"/>
      <c r="AN45" s="263"/>
      <c r="AO45" s="175"/>
      <c r="AP45" s="175"/>
      <c r="AQ45" s="307"/>
      <c r="AR45" s="175"/>
      <c r="AS45" s="170"/>
      <c r="AT45" s="170"/>
      <c r="AU45" s="214"/>
      <c r="AV45" s="268"/>
      <c r="AW45" s="175"/>
      <c r="AX45" s="210"/>
      <c r="AY45" s="173"/>
      <c r="AZ45" s="179"/>
      <c r="BA45" s="179"/>
      <c r="BB45" s="175"/>
      <c r="BC45" s="49" t="e">
        <v>#REF!</v>
      </c>
      <c r="BD45" s="175"/>
    </row>
    <row r="46" spans="1:56" s="176" customFormat="1" x14ac:dyDescent="0.45">
      <c r="A46" s="12"/>
      <c r="B46" s="150"/>
      <c r="C46" s="53"/>
      <c r="D46" s="175"/>
      <c r="E46" s="175"/>
      <c r="F46" s="175"/>
      <c r="G46" s="175"/>
      <c r="H46" s="307"/>
      <c r="I46" s="175"/>
      <c r="J46" s="175"/>
      <c r="K46" s="179"/>
      <c r="L46" s="177"/>
      <c r="M46" s="238"/>
      <c r="N46" s="177"/>
      <c r="O46" s="179"/>
      <c r="P46" s="177"/>
      <c r="Q46" s="307"/>
      <c r="R46" s="238"/>
      <c r="S46" s="177"/>
      <c r="T46" s="179"/>
      <c r="U46" s="177"/>
      <c r="V46" s="263"/>
      <c r="W46" s="262"/>
      <c r="X46" s="175"/>
      <c r="Y46" s="175"/>
      <c r="Z46" s="175"/>
      <c r="AA46" s="175"/>
      <c r="AB46" s="175"/>
      <c r="AC46" s="175"/>
      <c r="AD46" s="175"/>
      <c r="AE46" s="175"/>
      <c r="AF46" s="175"/>
      <c r="AG46" s="179"/>
      <c r="AH46" s="179"/>
      <c r="AI46" s="177"/>
      <c r="AJ46" s="179"/>
      <c r="AK46" s="183"/>
      <c r="AL46" s="177"/>
      <c r="AM46" s="177"/>
      <c r="AN46" s="263"/>
      <c r="AO46" s="175"/>
      <c r="AP46" s="175"/>
      <c r="AQ46" s="307"/>
      <c r="AR46" s="175"/>
      <c r="AS46" s="170"/>
      <c r="AT46" s="170"/>
      <c r="AU46" s="214"/>
      <c r="AV46" s="268"/>
      <c r="AW46" s="175"/>
      <c r="AX46" s="210"/>
      <c r="AY46" s="173"/>
      <c r="AZ46" s="179"/>
      <c r="BA46" s="179"/>
      <c r="BB46" s="175"/>
      <c r="BC46" s="49" t="e">
        <v>#REF!</v>
      </c>
      <c r="BD46" s="175"/>
    </row>
    <row r="47" spans="1:56" s="176" customFormat="1" x14ac:dyDescent="0.45">
      <c r="A47" s="13"/>
      <c r="B47" s="155"/>
      <c r="C47" s="85"/>
      <c r="D47" s="175"/>
      <c r="E47" s="175"/>
      <c r="F47" s="175"/>
      <c r="G47" s="175"/>
      <c r="H47" s="307"/>
      <c r="I47" s="175"/>
      <c r="J47" s="175"/>
      <c r="K47" s="179"/>
      <c r="L47" s="177"/>
      <c r="M47" s="238"/>
      <c r="N47" s="177"/>
      <c r="O47" s="179"/>
      <c r="P47" s="177"/>
      <c r="Q47" s="307"/>
      <c r="R47" s="238"/>
      <c r="S47" s="177"/>
      <c r="T47" s="179"/>
      <c r="U47" s="177"/>
      <c r="V47" s="263"/>
      <c r="W47" s="262"/>
      <c r="X47" s="175"/>
      <c r="Y47" s="175"/>
      <c r="Z47" s="175"/>
      <c r="AA47" s="175"/>
      <c r="AB47" s="175"/>
      <c r="AC47" s="175"/>
      <c r="AD47" s="175"/>
      <c r="AE47" s="175"/>
      <c r="AF47" s="175"/>
      <c r="AG47" s="179"/>
      <c r="AH47" s="179"/>
      <c r="AI47" s="177"/>
      <c r="AJ47" s="179"/>
      <c r="AK47" s="183"/>
      <c r="AL47" s="177"/>
      <c r="AM47" s="177"/>
      <c r="AN47" s="263"/>
      <c r="AO47" s="175"/>
      <c r="AP47" s="175"/>
      <c r="AQ47" s="307"/>
      <c r="AR47" s="175"/>
      <c r="AS47" s="170"/>
      <c r="AT47" s="170"/>
      <c r="AU47" s="214"/>
      <c r="AV47" s="268"/>
      <c r="AW47" s="175"/>
      <c r="AX47" s="210"/>
      <c r="AY47" s="173"/>
      <c r="AZ47" s="179"/>
      <c r="BA47" s="179"/>
      <c r="BB47" s="175"/>
      <c r="BC47" s="49" t="e">
        <v>#REF!</v>
      </c>
      <c r="BD47" s="175"/>
    </row>
    <row r="48" spans="1:56" s="176" customFormat="1" x14ac:dyDescent="0.45">
      <c r="A48" s="13"/>
      <c r="B48" s="155"/>
      <c r="C48" s="85"/>
      <c r="D48" s="175"/>
      <c r="E48" s="175"/>
      <c r="F48" s="175"/>
      <c r="G48" s="175"/>
      <c r="H48" s="307"/>
      <c r="I48" s="175"/>
      <c r="J48" s="175"/>
      <c r="K48" s="179"/>
      <c r="L48" s="177"/>
      <c r="M48" s="238"/>
      <c r="N48" s="177"/>
      <c r="O48" s="179"/>
      <c r="P48" s="177"/>
      <c r="Q48" s="307"/>
      <c r="R48" s="238"/>
      <c r="S48" s="177"/>
      <c r="T48" s="179"/>
      <c r="U48" s="177"/>
      <c r="V48" s="263"/>
      <c r="W48" s="262"/>
      <c r="X48" s="175"/>
      <c r="Y48" s="175"/>
      <c r="Z48" s="175"/>
      <c r="AA48" s="175"/>
      <c r="AB48" s="175"/>
      <c r="AC48" s="175"/>
      <c r="AD48" s="175"/>
      <c r="AE48" s="175"/>
      <c r="AF48" s="175"/>
      <c r="AG48" s="179"/>
      <c r="AH48" s="179"/>
      <c r="AI48" s="177"/>
      <c r="AJ48" s="179"/>
      <c r="AK48" s="183"/>
      <c r="AL48" s="177"/>
      <c r="AM48" s="177"/>
      <c r="AN48" s="263"/>
      <c r="AO48" s="175"/>
      <c r="AP48" s="175"/>
      <c r="AQ48" s="307"/>
      <c r="AR48" s="175"/>
      <c r="AS48" s="170"/>
      <c r="AT48" s="170"/>
      <c r="AU48" s="214"/>
      <c r="AV48" s="268"/>
      <c r="AW48" s="175"/>
      <c r="AX48" s="210"/>
      <c r="AY48" s="173"/>
      <c r="AZ48" s="179"/>
      <c r="BA48" s="179"/>
      <c r="BB48" s="175"/>
      <c r="BC48" s="49" t="e">
        <v>#REF!</v>
      </c>
      <c r="BD48" s="175"/>
    </row>
    <row r="49" spans="1:56" s="176" customFormat="1" x14ac:dyDescent="0.45">
      <c r="A49" s="12"/>
      <c r="B49" s="150"/>
      <c r="C49" s="53"/>
      <c r="D49" s="175"/>
      <c r="E49" s="175"/>
      <c r="F49" s="175"/>
      <c r="G49" s="175"/>
      <c r="H49" s="307"/>
      <c r="I49" s="175"/>
      <c r="J49" s="175"/>
      <c r="K49" s="179"/>
      <c r="L49" s="177"/>
      <c r="M49" s="238"/>
      <c r="N49" s="177"/>
      <c r="O49" s="179"/>
      <c r="P49" s="177"/>
      <c r="Q49" s="307"/>
      <c r="R49" s="238"/>
      <c r="S49" s="177"/>
      <c r="T49" s="179"/>
      <c r="U49" s="177"/>
      <c r="V49" s="263"/>
      <c r="W49" s="262"/>
      <c r="X49" s="175"/>
      <c r="Y49" s="175"/>
      <c r="Z49" s="175"/>
      <c r="AA49" s="175"/>
      <c r="AB49" s="175"/>
      <c r="AC49" s="175"/>
      <c r="AD49" s="175"/>
      <c r="AE49" s="175"/>
      <c r="AF49" s="175"/>
      <c r="AG49" s="179"/>
      <c r="AH49" s="179"/>
      <c r="AI49" s="177"/>
      <c r="AJ49" s="179"/>
      <c r="AK49" s="183"/>
      <c r="AL49" s="177"/>
      <c r="AM49" s="177"/>
      <c r="AN49" s="263"/>
      <c r="AO49" s="175"/>
      <c r="AP49" s="175"/>
      <c r="AQ49" s="307"/>
      <c r="AR49" s="175"/>
      <c r="AS49" s="170"/>
      <c r="AT49" s="170"/>
      <c r="AU49" s="214"/>
      <c r="AV49" s="268"/>
      <c r="AW49" s="175"/>
      <c r="AX49" s="210"/>
      <c r="AY49" s="173"/>
      <c r="AZ49" s="179"/>
      <c r="BA49" s="179"/>
      <c r="BB49" s="175"/>
      <c r="BC49" s="49" t="e">
        <v>#REF!</v>
      </c>
      <c r="BD49" s="175"/>
    </row>
    <row r="50" spans="1:56" s="176" customFormat="1" x14ac:dyDescent="0.45">
      <c r="A50" s="13"/>
      <c r="B50" s="155"/>
      <c r="C50" s="85"/>
      <c r="D50" s="175"/>
      <c r="E50" s="175"/>
      <c r="F50" s="175"/>
      <c r="G50" s="175"/>
      <c r="H50" s="307"/>
      <c r="I50" s="175"/>
      <c r="J50" s="175"/>
      <c r="K50" s="179"/>
      <c r="L50" s="177"/>
      <c r="M50" s="238"/>
      <c r="N50" s="177"/>
      <c r="O50" s="179"/>
      <c r="P50" s="177"/>
      <c r="Q50" s="307"/>
      <c r="R50" s="238"/>
      <c r="S50" s="177"/>
      <c r="T50" s="179"/>
      <c r="U50" s="177"/>
      <c r="V50" s="263"/>
      <c r="W50" s="262"/>
      <c r="X50" s="175"/>
      <c r="Y50" s="175"/>
      <c r="Z50" s="175"/>
      <c r="AA50" s="175"/>
      <c r="AB50" s="175"/>
      <c r="AC50" s="175"/>
      <c r="AD50" s="175"/>
      <c r="AE50" s="175"/>
      <c r="AF50" s="175"/>
      <c r="AG50" s="179"/>
      <c r="AH50" s="179"/>
      <c r="AI50" s="177"/>
      <c r="AJ50" s="179"/>
      <c r="AK50" s="183"/>
      <c r="AL50" s="177"/>
      <c r="AM50" s="177"/>
      <c r="AN50" s="263"/>
      <c r="AO50" s="175"/>
      <c r="AP50" s="175"/>
      <c r="AQ50" s="307"/>
      <c r="AR50" s="175"/>
      <c r="AS50" s="170"/>
      <c r="AT50" s="170"/>
      <c r="AU50" s="214"/>
      <c r="AV50" s="268"/>
      <c r="AW50" s="175"/>
      <c r="AX50" s="210"/>
      <c r="AY50" s="173"/>
      <c r="AZ50" s="179"/>
      <c r="BA50" s="179"/>
      <c r="BB50" s="175"/>
      <c r="BC50" s="49" t="e">
        <v>#REF!</v>
      </c>
      <c r="BD50" s="175"/>
    </row>
    <row r="51" spans="1:56" s="176" customFormat="1" x14ac:dyDescent="0.45">
      <c r="A51" s="13"/>
      <c r="B51" s="155"/>
      <c r="C51" s="85"/>
      <c r="D51" s="175"/>
      <c r="E51" s="175"/>
      <c r="F51" s="175"/>
      <c r="G51" s="175"/>
      <c r="H51" s="307"/>
      <c r="I51" s="175"/>
      <c r="J51" s="175"/>
      <c r="K51" s="179"/>
      <c r="L51" s="177"/>
      <c r="M51" s="238"/>
      <c r="N51" s="177"/>
      <c r="O51" s="179"/>
      <c r="P51" s="177"/>
      <c r="Q51" s="307"/>
      <c r="R51" s="238"/>
      <c r="S51" s="177"/>
      <c r="T51" s="179"/>
      <c r="U51" s="177"/>
      <c r="V51" s="263"/>
      <c r="W51" s="262"/>
      <c r="X51" s="175"/>
      <c r="Y51" s="175"/>
      <c r="Z51" s="175"/>
      <c r="AA51" s="175"/>
      <c r="AB51" s="175"/>
      <c r="AC51" s="175"/>
      <c r="AD51" s="175"/>
      <c r="AE51" s="175"/>
      <c r="AF51" s="175"/>
      <c r="AG51" s="179"/>
      <c r="AH51" s="179"/>
      <c r="AI51" s="177"/>
      <c r="AJ51" s="179"/>
      <c r="AK51" s="183"/>
      <c r="AL51" s="177"/>
      <c r="AM51" s="177"/>
      <c r="AN51" s="263"/>
      <c r="AO51" s="175"/>
      <c r="AP51" s="175"/>
      <c r="AQ51" s="307"/>
      <c r="AR51" s="175"/>
      <c r="AS51" s="170"/>
      <c r="AT51" s="170"/>
      <c r="AU51" s="214"/>
      <c r="AV51" s="268"/>
      <c r="AW51" s="175"/>
      <c r="AX51" s="210"/>
      <c r="AY51" s="173"/>
      <c r="AZ51" s="179"/>
      <c r="BA51" s="179"/>
      <c r="BB51" s="175"/>
      <c r="BC51" s="49" t="e">
        <v>#REF!</v>
      </c>
      <c r="BD51" s="175"/>
    </row>
    <row r="52" spans="1:56" s="176" customFormat="1" x14ac:dyDescent="0.45">
      <c r="A52" s="12"/>
      <c r="B52" s="150"/>
      <c r="C52" s="53"/>
      <c r="D52" s="175"/>
      <c r="E52" s="175"/>
      <c r="F52" s="175"/>
      <c r="G52" s="175"/>
      <c r="H52" s="307"/>
      <c r="I52" s="175"/>
      <c r="J52" s="175"/>
      <c r="K52" s="179"/>
      <c r="L52" s="177"/>
      <c r="M52" s="238"/>
      <c r="N52" s="177"/>
      <c r="O52" s="179"/>
      <c r="P52" s="177"/>
      <c r="Q52" s="307"/>
      <c r="R52" s="238"/>
      <c r="S52" s="177"/>
      <c r="T52" s="179"/>
      <c r="U52" s="177"/>
      <c r="V52" s="263"/>
      <c r="W52" s="262"/>
      <c r="X52" s="175"/>
      <c r="Y52" s="175"/>
      <c r="Z52" s="175"/>
      <c r="AA52" s="175"/>
      <c r="AB52" s="175"/>
      <c r="AC52" s="175"/>
      <c r="AD52" s="175"/>
      <c r="AE52" s="175"/>
      <c r="AF52" s="175"/>
      <c r="AG52" s="179"/>
      <c r="AH52" s="179"/>
      <c r="AI52" s="177"/>
      <c r="AJ52" s="179"/>
      <c r="AK52" s="183"/>
      <c r="AL52" s="177"/>
      <c r="AM52" s="177"/>
      <c r="AN52" s="263"/>
      <c r="AO52" s="175"/>
      <c r="AP52" s="175"/>
      <c r="AQ52" s="307"/>
      <c r="AR52" s="175"/>
      <c r="AS52" s="170"/>
      <c r="AT52" s="170"/>
      <c r="AU52" s="214"/>
      <c r="AV52" s="268"/>
      <c r="AW52" s="175"/>
      <c r="AX52" s="210"/>
      <c r="AY52" s="173"/>
      <c r="AZ52" s="179"/>
      <c r="BA52" s="179"/>
      <c r="BB52" s="175"/>
      <c r="BC52" s="49" t="e">
        <v>#REF!</v>
      </c>
      <c r="BD52" s="175"/>
    </row>
    <row r="53" spans="1:56" s="176" customFormat="1" x14ac:dyDescent="0.45">
      <c r="A53" s="13"/>
      <c r="B53" s="155"/>
      <c r="C53" s="85"/>
      <c r="D53" s="175"/>
      <c r="E53" s="175"/>
      <c r="F53" s="175"/>
      <c r="G53" s="175"/>
      <c r="H53" s="307"/>
      <c r="I53" s="175"/>
      <c r="J53" s="175"/>
      <c r="K53" s="179"/>
      <c r="L53" s="177"/>
      <c r="M53" s="238"/>
      <c r="N53" s="177"/>
      <c r="O53" s="179"/>
      <c r="P53" s="177"/>
      <c r="Q53" s="307"/>
      <c r="R53" s="238"/>
      <c r="S53" s="177"/>
      <c r="T53" s="179"/>
      <c r="U53" s="177"/>
      <c r="V53" s="263"/>
      <c r="W53" s="262"/>
      <c r="X53" s="175"/>
      <c r="Y53" s="175"/>
      <c r="Z53" s="175"/>
      <c r="AA53" s="175"/>
      <c r="AB53" s="175"/>
      <c r="AC53" s="175"/>
      <c r="AD53" s="175"/>
      <c r="AE53" s="175"/>
      <c r="AF53" s="175"/>
      <c r="AG53" s="179"/>
      <c r="AH53" s="179"/>
      <c r="AI53" s="177"/>
      <c r="AJ53" s="179"/>
      <c r="AK53" s="183"/>
      <c r="AL53" s="177"/>
      <c r="AM53" s="177"/>
      <c r="AN53" s="263"/>
      <c r="AO53" s="175"/>
      <c r="AP53" s="175"/>
      <c r="AQ53" s="307"/>
      <c r="AR53" s="175"/>
      <c r="AS53" s="170"/>
      <c r="AT53" s="170"/>
      <c r="AU53" s="214"/>
      <c r="AV53" s="268"/>
      <c r="AW53" s="175"/>
      <c r="AX53" s="210"/>
      <c r="AY53" s="173"/>
      <c r="AZ53" s="179"/>
      <c r="BA53" s="179"/>
      <c r="BB53" s="175"/>
      <c r="BC53" s="49" t="e">
        <v>#REF!</v>
      </c>
      <c r="BD53" s="175"/>
    </row>
    <row r="54" spans="1:56" s="176" customFormat="1" x14ac:dyDescent="0.45">
      <c r="A54" s="13"/>
      <c r="B54" s="155"/>
      <c r="C54" s="85"/>
      <c r="D54" s="175"/>
      <c r="E54" s="175"/>
      <c r="F54" s="175"/>
      <c r="G54" s="175"/>
      <c r="H54" s="307"/>
      <c r="I54" s="175"/>
      <c r="J54" s="175"/>
      <c r="K54" s="179"/>
      <c r="L54" s="177"/>
      <c r="M54" s="238"/>
      <c r="N54" s="177"/>
      <c r="O54" s="179"/>
      <c r="P54" s="177"/>
      <c r="Q54" s="307"/>
      <c r="R54" s="238"/>
      <c r="S54" s="177"/>
      <c r="T54" s="179"/>
      <c r="U54" s="177"/>
      <c r="V54" s="263"/>
      <c r="W54" s="262"/>
      <c r="X54" s="175"/>
      <c r="Y54" s="175"/>
      <c r="Z54" s="175"/>
      <c r="AA54" s="175"/>
      <c r="AB54" s="175"/>
      <c r="AC54" s="175"/>
      <c r="AD54" s="175"/>
      <c r="AE54" s="175"/>
      <c r="AF54" s="175"/>
      <c r="AG54" s="179"/>
      <c r="AH54" s="179"/>
      <c r="AI54" s="177"/>
      <c r="AJ54" s="179"/>
      <c r="AK54" s="183"/>
      <c r="AL54" s="177"/>
      <c r="AM54" s="177"/>
      <c r="AN54" s="263"/>
      <c r="AO54" s="175"/>
      <c r="AP54" s="175"/>
      <c r="AQ54" s="307"/>
      <c r="AR54" s="175"/>
      <c r="AS54" s="170"/>
      <c r="AT54" s="170"/>
      <c r="AU54" s="214"/>
      <c r="AV54" s="268"/>
      <c r="AW54" s="175"/>
      <c r="AX54" s="210"/>
      <c r="AY54" s="173"/>
      <c r="AZ54" s="179"/>
      <c r="BA54" s="179"/>
      <c r="BB54" s="175"/>
      <c r="BC54" s="49" t="e">
        <v>#REF!</v>
      </c>
      <c r="BD54" s="175"/>
    </row>
    <row r="55" spans="1:56" s="176" customFormat="1" x14ac:dyDescent="0.45">
      <c r="A55" s="12"/>
      <c r="B55" s="150"/>
      <c r="C55" s="53"/>
      <c r="D55" s="175"/>
      <c r="E55" s="175"/>
      <c r="F55" s="175"/>
      <c r="G55" s="175"/>
      <c r="H55" s="307"/>
      <c r="I55" s="175"/>
      <c r="J55" s="175"/>
      <c r="K55" s="179"/>
      <c r="L55" s="177"/>
      <c r="M55" s="238"/>
      <c r="N55" s="177"/>
      <c r="O55" s="179"/>
      <c r="P55" s="177"/>
      <c r="Q55" s="307"/>
      <c r="R55" s="238"/>
      <c r="S55" s="177"/>
      <c r="T55" s="179"/>
      <c r="U55" s="177"/>
      <c r="V55" s="263"/>
      <c r="W55" s="262"/>
      <c r="X55" s="175"/>
      <c r="Y55" s="175"/>
      <c r="Z55" s="175"/>
      <c r="AA55" s="175"/>
      <c r="AB55" s="175"/>
      <c r="AC55" s="175"/>
      <c r="AD55" s="175"/>
      <c r="AE55" s="175"/>
      <c r="AF55" s="175"/>
      <c r="AG55" s="179"/>
      <c r="AH55" s="179"/>
      <c r="AI55" s="177"/>
      <c r="AJ55" s="179"/>
      <c r="AK55" s="183"/>
      <c r="AL55" s="177"/>
      <c r="AM55" s="177"/>
      <c r="AN55" s="263"/>
      <c r="AO55" s="175"/>
      <c r="AP55" s="175"/>
      <c r="AQ55" s="307"/>
      <c r="AR55" s="175"/>
      <c r="AS55" s="170"/>
      <c r="AT55" s="170"/>
      <c r="AU55" s="214"/>
      <c r="AV55" s="268"/>
      <c r="AW55" s="175"/>
      <c r="AX55" s="210"/>
      <c r="AY55" s="173"/>
      <c r="AZ55" s="179"/>
      <c r="BA55" s="179"/>
      <c r="BB55" s="175"/>
      <c r="BC55" s="49" t="e">
        <v>#REF!</v>
      </c>
      <c r="BD55" s="175"/>
    </row>
    <row r="56" spans="1:56" s="176" customFormat="1" x14ac:dyDescent="0.45">
      <c r="A56" s="13"/>
      <c r="B56" s="155"/>
      <c r="C56" s="85"/>
      <c r="D56" s="175"/>
      <c r="E56" s="175"/>
      <c r="F56" s="175"/>
      <c r="G56" s="175"/>
      <c r="H56" s="307"/>
      <c r="I56" s="175"/>
      <c r="J56" s="175"/>
      <c r="K56" s="179"/>
      <c r="L56" s="177"/>
      <c r="M56" s="238"/>
      <c r="N56" s="177"/>
      <c r="O56" s="179"/>
      <c r="P56" s="177"/>
      <c r="Q56" s="307"/>
      <c r="R56" s="238"/>
      <c r="S56" s="177"/>
      <c r="T56" s="179"/>
      <c r="U56" s="177"/>
      <c r="V56" s="263"/>
      <c r="W56" s="262"/>
      <c r="X56" s="175"/>
      <c r="Y56" s="175"/>
      <c r="Z56" s="175"/>
      <c r="AA56" s="175"/>
      <c r="AB56" s="175"/>
      <c r="AC56" s="175"/>
      <c r="AD56" s="175"/>
      <c r="AE56" s="175"/>
      <c r="AF56" s="175"/>
      <c r="AG56" s="179"/>
      <c r="AH56" s="179"/>
      <c r="AI56" s="177"/>
      <c r="AJ56" s="179"/>
      <c r="AK56" s="183"/>
      <c r="AL56" s="177"/>
      <c r="AM56" s="177"/>
      <c r="AN56" s="263"/>
      <c r="AO56" s="175"/>
      <c r="AP56" s="175"/>
      <c r="AQ56" s="307"/>
      <c r="AR56" s="175"/>
      <c r="AS56" s="170"/>
      <c r="AT56" s="170"/>
      <c r="AU56" s="214"/>
      <c r="AV56" s="268"/>
      <c r="AW56" s="175"/>
      <c r="AX56" s="210"/>
      <c r="AY56" s="173"/>
      <c r="AZ56" s="179"/>
      <c r="BA56" s="179"/>
      <c r="BB56" s="175"/>
      <c r="BC56" s="49" t="e">
        <v>#REF!</v>
      </c>
      <c r="BD56" s="175"/>
    </row>
    <row r="57" spans="1:56" s="176" customFormat="1" x14ac:dyDescent="0.45">
      <c r="A57" s="13"/>
      <c r="B57" s="155"/>
      <c r="C57" s="85"/>
      <c r="D57" s="175"/>
      <c r="E57" s="175"/>
      <c r="F57" s="175"/>
      <c r="G57" s="175"/>
      <c r="H57" s="307"/>
      <c r="I57" s="175"/>
      <c r="J57" s="175"/>
      <c r="K57" s="179"/>
      <c r="L57" s="177"/>
      <c r="M57" s="238"/>
      <c r="N57" s="177"/>
      <c r="O57" s="179"/>
      <c r="P57" s="177"/>
      <c r="Q57" s="307"/>
      <c r="R57" s="238"/>
      <c r="S57" s="177"/>
      <c r="T57" s="179"/>
      <c r="U57" s="177"/>
      <c r="V57" s="263"/>
      <c r="W57" s="262"/>
      <c r="X57" s="175"/>
      <c r="Y57" s="175"/>
      <c r="Z57" s="175"/>
      <c r="AA57" s="175"/>
      <c r="AB57" s="175"/>
      <c r="AC57" s="175"/>
      <c r="AD57" s="175"/>
      <c r="AE57" s="175"/>
      <c r="AF57" s="175"/>
      <c r="AG57" s="179"/>
      <c r="AH57" s="179"/>
      <c r="AI57" s="177"/>
      <c r="AJ57" s="179"/>
      <c r="AK57" s="183"/>
      <c r="AL57" s="177"/>
      <c r="AM57" s="177"/>
      <c r="AN57" s="263"/>
      <c r="AO57" s="175"/>
      <c r="AP57" s="175"/>
      <c r="AQ57" s="307"/>
      <c r="AR57" s="175"/>
      <c r="AS57" s="170"/>
      <c r="AT57" s="170"/>
      <c r="AU57" s="214"/>
      <c r="AV57" s="268"/>
      <c r="AW57" s="175"/>
      <c r="AX57" s="210"/>
      <c r="AY57" s="173"/>
      <c r="AZ57" s="179"/>
      <c r="BA57" s="179"/>
      <c r="BB57" s="175"/>
      <c r="BC57" s="49" t="e">
        <v>#REF!</v>
      </c>
      <c r="BD57" s="175"/>
    </row>
    <row r="58" spans="1:56" s="176" customFormat="1" x14ac:dyDescent="0.45">
      <c r="A58" s="12"/>
      <c r="B58" s="150"/>
      <c r="C58" s="53"/>
      <c r="D58" s="175"/>
      <c r="E58" s="175"/>
      <c r="F58" s="175"/>
      <c r="G58" s="175"/>
      <c r="H58" s="307"/>
      <c r="I58" s="175"/>
      <c r="J58" s="175"/>
      <c r="K58" s="179"/>
      <c r="L58" s="177"/>
      <c r="M58" s="238"/>
      <c r="N58" s="177"/>
      <c r="O58" s="179"/>
      <c r="P58" s="177"/>
      <c r="Q58" s="307"/>
      <c r="R58" s="238"/>
      <c r="S58" s="177"/>
      <c r="T58" s="179"/>
      <c r="U58" s="177"/>
      <c r="V58" s="263"/>
      <c r="W58" s="262"/>
      <c r="X58" s="175"/>
      <c r="Y58" s="175"/>
      <c r="Z58" s="175"/>
      <c r="AA58" s="175"/>
      <c r="AB58" s="175"/>
      <c r="AC58" s="175"/>
      <c r="AD58" s="175"/>
      <c r="AE58" s="175"/>
      <c r="AF58" s="175"/>
      <c r="AG58" s="179"/>
      <c r="AH58" s="179"/>
      <c r="AI58" s="177"/>
      <c r="AJ58" s="179"/>
      <c r="AK58" s="183"/>
      <c r="AL58" s="177"/>
      <c r="AM58" s="177"/>
      <c r="AN58" s="263"/>
      <c r="AO58" s="175"/>
      <c r="AP58" s="175"/>
      <c r="AQ58" s="307"/>
      <c r="AR58" s="175"/>
      <c r="AS58" s="170"/>
      <c r="AT58" s="170"/>
      <c r="AU58" s="214"/>
      <c r="AV58" s="268"/>
      <c r="AW58" s="175"/>
      <c r="AX58" s="210"/>
      <c r="AY58" s="173"/>
      <c r="AZ58" s="179"/>
      <c r="BA58" s="179"/>
      <c r="BB58" s="175"/>
      <c r="BC58" s="49" t="e">
        <v>#REF!</v>
      </c>
      <c r="BD58" s="175"/>
    </row>
    <row r="59" spans="1:56" s="176" customFormat="1" x14ac:dyDescent="0.45">
      <c r="A59" s="13"/>
      <c r="B59" s="155"/>
      <c r="C59" s="85"/>
      <c r="D59" s="175"/>
      <c r="E59" s="175"/>
      <c r="F59" s="175"/>
      <c r="G59" s="175"/>
      <c r="H59" s="307"/>
      <c r="I59" s="175"/>
      <c r="J59" s="175"/>
      <c r="K59" s="179"/>
      <c r="L59" s="177"/>
      <c r="M59" s="238"/>
      <c r="N59" s="177"/>
      <c r="O59" s="179"/>
      <c r="P59" s="177"/>
      <c r="Q59" s="307"/>
      <c r="R59" s="238"/>
      <c r="S59" s="177"/>
      <c r="T59" s="179"/>
      <c r="U59" s="177"/>
      <c r="V59" s="263"/>
      <c r="W59" s="262"/>
      <c r="X59" s="175"/>
      <c r="Y59" s="175"/>
      <c r="Z59" s="175"/>
      <c r="AA59" s="175"/>
      <c r="AB59" s="175"/>
      <c r="AC59" s="175"/>
      <c r="AD59" s="175"/>
      <c r="AE59" s="175"/>
      <c r="AF59" s="175"/>
      <c r="AG59" s="179"/>
      <c r="AH59" s="179"/>
      <c r="AI59" s="177"/>
      <c r="AJ59" s="179"/>
      <c r="AK59" s="183"/>
      <c r="AL59" s="177"/>
      <c r="AM59" s="177"/>
      <c r="AN59" s="263"/>
      <c r="AO59" s="175"/>
      <c r="AP59" s="175"/>
      <c r="AQ59" s="307"/>
      <c r="AR59" s="175"/>
      <c r="AS59" s="170"/>
      <c r="AT59" s="170"/>
      <c r="AU59" s="214"/>
      <c r="AV59" s="268"/>
      <c r="AW59" s="175"/>
      <c r="AX59" s="210"/>
      <c r="AY59" s="173"/>
      <c r="AZ59" s="179"/>
      <c r="BA59" s="179"/>
      <c r="BB59" s="175"/>
      <c r="BC59" s="49" t="e">
        <v>#REF!</v>
      </c>
      <c r="BD59" s="175"/>
    </row>
    <row r="60" spans="1:56" s="176" customFormat="1" x14ac:dyDescent="0.45">
      <c r="A60" s="13"/>
      <c r="B60" s="155"/>
      <c r="C60" s="85"/>
      <c r="D60" s="175"/>
      <c r="E60" s="175"/>
      <c r="F60" s="175"/>
      <c r="G60" s="175"/>
      <c r="H60" s="307"/>
      <c r="I60" s="175"/>
      <c r="J60" s="175"/>
      <c r="K60" s="179"/>
      <c r="L60" s="177"/>
      <c r="M60" s="238"/>
      <c r="N60" s="177"/>
      <c r="O60" s="179"/>
      <c r="P60" s="177"/>
      <c r="Q60" s="307"/>
      <c r="R60" s="238"/>
      <c r="S60" s="177"/>
      <c r="T60" s="179"/>
      <c r="U60" s="177"/>
      <c r="V60" s="263"/>
      <c r="W60" s="262"/>
      <c r="X60" s="175"/>
      <c r="Y60" s="175"/>
      <c r="Z60" s="175"/>
      <c r="AA60" s="175"/>
      <c r="AB60" s="175"/>
      <c r="AC60" s="175"/>
      <c r="AD60" s="175"/>
      <c r="AE60" s="175"/>
      <c r="AF60" s="175"/>
      <c r="AG60" s="179"/>
      <c r="AH60" s="179"/>
      <c r="AI60" s="177"/>
      <c r="AJ60" s="179"/>
      <c r="AK60" s="183"/>
      <c r="AL60" s="177"/>
      <c r="AM60" s="177"/>
      <c r="AN60" s="263"/>
      <c r="AO60" s="175"/>
      <c r="AP60" s="175"/>
      <c r="AQ60" s="307"/>
      <c r="AR60" s="175"/>
      <c r="AS60" s="170"/>
      <c r="AT60" s="170"/>
      <c r="AU60" s="214"/>
      <c r="AV60" s="268"/>
      <c r="AW60" s="175"/>
      <c r="AX60" s="210"/>
      <c r="AY60" s="173"/>
      <c r="AZ60" s="179"/>
      <c r="BA60" s="179"/>
      <c r="BB60" s="175"/>
      <c r="BC60" s="49" t="e">
        <v>#REF!</v>
      </c>
      <c r="BD60" s="175"/>
    </row>
    <row r="61" spans="1:56" s="176" customFormat="1" x14ac:dyDescent="0.45">
      <c r="A61" s="12"/>
      <c r="B61" s="150"/>
      <c r="C61" s="53"/>
      <c r="D61" s="175"/>
      <c r="E61" s="175"/>
      <c r="F61" s="175"/>
      <c r="G61" s="175"/>
      <c r="H61" s="307"/>
      <c r="I61" s="175"/>
      <c r="J61" s="175"/>
      <c r="K61" s="179"/>
      <c r="L61" s="177"/>
      <c r="M61" s="238"/>
      <c r="N61" s="177"/>
      <c r="O61" s="179"/>
      <c r="P61" s="177"/>
      <c r="Q61" s="307"/>
      <c r="R61" s="238"/>
      <c r="S61" s="177"/>
      <c r="T61" s="179"/>
      <c r="U61" s="177"/>
      <c r="V61" s="263"/>
      <c r="W61" s="262"/>
      <c r="X61" s="175"/>
      <c r="Y61" s="175"/>
      <c r="Z61" s="175"/>
      <c r="AA61" s="175"/>
      <c r="AB61" s="175"/>
      <c r="AC61" s="175"/>
      <c r="AD61" s="175"/>
      <c r="AE61" s="175"/>
      <c r="AF61" s="175"/>
      <c r="AG61" s="179"/>
      <c r="AH61" s="179"/>
      <c r="AI61" s="177"/>
      <c r="AJ61" s="179"/>
      <c r="AK61" s="183"/>
      <c r="AL61" s="177"/>
      <c r="AM61" s="177"/>
      <c r="AN61" s="263"/>
      <c r="AO61" s="175"/>
      <c r="AP61" s="175"/>
      <c r="AQ61" s="307"/>
      <c r="AR61" s="175"/>
      <c r="AS61" s="170"/>
      <c r="AT61" s="170"/>
      <c r="AU61" s="214"/>
      <c r="AV61" s="268"/>
      <c r="AW61" s="175"/>
      <c r="AX61" s="210"/>
      <c r="AY61" s="173"/>
      <c r="AZ61" s="179"/>
      <c r="BA61" s="179"/>
      <c r="BB61" s="175"/>
      <c r="BC61" s="49" t="e">
        <v>#REF!</v>
      </c>
      <c r="BD61" s="175"/>
    </row>
    <row r="62" spans="1:56" s="176" customFormat="1" x14ac:dyDescent="0.45">
      <c r="A62" s="13"/>
      <c r="B62" s="155"/>
      <c r="C62" s="85"/>
      <c r="D62" s="175"/>
      <c r="E62" s="175"/>
      <c r="F62" s="175"/>
      <c r="G62" s="175"/>
      <c r="H62" s="307"/>
      <c r="I62" s="175"/>
      <c r="J62" s="175"/>
      <c r="K62" s="179"/>
      <c r="L62" s="177"/>
      <c r="M62" s="238"/>
      <c r="N62" s="177"/>
      <c r="O62" s="179"/>
      <c r="P62" s="177"/>
      <c r="Q62" s="307"/>
      <c r="R62" s="238"/>
      <c r="S62" s="177"/>
      <c r="T62" s="179"/>
      <c r="U62" s="177"/>
      <c r="V62" s="263"/>
      <c r="W62" s="262"/>
      <c r="X62" s="175"/>
      <c r="Y62" s="175"/>
      <c r="Z62" s="175"/>
      <c r="AA62" s="175"/>
      <c r="AB62" s="175"/>
      <c r="AC62" s="175"/>
      <c r="AD62" s="175"/>
      <c r="AE62" s="175"/>
      <c r="AF62" s="175"/>
      <c r="AG62" s="179"/>
      <c r="AH62" s="179"/>
      <c r="AI62" s="177"/>
      <c r="AJ62" s="179"/>
      <c r="AK62" s="183"/>
      <c r="AL62" s="177"/>
      <c r="AM62" s="177"/>
      <c r="AN62" s="263"/>
      <c r="AO62" s="175"/>
      <c r="AP62" s="175"/>
      <c r="AQ62" s="307"/>
      <c r="AR62" s="175"/>
      <c r="AS62" s="170"/>
      <c r="AT62" s="170"/>
      <c r="AU62" s="214"/>
      <c r="AV62" s="268"/>
      <c r="AW62" s="175"/>
      <c r="AX62" s="210"/>
      <c r="AY62" s="173"/>
      <c r="AZ62" s="179"/>
      <c r="BA62" s="179"/>
      <c r="BB62" s="175"/>
      <c r="BC62" s="49" t="e">
        <v>#REF!</v>
      </c>
      <c r="BD62" s="175"/>
    </row>
    <row r="63" spans="1:56" s="176" customFormat="1" x14ac:dyDescent="0.45">
      <c r="A63" s="13"/>
      <c r="B63" s="155"/>
      <c r="C63" s="85"/>
      <c r="D63" s="175"/>
      <c r="E63" s="175"/>
      <c r="F63" s="175"/>
      <c r="G63" s="175"/>
      <c r="H63" s="307"/>
      <c r="I63" s="175"/>
      <c r="J63" s="175"/>
      <c r="K63" s="179"/>
      <c r="L63" s="177"/>
      <c r="M63" s="238"/>
      <c r="N63" s="177"/>
      <c r="O63" s="179"/>
      <c r="P63" s="177"/>
      <c r="Q63" s="307"/>
      <c r="R63" s="238"/>
      <c r="S63" s="177"/>
      <c r="T63" s="179"/>
      <c r="U63" s="177"/>
      <c r="V63" s="263"/>
      <c r="W63" s="262"/>
      <c r="X63" s="175"/>
      <c r="Y63" s="175"/>
      <c r="Z63" s="175"/>
      <c r="AA63" s="175"/>
      <c r="AB63" s="175"/>
      <c r="AC63" s="175"/>
      <c r="AD63" s="175"/>
      <c r="AE63" s="175"/>
      <c r="AF63" s="175"/>
      <c r="AG63" s="179"/>
      <c r="AH63" s="179"/>
      <c r="AI63" s="177"/>
      <c r="AJ63" s="179"/>
      <c r="AK63" s="183"/>
      <c r="AL63" s="177"/>
      <c r="AM63" s="177"/>
      <c r="AN63" s="263"/>
      <c r="AO63" s="175"/>
      <c r="AP63" s="175"/>
      <c r="AQ63" s="307"/>
      <c r="AR63" s="175"/>
      <c r="AS63" s="170"/>
      <c r="AT63" s="170"/>
      <c r="AU63" s="214"/>
      <c r="AV63" s="268"/>
      <c r="AW63" s="175"/>
      <c r="AX63" s="210"/>
      <c r="AY63" s="173"/>
      <c r="AZ63" s="179"/>
      <c r="BA63" s="179"/>
      <c r="BB63" s="175"/>
      <c r="BC63" s="49" t="e">
        <v>#REF!</v>
      </c>
      <c r="BD63" s="175"/>
    </row>
    <row r="64" spans="1:56" s="176" customFormat="1" x14ac:dyDescent="0.45">
      <c r="A64" s="12"/>
      <c r="B64" s="150"/>
      <c r="C64" s="53"/>
      <c r="D64" s="175"/>
      <c r="E64" s="175"/>
      <c r="F64" s="175"/>
      <c r="G64" s="175"/>
      <c r="H64" s="307"/>
      <c r="I64" s="175"/>
      <c r="J64" s="175"/>
      <c r="K64" s="179"/>
      <c r="L64" s="177"/>
      <c r="M64" s="238"/>
      <c r="N64" s="177"/>
      <c r="O64" s="179"/>
      <c r="P64" s="177"/>
      <c r="Q64" s="307"/>
      <c r="R64" s="238"/>
      <c r="S64" s="177"/>
      <c r="T64" s="179"/>
      <c r="U64" s="177"/>
      <c r="V64" s="263"/>
      <c r="W64" s="262"/>
      <c r="X64" s="175"/>
      <c r="Y64" s="175"/>
      <c r="Z64" s="175"/>
      <c r="AA64" s="175"/>
      <c r="AB64" s="175"/>
      <c r="AC64" s="175"/>
      <c r="AD64" s="175"/>
      <c r="AE64" s="175"/>
      <c r="AF64" s="175"/>
      <c r="AG64" s="179"/>
      <c r="AH64" s="179"/>
      <c r="AI64" s="177"/>
      <c r="AJ64" s="179"/>
      <c r="AK64" s="183"/>
      <c r="AL64" s="177"/>
      <c r="AM64" s="177"/>
      <c r="AN64" s="263"/>
      <c r="AO64" s="175"/>
      <c r="AP64" s="175"/>
      <c r="AQ64" s="307"/>
      <c r="AR64" s="175"/>
      <c r="AS64" s="170"/>
      <c r="AT64" s="170"/>
      <c r="AU64" s="214"/>
      <c r="AV64" s="268"/>
      <c r="AW64" s="175"/>
      <c r="AX64" s="210"/>
      <c r="AY64" s="173"/>
      <c r="AZ64" s="179"/>
      <c r="BA64" s="179"/>
      <c r="BB64" s="175"/>
      <c r="BC64" s="49" t="e">
        <v>#REF!</v>
      </c>
      <c r="BD64" s="175"/>
    </row>
    <row r="65" spans="1:56" s="176" customFormat="1" x14ac:dyDescent="0.45">
      <c r="A65" s="13"/>
      <c r="B65" s="155"/>
      <c r="C65" s="85"/>
      <c r="D65" s="175"/>
      <c r="E65" s="175"/>
      <c r="F65" s="175"/>
      <c r="G65" s="175"/>
      <c r="H65" s="307"/>
      <c r="I65" s="175"/>
      <c r="J65" s="175"/>
      <c r="K65" s="179"/>
      <c r="L65" s="177"/>
      <c r="M65" s="238"/>
      <c r="N65" s="177"/>
      <c r="O65" s="179"/>
      <c r="P65" s="177"/>
      <c r="Q65" s="307"/>
      <c r="R65" s="238"/>
      <c r="S65" s="177"/>
      <c r="T65" s="179"/>
      <c r="U65" s="177"/>
      <c r="V65" s="263"/>
      <c r="W65" s="262"/>
      <c r="X65" s="175"/>
      <c r="Y65" s="175"/>
      <c r="Z65" s="175"/>
      <c r="AA65" s="175"/>
      <c r="AB65" s="175"/>
      <c r="AC65" s="175"/>
      <c r="AD65" s="175"/>
      <c r="AE65" s="175"/>
      <c r="AF65" s="175"/>
      <c r="AG65" s="179"/>
      <c r="AH65" s="179"/>
      <c r="AI65" s="177"/>
      <c r="AJ65" s="179"/>
      <c r="AK65" s="183"/>
      <c r="AL65" s="177"/>
      <c r="AM65" s="177"/>
      <c r="AN65" s="263"/>
      <c r="AO65" s="175"/>
      <c r="AP65" s="175"/>
      <c r="AQ65" s="307"/>
      <c r="AR65" s="175"/>
      <c r="AS65" s="170"/>
      <c r="AT65" s="170"/>
      <c r="AU65" s="214"/>
      <c r="AV65" s="268"/>
      <c r="AW65" s="175"/>
      <c r="AX65" s="210"/>
      <c r="AY65" s="173"/>
      <c r="AZ65" s="179"/>
      <c r="BA65" s="179"/>
      <c r="BB65" s="175"/>
      <c r="BC65" s="49" t="e">
        <v>#REF!</v>
      </c>
      <c r="BD65" s="175"/>
    </row>
    <row r="66" spans="1:56" s="176" customFormat="1" x14ac:dyDescent="0.45">
      <c r="A66" s="13"/>
      <c r="B66" s="155"/>
      <c r="C66" s="85"/>
      <c r="D66" s="175"/>
      <c r="E66" s="175"/>
      <c r="F66" s="175"/>
      <c r="G66" s="175"/>
      <c r="H66" s="307"/>
      <c r="I66" s="175"/>
      <c r="J66" s="175"/>
      <c r="K66" s="179"/>
      <c r="L66" s="177"/>
      <c r="M66" s="238"/>
      <c r="N66" s="177"/>
      <c r="O66" s="179"/>
      <c r="P66" s="177"/>
      <c r="Q66" s="307"/>
      <c r="R66" s="238"/>
      <c r="S66" s="177"/>
      <c r="T66" s="179"/>
      <c r="U66" s="177"/>
      <c r="V66" s="263"/>
      <c r="W66" s="262"/>
      <c r="X66" s="175"/>
      <c r="Y66" s="175"/>
      <c r="Z66" s="175"/>
      <c r="AA66" s="175"/>
      <c r="AB66" s="175"/>
      <c r="AC66" s="175"/>
      <c r="AD66" s="175"/>
      <c r="AE66" s="175"/>
      <c r="AF66" s="175"/>
      <c r="AG66" s="179"/>
      <c r="AH66" s="179"/>
      <c r="AI66" s="177"/>
      <c r="AJ66" s="179"/>
      <c r="AK66" s="183"/>
      <c r="AL66" s="177"/>
      <c r="AM66" s="177"/>
      <c r="AN66" s="263"/>
      <c r="AO66" s="175"/>
      <c r="AP66" s="175"/>
      <c r="AQ66" s="307"/>
      <c r="AR66" s="175"/>
      <c r="AS66" s="170"/>
      <c r="AT66" s="170"/>
      <c r="AU66" s="214"/>
      <c r="AV66" s="268"/>
      <c r="AW66" s="175"/>
      <c r="AX66" s="210"/>
      <c r="AY66" s="173"/>
      <c r="AZ66" s="179"/>
      <c r="BA66" s="179"/>
      <c r="BB66" s="175"/>
      <c r="BC66" s="49" t="e">
        <v>#REF!</v>
      </c>
      <c r="BD66" s="175"/>
    </row>
    <row r="67" spans="1:56" s="176" customFormat="1" x14ac:dyDescent="0.45">
      <c r="A67" s="12"/>
      <c r="B67" s="150"/>
      <c r="C67" s="53"/>
      <c r="D67" s="175"/>
      <c r="E67" s="175"/>
      <c r="F67" s="175"/>
      <c r="G67" s="175"/>
      <c r="H67" s="307"/>
      <c r="I67" s="175"/>
      <c r="J67" s="175"/>
      <c r="K67" s="179"/>
      <c r="L67" s="177"/>
      <c r="M67" s="238"/>
      <c r="N67" s="177"/>
      <c r="O67" s="179"/>
      <c r="P67" s="177"/>
      <c r="Q67" s="307"/>
      <c r="R67" s="238"/>
      <c r="S67" s="177"/>
      <c r="T67" s="179"/>
      <c r="U67" s="177"/>
      <c r="V67" s="263"/>
      <c r="W67" s="262"/>
      <c r="X67" s="175"/>
      <c r="Y67" s="175"/>
      <c r="Z67" s="175"/>
      <c r="AA67" s="175"/>
      <c r="AB67" s="175"/>
      <c r="AC67" s="175"/>
      <c r="AD67" s="175"/>
      <c r="AE67" s="175"/>
      <c r="AF67" s="175"/>
      <c r="AG67" s="179"/>
      <c r="AH67" s="179"/>
      <c r="AI67" s="177"/>
      <c r="AJ67" s="179"/>
      <c r="AK67" s="183"/>
      <c r="AL67" s="177"/>
      <c r="AM67" s="177"/>
      <c r="AN67" s="263"/>
      <c r="AO67" s="175"/>
      <c r="AP67" s="175"/>
      <c r="AQ67" s="307"/>
      <c r="AR67" s="175"/>
      <c r="AS67" s="170"/>
      <c r="AT67" s="170"/>
      <c r="AU67" s="214"/>
      <c r="AV67" s="268"/>
      <c r="AW67" s="175"/>
      <c r="AX67" s="210"/>
      <c r="AY67" s="173"/>
      <c r="AZ67" s="179"/>
      <c r="BA67" s="179"/>
      <c r="BB67" s="175"/>
      <c r="BC67" s="49" t="e">
        <v>#REF!</v>
      </c>
      <c r="BD67" s="175"/>
    </row>
    <row r="68" spans="1:56" s="176" customFormat="1" x14ac:dyDescent="0.45">
      <c r="A68" s="13"/>
      <c r="B68" s="155"/>
      <c r="C68" s="85"/>
      <c r="D68" s="175"/>
      <c r="E68" s="175"/>
      <c r="F68" s="175"/>
      <c r="G68" s="175"/>
      <c r="H68" s="307"/>
      <c r="I68" s="175"/>
      <c r="J68" s="175"/>
      <c r="K68" s="179"/>
      <c r="L68" s="177"/>
      <c r="M68" s="238"/>
      <c r="N68" s="177"/>
      <c r="O68" s="179"/>
      <c r="P68" s="177"/>
      <c r="Q68" s="307"/>
      <c r="R68" s="238"/>
      <c r="S68" s="177"/>
      <c r="T68" s="179"/>
      <c r="U68" s="177"/>
      <c r="V68" s="263"/>
      <c r="W68" s="262"/>
      <c r="X68" s="175"/>
      <c r="Y68" s="175"/>
      <c r="Z68" s="175"/>
      <c r="AA68" s="175"/>
      <c r="AB68" s="175"/>
      <c r="AC68" s="175"/>
      <c r="AD68" s="175"/>
      <c r="AE68" s="175"/>
      <c r="AF68" s="175"/>
      <c r="AG68" s="179"/>
      <c r="AH68" s="179"/>
      <c r="AI68" s="177"/>
      <c r="AJ68" s="179"/>
      <c r="AK68" s="183"/>
      <c r="AL68" s="177"/>
      <c r="AM68" s="177"/>
      <c r="AN68" s="263"/>
      <c r="AO68" s="175"/>
      <c r="AP68" s="175"/>
      <c r="AQ68" s="307"/>
      <c r="AR68" s="175"/>
      <c r="AS68" s="170"/>
      <c r="AT68" s="170"/>
      <c r="AU68" s="214"/>
      <c r="AV68" s="268"/>
      <c r="AW68" s="175"/>
      <c r="AX68" s="210"/>
      <c r="AY68" s="173"/>
      <c r="AZ68" s="179"/>
      <c r="BA68" s="179"/>
      <c r="BB68" s="175"/>
      <c r="BC68" s="49" t="e">
        <v>#REF!</v>
      </c>
      <c r="BD68" s="175"/>
    </row>
    <row r="69" spans="1:56" s="176" customFormat="1" x14ac:dyDescent="0.45">
      <c r="A69" s="13"/>
      <c r="B69" s="155"/>
      <c r="C69" s="85"/>
      <c r="D69" s="175"/>
      <c r="E69" s="175"/>
      <c r="F69" s="175"/>
      <c r="G69" s="175"/>
      <c r="H69" s="307"/>
      <c r="I69" s="175"/>
      <c r="J69" s="175"/>
      <c r="K69" s="179"/>
      <c r="L69" s="177"/>
      <c r="M69" s="238"/>
      <c r="N69" s="177"/>
      <c r="O69" s="179"/>
      <c r="P69" s="177"/>
      <c r="Q69" s="307"/>
      <c r="R69" s="238"/>
      <c r="S69" s="177"/>
      <c r="T69" s="179"/>
      <c r="U69" s="177"/>
      <c r="V69" s="263"/>
      <c r="W69" s="262"/>
      <c r="X69" s="175"/>
      <c r="Y69" s="175"/>
      <c r="Z69" s="175"/>
      <c r="AA69" s="175"/>
      <c r="AB69" s="175"/>
      <c r="AC69" s="175"/>
      <c r="AD69" s="175"/>
      <c r="AE69" s="175"/>
      <c r="AF69" s="175"/>
      <c r="AG69" s="179"/>
      <c r="AH69" s="179"/>
      <c r="AI69" s="177"/>
      <c r="AJ69" s="179"/>
      <c r="AK69" s="183"/>
      <c r="AL69" s="177"/>
      <c r="AM69" s="177"/>
      <c r="AN69" s="263"/>
      <c r="AO69" s="175"/>
      <c r="AP69" s="175"/>
      <c r="AQ69" s="307"/>
      <c r="AR69" s="175"/>
      <c r="AS69" s="170"/>
      <c r="AT69" s="170"/>
      <c r="AU69" s="214"/>
      <c r="AV69" s="268"/>
      <c r="AW69" s="175"/>
      <c r="AX69" s="210"/>
      <c r="AY69" s="173"/>
      <c r="AZ69" s="179"/>
      <c r="BA69" s="179"/>
      <c r="BB69" s="175"/>
      <c r="BC69" s="49" t="e">
        <v>#REF!</v>
      </c>
      <c r="BD69" s="175"/>
    </row>
    <row r="70" spans="1:56" s="176" customFormat="1" x14ac:dyDescent="0.45">
      <c r="A70" s="12"/>
      <c r="B70" s="150"/>
      <c r="C70" s="53"/>
      <c r="D70" s="175"/>
      <c r="E70" s="175"/>
      <c r="F70" s="175"/>
      <c r="G70" s="175"/>
      <c r="H70" s="307"/>
      <c r="I70" s="175"/>
      <c r="J70" s="175"/>
      <c r="K70" s="179"/>
      <c r="L70" s="177"/>
      <c r="M70" s="238"/>
      <c r="N70" s="177"/>
      <c r="O70" s="179"/>
      <c r="P70" s="177"/>
      <c r="Q70" s="307"/>
      <c r="R70" s="238"/>
      <c r="S70" s="177"/>
      <c r="T70" s="179"/>
      <c r="U70" s="177"/>
      <c r="V70" s="263"/>
      <c r="W70" s="262"/>
      <c r="X70" s="175"/>
      <c r="Y70" s="175"/>
      <c r="Z70" s="175"/>
      <c r="AA70" s="175"/>
      <c r="AB70" s="175"/>
      <c r="AC70" s="175"/>
      <c r="AD70" s="175"/>
      <c r="AE70" s="175"/>
      <c r="AF70" s="175"/>
      <c r="AG70" s="179"/>
      <c r="AH70" s="179"/>
      <c r="AI70" s="177"/>
      <c r="AJ70" s="179"/>
      <c r="AK70" s="183"/>
      <c r="AL70" s="177"/>
      <c r="AM70" s="177"/>
      <c r="AN70" s="263"/>
      <c r="AO70" s="175"/>
      <c r="AP70" s="175"/>
      <c r="AQ70" s="307"/>
      <c r="AR70" s="175"/>
      <c r="AS70" s="170"/>
      <c r="AT70" s="170"/>
      <c r="AU70" s="214"/>
      <c r="AV70" s="268"/>
      <c r="AW70" s="175"/>
      <c r="AX70" s="210"/>
      <c r="AY70" s="173"/>
      <c r="AZ70" s="179"/>
      <c r="BA70" s="179"/>
      <c r="BB70" s="175"/>
      <c r="BC70" s="49" t="e">
        <v>#REF!</v>
      </c>
      <c r="BD70" s="175"/>
    </row>
    <row r="71" spans="1:56" s="176" customFormat="1" x14ac:dyDescent="0.45">
      <c r="A71" s="13"/>
      <c r="B71" s="155"/>
      <c r="C71" s="85"/>
      <c r="D71" s="175"/>
      <c r="E71" s="175"/>
      <c r="F71" s="175"/>
      <c r="G71" s="175"/>
      <c r="H71" s="307"/>
      <c r="I71" s="175"/>
      <c r="J71" s="175"/>
      <c r="K71" s="179"/>
      <c r="L71" s="177"/>
      <c r="M71" s="238"/>
      <c r="N71" s="177"/>
      <c r="O71" s="179"/>
      <c r="P71" s="177"/>
      <c r="Q71" s="307"/>
      <c r="R71" s="238"/>
      <c r="S71" s="177"/>
      <c r="T71" s="179"/>
      <c r="U71" s="177"/>
      <c r="V71" s="263"/>
      <c r="W71" s="262"/>
      <c r="X71" s="175"/>
      <c r="Y71" s="175"/>
      <c r="Z71" s="175"/>
      <c r="AA71" s="175"/>
      <c r="AB71" s="175"/>
      <c r="AC71" s="175"/>
      <c r="AD71" s="175"/>
      <c r="AE71" s="175"/>
      <c r="AF71" s="175"/>
      <c r="AG71" s="179"/>
      <c r="AH71" s="179"/>
      <c r="AI71" s="177"/>
      <c r="AJ71" s="179"/>
      <c r="AK71" s="183"/>
      <c r="AL71" s="177"/>
      <c r="AM71" s="177"/>
      <c r="AN71" s="263"/>
      <c r="AO71" s="175"/>
      <c r="AP71" s="175"/>
      <c r="AQ71" s="307"/>
      <c r="AR71" s="175"/>
      <c r="AS71" s="170"/>
      <c r="AT71" s="170"/>
      <c r="AU71" s="214"/>
      <c r="AV71" s="268"/>
      <c r="AW71" s="175"/>
      <c r="AX71" s="210"/>
      <c r="AY71" s="173"/>
      <c r="AZ71" s="179"/>
      <c r="BA71" s="179"/>
      <c r="BB71" s="175"/>
      <c r="BC71" s="49" t="e">
        <v>#REF!</v>
      </c>
      <c r="BD71" s="175"/>
    </row>
    <row r="72" spans="1:56" s="176" customFormat="1" x14ac:dyDescent="0.45">
      <c r="A72" s="13"/>
      <c r="B72" s="155"/>
      <c r="C72" s="85"/>
      <c r="D72" s="175"/>
      <c r="E72" s="175"/>
      <c r="F72" s="175"/>
      <c r="G72" s="175"/>
      <c r="H72" s="307"/>
      <c r="I72" s="175"/>
      <c r="J72" s="175"/>
      <c r="K72" s="179"/>
      <c r="L72" s="177"/>
      <c r="M72" s="238"/>
      <c r="N72" s="177"/>
      <c r="O72" s="179"/>
      <c r="P72" s="177"/>
      <c r="Q72" s="307"/>
      <c r="R72" s="238"/>
      <c r="S72" s="177"/>
      <c r="T72" s="179"/>
      <c r="U72" s="177"/>
      <c r="V72" s="263"/>
      <c r="W72" s="262"/>
      <c r="X72" s="175"/>
      <c r="Y72" s="175"/>
      <c r="Z72" s="175"/>
      <c r="AA72" s="175"/>
      <c r="AB72" s="175"/>
      <c r="AC72" s="175"/>
      <c r="AD72" s="175"/>
      <c r="AE72" s="175"/>
      <c r="AF72" s="175"/>
      <c r="AG72" s="179"/>
      <c r="AH72" s="179"/>
      <c r="AI72" s="177"/>
      <c r="AJ72" s="179"/>
      <c r="AK72" s="183"/>
      <c r="AL72" s="177"/>
      <c r="AM72" s="177"/>
      <c r="AN72" s="263"/>
      <c r="AO72" s="175"/>
      <c r="AP72" s="175"/>
      <c r="AQ72" s="307"/>
      <c r="AR72" s="175"/>
      <c r="AS72" s="170"/>
      <c r="AT72" s="170"/>
      <c r="AU72" s="214"/>
      <c r="AV72" s="268"/>
      <c r="AW72" s="175"/>
      <c r="AX72" s="210"/>
      <c r="AY72" s="173"/>
      <c r="AZ72" s="179"/>
      <c r="BA72" s="179"/>
      <c r="BB72" s="175"/>
      <c r="BC72" s="49" t="e">
        <v>#REF!</v>
      </c>
      <c r="BD72" s="175"/>
    </row>
    <row r="73" spans="1:56" s="176" customFormat="1" x14ac:dyDescent="0.45">
      <c r="A73" s="12"/>
      <c r="B73" s="150"/>
      <c r="C73" s="53"/>
      <c r="D73" s="175"/>
      <c r="E73" s="175"/>
      <c r="F73" s="175"/>
      <c r="G73" s="175"/>
      <c r="H73" s="307"/>
      <c r="I73" s="175"/>
      <c r="J73" s="175"/>
      <c r="K73" s="179"/>
      <c r="L73" s="177"/>
      <c r="M73" s="238"/>
      <c r="N73" s="177"/>
      <c r="O73" s="179"/>
      <c r="P73" s="177"/>
      <c r="Q73" s="307"/>
      <c r="R73" s="238"/>
      <c r="S73" s="177"/>
      <c r="T73" s="179"/>
      <c r="U73" s="177"/>
      <c r="V73" s="263"/>
      <c r="W73" s="262"/>
      <c r="X73" s="175"/>
      <c r="Y73" s="175"/>
      <c r="Z73" s="175"/>
      <c r="AA73" s="175"/>
      <c r="AB73" s="175"/>
      <c r="AC73" s="175"/>
      <c r="AD73" s="175"/>
      <c r="AE73" s="175"/>
      <c r="AF73" s="175"/>
      <c r="AG73" s="179"/>
      <c r="AH73" s="179"/>
      <c r="AI73" s="177"/>
      <c r="AJ73" s="179"/>
      <c r="AK73" s="183"/>
      <c r="AL73" s="177"/>
      <c r="AM73" s="177"/>
      <c r="AN73" s="263"/>
      <c r="AO73" s="175"/>
      <c r="AP73" s="175"/>
      <c r="AQ73" s="307"/>
      <c r="AR73" s="175"/>
      <c r="AS73" s="170"/>
      <c r="AT73" s="170"/>
      <c r="AU73" s="214"/>
      <c r="AV73" s="268"/>
      <c r="AW73" s="175"/>
      <c r="AX73" s="210"/>
      <c r="AY73" s="173"/>
      <c r="AZ73" s="179"/>
      <c r="BA73" s="179"/>
      <c r="BB73" s="175"/>
      <c r="BC73" s="49" t="e">
        <v>#REF!</v>
      </c>
      <c r="BD73" s="175"/>
    </row>
    <row r="74" spans="1:56" s="176" customFormat="1" x14ac:dyDescent="0.45">
      <c r="A74" s="13"/>
      <c r="B74" s="155"/>
      <c r="C74" s="85"/>
      <c r="D74" s="175"/>
      <c r="E74" s="175"/>
      <c r="F74" s="175"/>
      <c r="G74" s="175"/>
      <c r="H74" s="307"/>
      <c r="I74" s="175"/>
      <c r="J74" s="175"/>
      <c r="K74" s="179"/>
      <c r="L74" s="177"/>
      <c r="M74" s="238"/>
      <c r="N74" s="177"/>
      <c r="O74" s="179"/>
      <c r="P74" s="177"/>
      <c r="Q74" s="307"/>
      <c r="R74" s="238"/>
      <c r="S74" s="177"/>
      <c r="T74" s="179"/>
      <c r="U74" s="177"/>
      <c r="V74" s="263"/>
      <c r="W74" s="262"/>
      <c r="X74" s="175"/>
      <c r="Y74" s="175"/>
      <c r="Z74" s="175"/>
      <c r="AA74" s="175"/>
      <c r="AB74" s="175"/>
      <c r="AC74" s="175"/>
      <c r="AD74" s="175"/>
      <c r="AE74" s="175"/>
      <c r="AF74" s="175"/>
      <c r="AG74" s="179"/>
      <c r="AH74" s="179"/>
      <c r="AI74" s="177"/>
      <c r="AJ74" s="179"/>
      <c r="AK74" s="183"/>
      <c r="AL74" s="177"/>
      <c r="AM74" s="177"/>
      <c r="AN74" s="263"/>
      <c r="AO74" s="175"/>
      <c r="AP74" s="175"/>
      <c r="AQ74" s="307"/>
      <c r="AR74" s="175"/>
      <c r="AS74" s="170"/>
      <c r="AT74" s="170"/>
      <c r="AU74" s="214"/>
      <c r="AV74" s="268"/>
      <c r="AW74" s="175"/>
      <c r="AX74" s="210"/>
      <c r="AY74" s="173"/>
      <c r="AZ74" s="179"/>
      <c r="BA74" s="179"/>
      <c r="BB74" s="175"/>
      <c r="BC74" s="49" t="e">
        <v>#REF!</v>
      </c>
      <c r="BD74" s="175"/>
    </row>
    <row r="75" spans="1:56" s="176" customFormat="1" x14ac:dyDescent="0.45">
      <c r="A75" s="13"/>
      <c r="B75" s="155"/>
      <c r="C75" s="85"/>
      <c r="D75" s="175"/>
      <c r="E75" s="175"/>
      <c r="F75" s="175"/>
      <c r="G75" s="175"/>
      <c r="H75" s="307"/>
      <c r="I75" s="175"/>
      <c r="J75" s="175"/>
      <c r="K75" s="179"/>
      <c r="L75" s="177"/>
      <c r="M75" s="238"/>
      <c r="N75" s="177"/>
      <c r="O75" s="179"/>
      <c r="P75" s="177"/>
      <c r="Q75" s="307"/>
      <c r="R75" s="238"/>
      <c r="S75" s="177"/>
      <c r="T75" s="179"/>
      <c r="U75" s="177"/>
      <c r="V75" s="263"/>
      <c r="W75" s="262"/>
      <c r="X75" s="175"/>
      <c r="Y75" s="175"/>
      <c r="Z75" s="175"/>
      <c r="AA75" s="175"/>
      <c r="AB75" s="175"/>
      <c r="AC75" s="175"/>
      <c r="AD75" s="175"/>
      <c r="AE75" s="175"/>
      <c r="AF75" s="175"/>
      <c r="AG75" s="179"/>
      <c r="AH75" s="179"/>
      <c r="AI75" s="177"/>
      <c r="AJ75" s="179"/>
      <c r="AK75" s="183"/>
      <c r="AL75" s="177"/>
      <c r="AM75" s="177"/>
      <c r="AN75" s="263"/>
      <c r="AO75" s="175"/>
      <c r="AP75" s="175"/>
      <c r="AQ75" s="307"/>
      <c r="AR75" s="175"/>
      <c r="AS75" s="170"/>
      <c r="AT75" s="170"/>
      <c r="AU75" s="214"/>
      <c r="AV75" s="268"/>
      <c r="AW75" s="175"/>
      <c r="AX75" s="210"/>
      <c r="AY75" s="173"/>
      <c r="AZ75" s="179"/>
      <c r="BA75" s="179"/>
      <c r="BB75" s="175"/>
      <c r="BC75" s="49" t="e">
        <v>#REF!</v>
      </c>
      <c r="BD75" s="175"/>
    </row>
    <row r="76" spans="1:56" s="176" customFormat="1" x14ac:dyDescent="0.45">
      <c r="A76" s="12"/>
      <c r="B76" s="150"/>
      <c r="C76" s="53"/>
      <c r="D76" s="175"/>
      <c r="E76" s="175"/>
      <c r="F76" s="175"/>
      <c r="G76" s="175"/>
      <c r="H76" s="307"/>
      <c r="I76" s="175"/>
      <c r="J76" s="175"/>
      <c r="K76" s="179"/>
      <c r="L76" s="177"/>
      <c r="M76" s="238"/>
      <c r="N76" s="177"/>
      <c r="O76" s="179"/>
      <c r="P76" s="177"/>
      <c r="Q76" s="307"/>
      <c r="R76" s="238"/>
      <c r="S76" s="177"/>
      <c r="T76" s="179"/>
      <c r="U76" s="177"/>
      <c r="V76" s="263"/>
      <c r="W76" s="262"/>
      <c r="X76" s="175"/>
      <c r="Y76" s="175"/>
      <c r="Z76" s="175"/>
      <c r="AA76" s="175"/>
      <c r="AB76" s="175"/>
      <c r="AC76" s="175"/>
      <c r="AD76" s="175"/>
      <c r="AE76" s="175"/>
      <c r="AF76" s="175"/>
      <c r="AG76" s="179"/>
      <c r="AH76" s="179"/>
      <c r="AI76" s="177"/>
      <c r="AJ76" s="179"/>
      <c r="AK76" s="183"/>
      <c r="AL76" s="177"/>
      <c r="AM76" s="177"/>
      <c r="AN76" s="263"/>
      <c r="AO76" s="175"/>
      <c r="AP76" s="175"/>
      <c r="AQ76" s="307"/>
      <c r="AR76" s="175"/>
      <c r="AS76" s="170"/>
      <c r="AT76" s="170"/>
      <c r="AU76" s="214"/>
      <c r="AV76" s="268"/>
      <c r="AW76" s="175"/>
      <c r="AX76" s="210"/>
      <c r="AY76" s="173"/>
      <c r="AZ76" s="179"/>
      <c r="BA76" s="179"/>
      <c r="BB76" s="175"/>
      <c r="BC76" s="49" t="e">
        <v>#REF!</v>
      </c>
      <c r="BD76" s="175"/>
    </row>
    <row r="77" spans="1:56" s="176" customFormat="1" x14ac:dyDescent="0.45">
      <c r="A77" s="13"/>
      <c r="B77" s="155"/>
      <c r="C77" s="85"/>
      <c r="D77" s="175"/>
      <c r="E77" s="175"/>
      <c r="F77" s="175"/>
      <c r="G77" s="175"/>
      <c r="H77" s="307"/>
      <c r="I77" s="175"/>
      <c r="J77" s="175"/>
      <c r="K77" s="179"/>
      <c r="L77" s="177"/>
      <c r="M77" s="238"/>
      <c r="N77" s="177"/>
      <c r="O77" s="179"/>
      <c r="P77" s="177"/>
      <c r="Q77" s="307"/>
      <c r="R77" s="238"/>
      <c r="S77" s="177"/>
      <c r="T77" s="179"/>
      <c r="U77" s="177"/>
      <c r="V77" s="263"/>
      <c r="W77" s="262"/>
      <c r="X77" s="175"/>
      <c r="Y77" s="175"/>
      <c r="Z77" s="175"/>
      <c r="AA77" s="175"/>
      <c r="AB77" s="175"/>
      <c r="AC77" s="175"/>
      <c r="AD77" s="175"/>
      <c r="AE77" s="175"/>
      <c r="AF77" s="175"/>
      <c r="AG77" s="179"/>
      <c r="AH77" s="179"/>
      <c r="AI77" s="177"/>
      <c r="AJ77" s="179"/>
      <c r="AK77" s="183"/>
      <c r="AL77" s="177"/>
      <c r="AM77" s="177"/>
      <c r="AN77" s="263"/>
      <c r="AO77" s="175"/>
      <c r="AP77" s="175"/>
      <c r="AQ77" s="307"/>
      <c r="AR77" s="175"/>
      <c r="AS77" s="170"/>
      <c r="AT77" s="170"/>
      <c r="AU77" s="214"/>
      <c r="AV77" s="268"/>
      <c r="AW77" s="175"/>
      <c r="AX77" s="210"/>
      <c r="AY77" s="173"/>
      <c r="AZ77" s="179"/>
      <c r="BA77" s="179"/>
      <c r="BB77" s="175"/>
      <c r="BC77" s="49" t="e">
        <v>#REF!</v>
      </c>
      <c r="BD77" s="175"/>
    </row>
    <row r="78" spans="1:56" s="176" customFormat="1" x14ac:dyDescent="0.45">
      <c r="A78" s="13"/>
      <c r="B78" s="155"/>
      <c r="C78" s="85"/>
      <c r="D78" s="175"/>
      <c r="E78" s="175"/>
      <c r="F78" s="175"/>
      <c r="G78" s="175"/>
      <c r="H78" s="307"/>
      <c r="I78" s="175"/>
      <c r="J78" s="175"/>
      <c r="K78" s="179"/>
      <c r="L78" s="177"/>
      <c r="M78" s="238"/>
      <c r="N78" s="177"/>
      <c r="O78" s="179"/>
      <c r="P78" s="177"/>
      <c r="Q78" s="307"/>
      <c r="R78" s="238"/>
      <c r="S78" s="177"/>
      <c r="T78" s="179"/>
      <c r="U78" s="177"/>
      <c r="V78" s="263"/>
      <c r="W78" s="262"/>
      <c r="X78" s="175"/>
      <c r="Y78" s="175"/>
      <c r="Z78" s="175"/>
      <c r="AA78" s="175"/>
      <c r="AB78" s="175"/>
      <c r="AC78" s="175"/>
      <c r="AD78" s="175"/>
      <c r="AE78" s="175"/>
      <c r="AF78" s="175"/>
      <c r="AG78" s="179"/>
      <c r="AH78" s="179"/>
      <c r="AI78" s="177"/>
      <c r="AJ78" s="179"/>
      <c r="AK78" s="183"/>
      <c r="AL78" s="177"/>
      <c r="AM78" s="177"/>
      <c r="AN78" s="263"/>
      <c r="AO78" s="175"/>
      <c r="AP78" s="175"/>
      <c r="AQ78" s="307"/>
      <c r="AR78" s="175"/>
      <c r="AS78" s="170"/>
      <c r="AT78" s="170"/>
      <c r="AU78" s="214"/>
      <c r="AV78" s="268"/>
      <c r="AW78" s="175"/>
      <c r="AX78" s="210"/>
      <c r="AY78" s="173"/>
      <c r="AZ78" s="179"/>
      <c r="BA78" s="179"/>
      <c r="BB78" s="175"/>
      <c r="BC78" s="49" t="e">
        <v>#REF!</v>
      </c>
      <c r="BD78" s="175"/>
    </row>
    <row r="79" spans="1:56" s="176" customFormat="1" x14ac:dyDescent="0.45">
      <c r="A79" s="12"/>
      <c r="B79" s="150"/>
      <c r="C79" s="53"/>
      <c r="D79" s="175"/>
      <c r="E79" s="175"/>
      <c r="F79" s="175"/>
      <c r="G79" s="175"/>
      <c r="H79" s="307"/>
      <c r="I79" s="175"/>
      <c r="J79" s="175"/>
      <c r="K79" s="179"/>
      <c r="L79" s="177"/>
      <c r="M79" s="238"/>
      <c r="N79" s="177"/>
      <c r="O79" s="179"/>
      <c r="P79" s="177"/>
      <c r="Q79" s="307"/>
      <c r="R79" s="238"/>
      <c r="S79" s="177"/>
      <c r="T79" s="179"/>
      <c r="U79" s="177"/>
      <c r="V79" s="263"/>
      <c r="W79" s="262"/>
      <c r="X79" s="175"/>
      <c r="Y79" s="175"/>
      <c r="Z79" s="175"/>
      <c r="AA79" s="175"/>
      <c r="AB79" s="175"/>
      <c r="AC79" s="175"/>
      <c r="AD79" s="175"/>
      <c r="AE79" s="175"/>
      <c r="AF79" s="175"/>
      <c r="AG79" s="179"/>
      <c r="AH79" s="179"/>
      <c r="AI79" s="177"/>
      <c r="AJ79" s="179"/>
      <c r="AK79" s="183"/>
      <c r="AL79" s="177"/>
      <c r="AM79" s="177"/>
      <c r="AN79" s="263"/>
      <c r="AO79" s="175"/>
      <c r="AP79" s="175"/>
      <c r="AQ79" s="307"/>
      <c r="AR79" s="175"/>
      <c r="AS79" s="170"/>
      <c r="AT79" s="170"/>
      <c r="AU79" s="214"/>
      <c r="AV79" s="268"/>
      <c r="AW79" s="175"/>
      <c r="AX79" s="210"/>
      <c r="AY79" s="173"/>
      <c r="AZ79" s="179"/>
      <c r="BA79" s="179"/>
      <c r="BB79" s="175"/>
      <c r="BC79" s="49" t="e">
        <v>#REF!</v>
      </c>
      <c r="BD79" s="175"/>
    </row>
    <row r="80" spans="1:56" s="176" customFormat="1" x14ac:dyDescent="0.45">
      <c r="A80" s="13"/>
      <c r="B80" s="155"/>
      <c r="C80" s="85"/>
      <c r="D80" s="175"/>
      <c r="E80" s="175"/>
      <c r="F80" s="175"/>
      <c r="G80" s="175"/>
      <c r="H80" s="307"/>
      <c r="I80" s="175"/>
      <c r="J80" s="175"/>
      <c r="K80" s="179"/>
      <c r="L80" s="177"/>
      <c r="M80" s="238"/>
      <c r="N80" s="177"/>
      <c r="O80" s="179"/>
      <c r="P80" s="177"/>
      <c r="Q80" s="307"/>
      <c r="R80" s="238"/>
      <c r="S80" s="177"/>
      <c r="T80" s="179"/>
      <c r="U80" s="177"/>
      <c r="V80" s="263"/>
      <c r="W80" s="262"/>
      <c r="X80" s="175"/>
      <c r="Y80" s="175"/>
      <c r="Z80" s="175"/>
      <c r="AA80" s="175"/>
      <c r="AB80" s="175"/>
      <c r="AC80" s="175"/>
      <c r="AD80" s="175"/>
      <c r="AE80" s="175"/>
      <c r="AF80" s="175"/>
      <c r="AG80" s="179"/>
      <c r="AH80" s="179"/>
      <c r="AI80" s="177"/>
      <c r="AJ80" s="179"/>
      <c r="AK80" s="183"/>
      <c r="AL80" s="177"/>
      <c r="AM80" s="177"/>
      <c r="AN80" s="263"/>
      <c r="AO80" s="175"/>
      <c r="AP80" s="175"/>
      <c r="AQ80" s="307"/>
      <c r="AR80" s="175"/>
      <c r="AS80" s="170"/>
      <c r="AT80" s="170"/>
      <c r="AU80" s="214"/>
      <c r="AV80" s="268"/>
      <c r="AW80" s="175"/>
      <c r="AX80" s="210"/>
      <c r="AY80" s="173"/>
      <c r="AZ80" s="179"/>
      <c r="BA80" s="179"/>
      <c r="BB80" s="175"/>
      <c r="BC80" s="49" t="e">
        <v>#REF!</v>
      </c>
      <c r="BD80" s="175"/>
    </row>
    <row r="81" spans="1:56" s="176" customFormat="1" x14ac:dyDescent="0.45">
      <c r="A81" s="13"/>
      <c r="B81" s="155"/>
      <c r="C81" s="85"/>
      <c r="D81" s="175"/>
      <c r="E81" s="175"/>
      <c r="F81" s="175"/>
      <c r="G81" s="175"/>
      <c r="H81" s="307"/>
      <c r="I81" s="175"/>
      <c r="J81" s="175"/>
      <c r="K81" s="179"/>
      <c r="L81" s="177"/>
      <c r="M81" s="238"/>
      <c r="N81" s="177"/>
      <c r="O81" s="179"/>
      <c r="P81" s="177"/>
      <c r="Q81" s="307"/>
      <c r="R81" s="238"/>
      <c r="S81" s="177"/>
      <c r="T81" s="179"/>
      <c r="U81" s="177"/>
      <c r="V81" s="263"/>
      <c r="W81" s="262"/>
      <c r="X81" s="175"/>
      <c r="Y81" s="175"/>
      <c r="Z81" s="175"/>
      <c r="AA81" s="175"/>
      <c r="AB81" s="175"/>
      <c r="AC81" s="175"/>
      <c r="AD81" s="175"/>
      <c r="AE81" s="175"/>
      <c r="AF81" s="175"/>
      <c r="AG81" s="179"/>
      <c r="AH81" s="179"/>
      <c r="AI81" s="177"/>
      <c r="AJ81" s="179"/>
      <c r="AK81" s="183"/>
      <c r="AL81" s="177"/>
      <c r="AM81" s="177"/>
      <c r="AN81" s="263"/>
      <c r="AO81" s="175"/>
      <c r="AP81" s="175"/>
      <c r="AQ81" s="307"/>
      <c r="AR81" s="175"/>
      <c r="AS81" s="170"/>
      <c r="AT81" s="170"/>
      <c r="AU81" s="214"/>
      <c r="AV81" s="268"/>
      <c r="AW81" s="175"/>
      <c r="AX81" s="210"/>
      <c r="AY81" s="173"/>
      <c r="AZ81" s="179"/>
      <c r="BA81" s="179"/>
      <c r="BB81" s="175"/>
      <c r="BC81" s="49" t="e">
        <v>#REF!</v>
      </c>
      <c r="BD81" s="175"/>
    </row>
    <row r="82" spans="1:56" s="176" customFormat="1" x14ac:dyDescent="0.45">
      <c r="A82" s="12"/>
      <c r="B82" s="150"/>
      <c r="C82" s="53"/>
      <c r="D82" s="175"/>
      <c r="E82" s="175"/>
      <c r="F82" s="175"/>
      <c r="G82" s="175"/>
      <c r="H82" s="307"/>
      <c r="I82" s="175"/>
      <c r="J82" s="175"/>
      <c r="K82" s="179"/>
      <c r="L82" s="177"/>
      <c r="M82" s="238"/>
      <c r="N82" s="177"/>
      <c r="O82" s="179"/>
      <c r="P82" s="177"/>
      <c r="Q82" s="307"/>
      <c r="R82" s="238"/>
      <c r="S82" s="177"/>
      <c r="T82" s="179"/>
      <c r="U82" s="177"/>
      <c r="V82" s="263"/>
      <c r="W82" s="262"/>
      <c r="X82" s="175"/>
      <c r="Y82" s="175"/>
      <c r="Z82" s="175"/>
      <c r="AA82" s="175"/>
      <c r="AB82" s="175"/>
      <c r="AC82" s="175"/>
      <c r="AD82" s="175"/>
      <c r="AE82" s="175"/>
      <c r="AF82" s="175"/>
      <c r="AG82" s="179"/>
      <c r="AH82" s="179"/>
      <c r="AI82" s="177"/>
      <c r="AJ82" s="179"/>
      <c r="AK82" s="183"/>
      <c r="AL82" s="177"/>
      <c r="AM82" s="177"/>
      <c r="AN82" s="263"/>
      <c r="AO82" s="175"/>
      <c r="AP82" s="175"/>
      <c r="AQ82" s="307"/>
      <c r="AR82" s="175"/>
      <c r="AS82" s="170"/>
      <c r="AT82" s="170"/>
      <c r="AU82" s="214"/>
      <c r="AV82" s="268"/>
      <c r="AW82" s="175"/>
      <c r="AX82" s="210"/>
      <c r="AY82" s="173"/>
      <c r="AZ82" s="179"/>
      <c r="BA82" s="179"/>
      <c r="BB82" s="175"/>
      <c r="BC82" s="49" t="e">
        <v>#REF!</v>
      </c>
      <c r="BD82" s="175"/>
    </row>
    <row r="83" spans="1:56" s="176" customFormat="1" x14ac:dyDescent="0.45">
      <c r="A83" s="13"/>
      <c r="B83" s="155"/>
      <c r="C83" s="85"/>
      <c r="D83" s="175"/>
      <c r="E83" s="175"/>
      <c r="F83" s="175"/>
      <c r="G83" s="175"/>
      <c r="H83" s="307"/>
      <c r="I83" s="175"/>
      <c r="J83" s="175"/>
      <c r="K83" s="179"/>
      <c r="L83" s="177"/>
      <c r="M83" s="238"/>
      <c r="N83" s="177"/>
      <c r="O83" s="179"/>
      <c r="P83" s="177"/>
      <c r="Q83" s="307"/>
      <c r="R83" s="238"/>
      <c r="S83" s="177"/>
      <c r="T83" s="179"/>
      <c r="U83" s="177"/>
      <c r="V83" s="263"/>
      <c r="W83" s="262"/>
      <c r="X83" s="175"/>
      <c r="Y83" s="175"/>
      <c r="Z83" s="175"/>
      <c r="AA83" s="175"/>
      <c r="AB83" s="175"/>
      <c r="AC83" s="175"/>
      <c r="AD83" s="175"/>
      <c r="AE83" s="175"/>
      <c r="AF83" s="175"/>
      <c r="AG83" s="179"/>
      <c r="AH83" s="179"/>
      <c r="AI83" s="177"/>
      <c r="AJ83" s="179"/>
      <c r="AK83" s="183"/>
      <c r="AL83" s="177"/>
      <c r="AM83" s="177"/>
      <c r="AN83" s="263"/>
      <c r="AO83" s="175"/>
      <c r="AP83" s="175"/>
      <c r="AQ83" s="307"/>
      <c r="AR83" s="175"/>
      <c r="AS83" s="170"/>
      <c r="AT83" s="170"/>
      <c r="AU83" s="214"/>
      <c r="AV83" s="268"/>
      <c r="AW83" s="175"/>
      <c r="AX83" s="210"/>
      <c r="AY83" s="173"/>
      <c r="AZ83" s="179"/>
      <c r="BA83" s="179"/>
      <c r="BB83" s="175"/>
      <c r="BC83" s="49" t="e">
        <v>#REF!</v>
      </c>
      <c r="BD83" s="175"/>
    </row>
    <row r="84" spans="1:56" s="176" customFormat="1" x14ac:dyDescent="0.45">
      <c r="A84" s="13"/>
      <c r="B84" s="155"/>
      <c r="C84" s="85"/>
      <c r="D84" s="175"/>
      <c r="E84" s="175"/>
      <c r="F84" s="175"/>
      <c r="G84" s="175"/>
      <c r="H84" s="307"/>
      <c r="I84" s="175"/>
      <c r="J84" s="175"/>
      <c r="K84" s="179"/>
      <c r="L84" s="177"/>
      <c r="M84" s="238"/>
      <c r="N84" s="177"/>
      <c r="O84" s="179"/>
      <c r="P84" s="177"/>
      <c r="Q84" s="307"/>
      <c r="R84" s="238"/>
      <c r="S84" s="177"/>
      <c r="T84" s="179"/>
      <c r="U84" s="177"/>
      <c r="V84" s="263"/>
      <c r="W84" s="262"/>
      <c r="X84" s="175"/>
      <c r="Y84" s="175"/>
      <c r="Z84" s="175"/>
      <c r="AA84" s="175"/>
      <c r="AB84" s="175"/>
      <c r="AC84" s="175"/>
      <c r="AD84" s="175"/>
      <c r="AE84" s="175"/>
      <c r="AF84" s="175"/>
      <c r="AG84" s="179"/>
      <c r="AH84" s="179"/>
      <c r="AI84" s="177"/>
      <c r="AJ84" s="179"/>
      <c r="AK84" s="183"/>
      <c r="AL84" s="177"/>
      <c r="AM84" s="177"/>
      <c r="AN84" s="263"/>
      <c r="AO84" s="175"/>
      <c r="AP84" s="175"/>
      <c r="AQ84" s="307"/>
      <c r="AR84" s="175"/>
      <c r="AS84" s="170"/>
      <c r="AT84" s="170"/>
      <c r="AU84" s="214"/>
      <c r="AV84" s="268"/>
      <c r="AW84" s="175"/>
      <c r="AX84" s="210"/>
      <c r="AY84" s="173"/>
      <c r="AZ84" s="179"/>
      <c r="BA84" s="179"/>
      <c r="BB84" s="175"/>
      <c r="BC84" s="49" t="e">
        <v>#REF!</v>
      </c>
      <c r="BD84" s="175"/>
    </row>
    <row r="85" spans="1:56" s="176" customFormat="1" x14ac:dyDescent="0.45">
      <c r="A85" s="12"/>
      <c r="B85" s="150"/>
      <c r="C85" s="53"/>
      <c r="D85" s="175"/>
      <c r="E85" s="175"/>
      <c r="F85" s="175"/>
      <c r="G85" s="175"/>
      <c r="H85" s="307"/>
      <c r="I85" s="175"/>
      <c r="J85" s="175"/>
      <c r="K85" s="179"/>
      <c r="L85" s="177"/>
      <c r="M85" s="238"/>
      <c r="N85" s="177"/>
      <c r="O85" s="179"/>
      <c r="P85" s="177"/>
      <c r="Q85" s="307"/>
      <c r="R85" s="238"/>
      <c r="S85" s="177"/>
      <c r="T85" s="179"/>
      <c r="U85" s="177"/>
      <c r="V85" s="263"/>
      <c r="W85" s="262"/>
      <c r="X85" s="175"/>
      <c r="Y85" s="175"/>
      <c r="Z85" s="175"/>
      <c r="AA85" s="175"/>
      <c r="AB85" s="175"/>
      <c r="AC85" s="175"/>
      <c r="AD85" s="175"/>
      <c r="AE85" s="175"/>
      <c r="AF85" s="175"/>
      <c r="AG85" s="179"/>
      <c r="AH85" s="179"/>
      <c r="AI85" s="177"/>
      <c r="AJ85" s="179"/>
      <c r="AK85" s="183"/>
      <c r="AL85" s="177"/>
      <c r="AM85" s="177"/>
      <c r="AN85" s="263"/>
      <c r="AO85" s="175"/>
      <c r="AP85" s="175"/>
      <c r="AQ85" s="307"/>
      <c r="AR85" s="175"/>
      <c r="AS85" s="170"/>
      <c r="AT85" s="170"/>
      <c r="AU85" s="214"/>
      <c r="AV85" s="268"/>
      <c r="AW85" s="175"/>
      <c r="AX85" s="210"/>
      <c r="AY85" s="173"/>
      <c r="AZ85" s="179"/>
      <c r="BA85" s="179"/>
      <c r="BB85" s="175"/>
      <c r="BC85" s="49" t="e">
        <v>#REF!</v>
      </c>
      <c r="BD85" s="175"/>
    </row>
    <row r="86" spans="1:56" s="176" customFormat="1" x14ac:dyDescent="0.45">
      <c r="A86" s="13"/>
      <c r="B86" s="155"/>
      <c r="C86" s="85"/>
      <c r="D86" s="175"/>
      <c r="E86" s="175"/>
      <c r="F86" s="175"/>
      <c r="G86" s="175"/>
      <c r="H86" s="307"/>
      <c r="I86" s="175"/>
      <c r="J86" s="175"/>
      <c r="K86" s="179"/>
      <c r="L86" s="177"/>
      <c r="M86" s="238"/>
      <c r="N86" s="177"/>
      <c r="O86" s="179"/>
      <c r="P86" s="177"/>
      <c r="Q86" s="307"/>
      <c r="R86" s="238"/>
      <c r="S86" s="177"/>
      <c r="T86" s="179"/>
      <c r="U86" s="177"/>
      <c r="V86" s="263"/>
      <c r="W86" s="262"/>
      <c r="X86" s="175"/>
      <c r="Y86" s="175"/>
      <c r="Z86" s="175"/>
      <c r="AA86" s="175"/>
      <c r="AB86" s="175"/>
      <c r="AC86" s="175"/>
      <c r="AD86" s="175"/>
      <c r="AE86" s="175"/>
      <c r="AF86" s="175"/>
      <c r="AG86" s="179"/>
      <c r="AH86" s="179"/>
      <c r="AI86" s="177"/>
      <c r="AJ86" s="179"/>
      <c r="AK86" s="183"/>
      <c r="AL86" s="177"/>
      <c r="AM86" s="177"/>
      <c r="AN86" s="263"/>
      <c r="AO86" s="175"/>
      <c r="AP86" s="175"/>
      <c r="AQ86" s="307"/>
      <c r="AR86" s="175"/>
      <c r="AS86" s="170"/>
      <c r="AT86" s="170"/>
      <c r="AU86" s="214"/>
      <c r="AV86" s="268"/>
      <c r="AW86" s="175"/>
      <c r="AX86" s="210"/>
      <c r="AY86" s="173"/>
      <c r="AZ86" s="179"/>
      <c r="BA86" s="179"/>
      <c r="BB86" s="175"/>
      <c r="BC86" s="49" t="e">
        <v>#REF!</v>
      </c>
      <c r="BD86" s="175"/>
    </row>
    <row r="87" spans="1:56" s="176" customFormat="1" x14ac:dyDescent="0.45">
      <c r="A87" s="13"/>
      <c r="B87" s="155"/>
      <c r="C87" s="85"/>
      <c r="D87" s="175"/>
      <c r="E87" s="175"/>
      <c r="F87" s="175"/>
      <c r="G87" s="175"/>
      <c r="H87" s="307"/>
      <c r="I87" s="175"/>
      <c r="J87" s="175"/>
      <c r="K87" s="179"/>
      <c r="L87" s="177"/>
      <c r="M87" s="238"/>
      <c r="N87" s="177"/>
      <c r="O87" s="179"/>
      <c r="P87" s="177"/>
      <c r="Q87" s="307"/>
      <c r="R87" s="238"/>
      <c r="S87" s="177"/>
      <c r="T87" s="179"/>
      <c r="U87" s="177"/>
      <c r="V87" s="263"/>
      <c r="W87" s="262"/>
      <c r="X87" s="175"/>
      <c r="Y87" s="175"/>
      <c r="Z87" s="175"/>
      <c r="AA87" s="175"/>
      <c r="AB87" s="175"/>
      <c r="AC87" s="175"/>
      <c r="AD87" s="175"/>
      <c r="AE87" s="175"/>
      <c r="AF87" s="175"/>
      <c r="AG87" s="179"/>
      <c r="AH87" s="179"/>
      <c r="AI87" s="177"/>
      <c r="AJ87" s="179"/>
      <c r="AK87" s="183"/>
      <c r="AL87" s="177"/>
      <c r="AM87" s="177"/>
      <c r="AN87" s="263"/>
      <c r="AO87" s="175"/>
      <c r="AP87" s="175"/>
      <c r="AQ87" s="307"/>
      <c r="AR87" s="175"/>
      <c r="AS87" s="170"/>
      <c r="AT87" s="170"/>
      <c r="AU87" s="214"/>
      <c r="AV87" s="268"/>
      <c r="AW87" s="175"/>
      <c r="AX87" s="210"/>
      <c r="AY87" s="173"/>
      <c r="AZ87" s="179"/>
      <c r="BA87" s="179"/>
      <c r="BB87" s="175"/>
      <c r="BC87" s="49" t="e">
        <v>#REF!</v>
      </c>
      <c r="BD87" s="175"/>
    </row>
    <row r="88" spans="1:56" s="176" customFormat="1" x14ac:dyDescent="0.45">
      <c r="A88" s="12"/>
      <c r="B88" s="150"/>
      <c r="C88" s="53"/>
      <c r="D88" s="175"/>
      <c r="E88" s="175"/>
      <c r="F88" s="175"/>
      <c r="G88" s="175"/>
      <c r="H88" s="307"/>
      <c r="I88" s="175"/>
      <c r="J88" s="175"/>
      <c r="K88" s="179"/>
      <c r="L88" s="177"/>
      <c r="M88" s="238"/>
      <c r="N88" s="177"/>
      <c r="O88" s="179"/>
      <c r="P88" s="177"/>
      <c r="Q88" s="307"/>
      <c r="R88" s="238"/>
      <c r="S88" s="177"/>
      <c r="T88" s="179"/>
      <c r="U88" s="177"/>
      <c r="V88" s="263"/>
      <c r="W88" s="262"/>
      <c r="X88" s="175"/>
      <c r="Y88" s="175"/>
      <c r="Z88" s="175"/>
      <c r="AA88" s="175"/>
      <c r="AB88" s="175"/>
      <c r="AC88" s="175"/>
      <c r="AD88" s="175"/>
      <c r="AE88" s="175"/>
      <c r="AF88" s="175"/>
      <c r="AG88" s="179"/>
      <c r="AH88" s="179"/>
      <c r="AI88" s="177"/>
      <c r="AJ88" s="179"/>
      <c r="AK88" s="183"/>
      <c r="AL88" s="177"/>
      <c r="AM88" s="177"/>
      <c r="AN88" s="263"/>
      <c r="AO88" s="175"/>
      <c r="AP88" s="175"/>
      <c r="AQ88" s="307"/>
      <c r="AR88" s="175"/>
      <c r="AS88" s="170"/>
      <c r="AT88" s="170"/>
      <c r="AU88" s="214"/>
      <c r="AV88" s="268"/>
      <c r="AW88" s="175"/>
      <c r="AX88" s="210"/>
      <c r="AY88" s="173"/>
      <c r="AZ88" s="179"/>
      <c r="BA88" s="179"/>
      <c r="BB88" s="175"/>
      <c r="BC88" s="49" t="e">
        <v>#REF!</v>
      </c>
      <c r="BD88" s="175"/>
    </row>
    <row r="89" spans="1:56" s="176" customFormat="1" x14ac:dyDescent="0.45">
      <c r="A89" s="13"/>
      <c r="B89" s="155"/>
      <c r="C89" s="85"/>
      <c r="D89" s="175"/>
      <c r="E89" s="175"/>
      <c r="F89" s="175"/>
      <c r="G89" s="175"/>
      <c r="H89" s="307"/>
      <c r="I89" s="175"/>
      <c r="J89" s="175"/>
      <c r="K89" s="179"/>
      <c r="L89" s="177"/>
      <c r="M89" s="238"/>
      <c r="N89" s="177"/>
      <c r="O89" s="179"/>
      <c r="P89" s="177"/>
      <c r="Q89" s="307"/>
      <c r="R89" s="238"/>
      <c r="S89" s="177"/>
      <c r="T89" s="179"/>
      <c r="U89" s="177"/>
      <c r="V89" s="263"/>
      <c r="W89" s="262"/>
      <c r="X89" s="175"/>
      <c r="Y89" s="175"/>
      <c r="Z89" s="175"/>
      <c r="AA89" s="175"/>
      <c r="AB89" s="175"/>
      <c r="AC89" s="175"/>
      <c r="AD89" s="175"/>
      <c r="AE89" s="175"/>
      <c r="AF89" s="175"/>
      <c r="AG89" s="179"/>
      <c r="AH89" s="179"/>
      <c r="AI89" s="177"/>
      <c r="AJ89" s="179"/>
      <c r="AK89" s="183"/>
      <c r="AL89" s="177"/>
      <c r="AM89" s="177"/>
      <c r="AN89" s="263"/>
      <c r="AO89" s="175"/>
      <c r="AP89" s="175"/>
      <c r="AQ89" s="307"/>
      <c r="AR89" s="175"/>
      <c r="AS89" s="170"/>
      <c r="AT89" s="170"/>
      <c r="AU89" s="214"/>
      <c r="AV89" s="268"/>
      <c r="AW89" s="175"/>
      <c r="AX89" s="210"/>
      <c r="AY89" s="173"/>
      <c r="AZ89" s="179"/>
      <c r="BA89" s="179"/>
      <c r="BB89" s="175"/>
      <c r="BC89" s="49" t="e">
        <v>#REF!</v>
      </c>
      <c r="BD89" s="175"/>
    </row>
    <row r="90" spans="1:56" s="176" customFormat="1" x14ac:dyDescent="0.45">
      <c r="A90" s="13"/>
      <c r="B90" s="155"/>
      <c r="C90" s="85"/>
      <c r="D90" s="175"/>
      <c r="E90" s="175"/>
      <c r="F90" s="175"/>
      <c r="G90" s="175"/>
      <c r="H90" s="307"/>
      <c r="I90" s="175"/>
      <c r="J90" s="175"/>
      <c r="K90" s="179"/>
      <c r="L90" s="177"/>
      <c r="M90" s="238"/>
      <c r="N90" s="177"/>
      <c r="O90" s="179"/>
      <c r="P90" s="177"/>
      <c r="Q90" s="307"/>
      <c r="R90" s="238"/>
      <c r="S90" s="177"/>
      <c r="T90" s="179"/>
      <c r="U90" s="177"/>
      <c r="V90" s="263"/>
      <c r="W90" s="262"/>
      <c r="X90" s="175"/>
      <c r="Y90" s="175"/>
      <c r="Z90" s="175"/>
      <c r="AA90" s="175"/>
      <c r="AB90" s="175"/>
      <c r="AC90" s="175"/>
      <c r="AD90" s="175"/>
      <c r="AE90" s="175"/>
      <c r="AF90" s="175"/>
      <c r="AG90" s="179"/>
      <c r="AH90" s="179"/>
      <c r="AI90" s="177"/>
      <c r="AJ90" s="179"/>
      <c r="AK90" s="183"/>
      <c r="AL90" s="177"/>
      <c r="AM90" s="177"/>
      <c r="AN90" s="263"/>
      <c r="AO90" s="175"/>
      <c r="AP90" s="175"/>
      <c r="AQ90" s="307"/>
      <c r="AR90" s="175"/>
      <c r="AS90" s="170"/>
      <c r="AT90" s="170"/>
      <c r="AU90" s="214"/>
      <c r="AV90" s="268"/>
      <c r="AW90" s="175"/>
      <c r="AX90" s="210"/>
      <c r="AY90" s="173"/>
      <c r="AZ90" s="179"/>
      <c r="BA90" s="179"/>
      <c r="BB90" s="175"/>
      <c r="BC90" s="49" t="e">
        <v>#REF!</v>
      </c>
      <c r="BD90" s="175"/>
    </row>
    <row r="91" spans="1:56" s="176" customFormat="1" x14ac:dyDescent="0.45">
      <c r="A91" s="12"/>
      <c r="B91" s="150"/>
      <c r="C91" s="53"/>
      <c r="D91" s="175"/>
      <c r="E91" s="175"/>
      <c r="F91" s="175"/>
      <c r="G91" s="175"/>
      <c r="H91" s="307"/>
      <c r="I91" s="175"/>
      <c r="J91" s="175"/>
      <c r="K91" s="179"/>
      <c r="L91" s="177"/>
      <c r="M91" s="238"/>
      <c r="N91" s="177"/>
      <c r="O91" s="179"/>
      <c r="P91" s="177"/>
      <c r="Q91" s="307"/>
      <c r="R91" s="238"/>
      <c r="S91" s="177"/>
      <c r="T91" s="179"/>
      <c r="U91" s="177"/>
      <c r="V91" s="263"/>
      <c r="W91" s="262"/>
      <c r="X91" s="175"/>
      <c r="Y91" s="175"/>
      <c r="Z91" s="175"/>
      <c r="AA91" s="175"/>
      <c r="AB91" s="175"/>
      <c r="AC91" s="175"/>
      <c r="AD91" s="175"/>
      <c r="AE91" s="175"/>
      <c r="AF91" s="175"/>
      <c r="AG91" s="179"/>
      <c r="AH91" s="179"/>
      <c r="AI91" s="177"/>
      <c r="AJ91" s="179"/>
      <c r="AK91" s="183"/>
      <c r="AL91" s="177"/>
      <c r="AM91" s="177"/>
      <c r="AN91" s="263"/>
      <c r="AO91" s="175"/>
      <c r="AP91" s="175"/>
      <c r="AQ91" s="307"/>
      <c r="AR91" s="175"/>
      <c r="AS91" s="170"/>
      <c r="AT91" s="170"/>
      <c r="AU91" s="214"/>
      <c r="AV91" s="268"/>
      <c r="AW91" s="175"/>
      <c r="AX91" s="210"/>
      <c r="AY91" s="173"/>
      <c r="AZ91" s="179"/>
      <c r="BA91" s="179"/>
      <c r="BB91" s="175"/>
      <c r="BC91" s="49" t="e">
        <v>#REF!</v>
      </c>
      <c r="BD91" s="175"/>
    </row>
    <row r="92" spans="1:56" s="176" customFormat="1" x14ac:dyDescent="0.45">
      <c r="A92" s="13"/>
      <c r="B92" s="155"/>
      <c r="C92" s="85"/>
      <c r="D92" s="175"/>
      <c r="E92" s="175"/>
      <c r="F92" s="175"/>
      <c r="G92" s="175"/>
      <c r="H92" s="307"/>
      <c r="I92" s="175"/>
      <c r="J92" s="175"/>
      <c r="K92" s="179"/>
      <c r="L92" s="177"/>
      <c r="M92" s="238"/>
      <c r="N92" s="177"/>
      <c r="O92" s="179"/>
      <c r="P92" s="177"/>
      <c r="Q92" s="307"/>
      <c r="R92" s="238"/>
      <c r="S92" s="177"/>
      <c r="T92" s="179"/>
      <c r="U92" s="177"/>
      <c r="V92" s="263"/>
      <c r="W92" s="262"/>
      <c r="X92" s="175"/>
      <c r="Y92" s="175"/>
      <c r="Z92" s="175"/>
      <c r="AA92" s="175"/>
      <c r="AB92" s="175"/>
      <c r="AC92" s="175"/>
      <c r="AD92" s="175"/>
      <c r="AE92" s="175"/>
      <c r="AF92" s="175"/>
      <c r="AG92" s="179"/>
      <c r="AH92" s="179"/>
      <c r="AI92" s="177"/>
      <c r="AJ92" s="179"/>
      <c r="AK92" s="183"/>
      <c r="AL92" s="177"/>
      <c r="AM92" s="177"/>
      <c r="AN92" s="263"/>
      <c r="AO92" s="175"/>
      <c r="AP92" s="175"/>
      <c r="AQ92" s="307"/>
      <c r="AR92" s="175"/>
      <c r="AS92" s="170"/>
      <c r="AT92" s="170"/>
      <c r="AU92" s="214"/>
      <c r="AV92" s="268"/>
      <c r="AW92" s="175"/>
      <c r="AX92" s="210"/>
      <c r="AY92" s="173"/>
      <c r="AZ92" s="179"/>
      <c r="BA92" s="179"/>
      <c r="BB92" s="175"/>
      <c r="BC92" s="49" t="e">
        <v>#REF!</v>
      </c>
      <c r="BD92" s="175"/>
    </row>
    <row r="93" spans="1:56" s="176" customFormat="1" x14ac:dyDescent="0.45">
      <c r="A93" s="13"/>
      <c r="B93" s="155"/>
      <c r="C93" s="85"/>
      <c r="D93" s="175"/>
      <c r="E93" s="175"/>
      <c r="F93" s="175"/>
      <c r="G93" s="175"/>
      <c r="H93" s="307"/>
      <c r="I93" s="175"/>
      <c r="J93" s="175"/>
      <c r="K93" s="179"/>
      <c r="L93" s="177"/>
      <c r="M93" s="238"/>
      <c r="N93" s="177"/>
      <c r="O93" s="179"/>
      <c r="P93" s="177"/>
      <c r="Q93" s="307"/>
      <c r="R93" s="238"/>
      <c r="S93" s="177"/>
      <c r="T93" s="179"/>
      <c r="U93" s="177"/>
      <c r="V93" s="263"/>
      <c r="W93" s="262"/>
      <c r="X93" s="175"/>
      <c r="Y93" s="175"/>
      <c r="Z93" s="175"/>
      <c r="AA93" s="175"/>
      <c r="AB93" s="175"/>
      <c r="AC93" s="175"/>
      <c r="AD93" s="175"/>
      <c r="AE93" s="175"/>
      <c r="AF93" s="175"/>
      <c r="AG93" s="179"/>
      <c r="AH93" s="179"/>
      <c r="AI93" s="177"/>
      <c r="AJ93" s="179"/>
      <c r="AK93" s="183"/>
      <c r="AL93" s="177"/>
      <c r="AM93" s="177"/>
      <c r="AN93" s="263"/>
      <c r="AO93" s="175"/>
      <c r="AP93" s="175"/>
      <c r="AQ93" s="307"/>
      <c r="AR93" s="175"/>
      <c r="AS93" s="170"/>
      <c r="AT93" s="170"/>
      <c r="AU93" s="214"/>
      <c r="AV93" s="268"/>
      <c r="AW93" s="175"/>
      <c r="AX93" s="210"/>
      <c r="AY93" s="173"/>
      <c r="AZ93" s="179"/>
      <c r="BA93" s="179"/>
      <c r="BB93" s="175"/>
      <c r="BC93" s="49" t="e">
        <v>#REF!</v>
      </c>
      <c r="BD93" s="175"/>
    </row>
    <row r="94" spans="1:56" s="176" customFormat="1" x14ac:dyDescent="0.45">
      <c r="A94" s="12"/>
      <c r="B94" s="150"/>
      <c r="C94" s="53"/>
      <c r="D94" s="175"/>
      <c r="E94" s="175"/>
      <c r="F94" s="175"/>
      <c r="G94" s="175"/>
      <c r="H94" s="307"/>
      <c r="I94" s="175"/>
      <c r="J94" s="175"/>
      <c r="K94" s="179"/>
      <c r="L94" s="177"/>
      <c r="M94" s="238"/>
      <c r="N94" s="177"/>
      <c r="O94" s="179"/>
      <c r="P94" s="177"/>
      <c r="Q94" s="307"/>
      <c r="R94" s="238"/>
      <c r="S94" s="177"/>
      <c r="T94" s="179"/>
      <c r="U94" s="177"/>
      <c r="V94" s="263"/>
      <c r="W94" s="262"/>
      <c r="X94" s="175"/>
      <c r="Y94" s="175"/>
      <c r="Z94" s="175"/>
      <c r="AA94" s="175"/>
      <c r="AB94" s="175"/>
      <c r="AC94" s="175"/>
      <c r="AD94" s="175"/>
      <c r="AE94" s="175"/>
      <c r="AF94" s="175"/>
      <c r="AG94" s="179"/>
      <c r="AH94" s="179"/>
      <c r="AI94" s="177"/>
      <c r="AJ94" s="179"/>
      <c r="AK94" s="183"/>
      <c r="AL94" s="177"/>
      <c r="AM94" s="177"/>
      <c r="AN94" s="263"/>
      <c r="AO94" s="175"/>
      <c r="AP94" s="175"/>
      <c r="AQ94" s="307"/>
      <c r="AR94" s="175"/>
      <c r="AS94" s="170"/>
      <c r="AT94" s="170"/>
      <c r="AU94" s="214"/>
      <c r="AV94" s="268"/>
      <c r="AW94" s="175"/>
      <c r="AX94" s="210"/>
      <c r="AY94" s="173"/>
      <c r="AZ94" s="179"/>
      <c r="BA94" s="179"/>
      <c r="BB94" s="175"/>
      <c r="BC94" s="49" t="e">
        <v>#REF!</v>
      </c>
      <c r="BD94" s="175"/>
    </row>
    <row r="95" spans="1:56" s="176" customFormat="1" x14ac:dyDescent="0.45">
      <c r="A95" s="13"/>
      <c r="B95" s="155"/>
      <c r="C95" s="85"/>
      <c r="D95" s="175"/>
      <c r="E95" s="175"/>
      <c r="F95" s="175"/>
      <c r="G95" s="175"/>
      <c r="H95" s="307"/>
      <c r="I95" s="175"/>
      <c r="J95" s="175"/>
      <c r="K95" s="179"/>
      <c r="L95" s="177"/>
      <c r="M95" s="238"/>
      <c r="N95" s="177"/>
      <c r="O95" s="179"/>
      <c r="P95" s="177"/>
      <c r="Q95" s="307"/>
      <c r="R95" s="238"/>
      <c r="S95" s="177"/>
      <c r="T95" s="179"/>
      <c r="U95" s="177"/>
      <c r="V95" s="263"/>
      <c r="W95" s="262"/>
      <c r="X95" s="175"/>
      <c r="Y95" s="175"/>
      <c r="Z95" s="175"/>
      <c r="AA95" s="175"/>
      <c r="AB95" s="175"/>
      <c r="AC95" s="175"/>
      <c r="AD95" s="175"/>
      <c r="AE95" s="175"/>
      <c r="AF95" s="175"/>
      <c r="AG95" s="179"/>
      <c r="AH95" s="179"/>
      <c r="AI95" s="177"/>
      <c r="AJ95" s="179"/>
      <c r="AK95" s="183"/>
      <c r="AL95" s="177"/>
      <c r="AM95" s="177"/>
      <c r="AN95" s="263"/>
      <c r="AO95" s="175"/>
      <c r="AP95" s="175"/>
      <c r="AQ95" s="307"/>
      <c r="AR95" s="175"/>
      <c r="AS95" s="170"/>
      <c r="AT95" s="170"/>
      <c r="AU95" s="214"/>
      <c r="AV95" s="268"/>
      <c r="AW95" s="175"/>
      <c r="AX95" s="210"/>
      <c r="AY95" s="173"/>
      <c r="AZ95" s="179"/>
      <c r="BA95" s="179"/>
      <c r="BB95" s="175"/>
      <c r="BC95" s="49" t="e">
        <v>#REF!</v>
      </c>
      <c r="BD95" s="175"/>
    </row>
    <row r="96" spans="1:56" s="176" customFormat="1" x14ac:dyDescent="0.45">
      <c r="A96" s="13"/>
      <c r="B96" s="155"/>
      <c r="C96" s="85"/>
      <c r="D96" s="175"/>
      <c r="E96" s="175"/>
      <c r="F96" s="175"/>
      <c r="G96" s="175"/>
      <c r="H96" s="307"/>
      <c r="I96" s="175"/>
      <c r="J96" s="175"/>
      <c r="K96" s="179"/>
      <c r="L96" s="177"/>
      <c r="M96" s="238"/>
      <c r="N96" s="177"/>
      <c r="O96" s="179"/>
      <c r="P96" s="177"/>
      <c r="Q96" s="307"/>
      <c r="R96" s="238"/>
      <c r="S96" s="177"/>
      <c r="T96" s="179"/>
      <c r="U96" s="177"/>
      <c r="V96" s="263"/>
      <c r="W96" s="262"/>
      <c r="X96" s="175"/>
      <c r="Y96" s="175"/>
      <c r="Z96" s="175"/>
      <c r="AA96" s="175"/>
      <c r="AB96" s="175"/>
      <c r="AC96" s="175"/>
      <c r="AD96" s="175"/>
      <c r="AE96" s="175"/>
      <c r="AF96" s="175"/>
      <c r="AG96" s="179"/>
      <c r="AH96" s="179"/>
      <c r="AI96" s="177"/>
      <c r="AJ96" s="179"/>
      <c r="AK96" s="183"/>
      <c r="AL96" s="177"/>
      <c r="AM96" s="177"/>
      <c r="AN96" s="263"/>
      <c r="AO96" s="175"/>
      <c r="AP96" s="175"/>
      <c r="AQ96" s="307"/>
      <c r="AR96" s="175"/>
      <c r="AS96" s="170"/>
      <c r="AT96" s="170"/>
      <c r="AU96" s="214"/>
      <c r="AV96" s="268"/>
      <c r="AW96" s="175"/>
      <c r="AX96" s="210"/>
      <c r="AY96" s="173"/>
      <c r="AZ96" s="179"/>
      <c r="BA96" s="179"/>
      <c r="BB96" s="175"/>
      <c r="BC96" s="49" t="e">
        <v>#REF!</v>
      </c>
      <c r="BD96" s="175"/>
    </row>
    <row r="97" spans="1:56" s="176" customFormat="1" x14ac:dyDescent="0.45">
      <c r="A97" s="12"/>
      <c r="B97" s="150"/>
      <c r="C97" s="53"/>
      <c r="D97" s="175"/>
      <c r="E97" s="175"/>
      <c r="F97" s="175"/>
      <c r="G97" s="175"/>
      <c r="H97" s="307"/>
      <c r="I97" s="175"/>
      <c r="J97" s="175"/>
      <c r="K97" s="179"/>
      <c r="L97" s="177"/>
      <c r="M97" s="238"/>
      <c r="N97" s="177"/>
      <c r="O97" s="179"/>
      <c r="P97" s="177"/>
      <c r="Q97" s="307"/>
      <c r="R97" s="238"/>
      <c r="S97" s="177"/>
      <c r="T97" s="179"/>
      <c r="U97" s="177"/>
      <c r="V97" s="263"/>
      <c r="W97" s="262"/>
      <c r="X97" s="175"/>
      <c r="Y97" s="175"/>
      <c r="Z97" s="175"/>
      <c r="AA97" s="175"/>
      <c r="AB97" s="175"/>
      <c r="AC97" s="175"/>
      <c r="AD97" s="175"/>
      <c r="AE97" s="175"/>
      <c r="AF97" s="175"/>
      <c r="AG97" s="179"/>
      <c r="AH97" s="179"/>
      <c r="AI97" s="177"/>
      <c r="AJ97" s="179"/>
      <c r="AK97" s="183"/>
      <c r="AL97" s="177"/>
      <c r="AM97" s="177"/>
      <c r="AN97" s="263"/>
      <c r="AO97" s="175"/>
      <c r="AP97" s="175"/>
      <c r="AQ97" s="307"/>
      <c r="AR97" s="175"/>
      <c r="AS97" s="170"/>
      <c r="AT97" s="170"/>
      <c r="AU97" s="214"/>
      <c r="AV97" s="268"/>
      <c r="AW97" s="175"/>
      <c r="AX97" s="210"/>
      <c r="AY97" s="173"/>
      <c r="AZ97" s="179"/>
      <c r="BA97" s="179"/>
      <c r="BB97" s="175"/>
      <c r="BC97" s="49" t="e">
        <v>#REF!</v>
      </c>
      <c r="BD97" s="175"/>
    </row>
    <row r="98" spans="1:56" s="176" customFormat="1" x14ac:dyDescent="0.45">
      <c r="A98" s="13"/>
      <c r="B98" s="155"/>
      <c r="C98" s="85"/>
      <c r="D98" s="175"/>
      <c r="E98" s="175"/>
      <c r="F98" s="175"/>
      <c r="G98" s="175"/>
      <c r="H98" s="307"/>
      <c r="I98" s="175"/>
      <c r="J98" s="175"/>
      <c r="K98" s="179"/>
      <c r="L98" s="177"/>
      <c r="M98" s="238"/>
      <c r="N98" s="177"/>
      <c r="O98" s="179"/>
      <c r="P98" s="177"/>
      <c r="Q98" s="307"/>
      <c r="R98" s="238"/>
      <c r="S98" s="177"/>
      <c r="T98" s="179"/>
      <c r="U98" s="177"/>
      <c r="V98" s="263"/>
      <c r="W98" s="262"/>
      <c r="X98" s="175"/>
      <c r="Y98" s="175"/>
      <c r="Z98" s="175"/>
      <c r="AA98" s="175"/>
      <c r="AB98" s="175"/>
      <c r="AC98" s="175"/>
      <c r="AD98" s="175"/>
      <c r="AE98" s="175"/>
      <c r="AF98" s="175"/>
      <c r="AG98" s="179"/>
      <c r="AH98" s="179"/>
      <c r="AI98" s="177"/>
      <c r="AJ98" s="179"/>
      <c r="AK98" s="183"/>
      <c r="AL98" s="177"/>
      <c r="AM98" s="177"/>
      <c r="AN98" s="263"/>
      <c r="AO98" s="175"/>
      <c r="AP98" s="175"/>
      <c r="AQ98" s="307"/>
      <c r="AR98" s="175"/>
      <c r="AS98" s="170"/>
      <c r="AT98" s="170"/>
      <c r="AU98" s="214"/>
      <c r="AV98" s="268"/>
      <c r="AW98" s="175"/>
      <c r="AX98" s="210"/>
      <c r="AY98" s="173"/>
      <c r="AZ98" s="179"/>
      <c r="BA98" s="179"/>
      <c r="BB98" s="175"/>
      <c r="BC98" s="49" t="e">
        <v>#REF!</v>
      </c>
      <c r="BD98" s="175"/>
    </row>
    <row r="99" spans="1:56" s="176" customFormat="1" x14ac:dyDescent="0.45">
      <c r="A99" s="13"/>
      <c r="B99" s="155"/>
      <c r="C99" s="85"/>
      <c r="D99" s="175"/>
      <c r="E99" s="175"/>
      <c r="F99" s="175"/>
      <c r="G99" s="175"/>
      <c r="H99" s="307"/>
      <c r="I99" s="175"/>
      <c r="J99" s="175"/>
      <c r="K99" s="179"/>
      <c r="L99" s="177"/>
      <c r="M99" s="238"/>
      <c r="N99" s="177"/>
      <c r="O99" s="179"/>
      <c r="P99" s="177"/>
      <c r="Q99" s="307"/>
      <c r="R99" s="238"/>
      <c r="S99" s="177"/>
      <c r="T99" s="179"/>
      <c r="U99" s="177"/>
      <c r="V99" s="263"/>
      <c r="W99" s="262"/>
      <c r="X99" s="175"/>
      <c r="Y99" s="175"/>
      <c r="Z99" s="175"/>
      <c r="AA99" s="175"/>
      <c r="AB99" s="175"/>
      <c r="AC99" s="175"/>
      <c r="AD99" s="175"/>
      <c r="AE99" s="175"/>
      <c r="AF99" s="175"/>
      <c r="AG99" s="179"/>
      <c r="AH99" s="179"/>
      <c r="AI99" s="177"/>
      <c r="AJ99" s="179"/>
      <c r="AK99" s="183"/>
      <c r="AL99" s="177"/>
      <c r="AM99" s="177"/>
      <c r="AN99" s="263"/>
      <c r="AO99" s="175"/>
      <c r="AP99" s="175"/>
      <c r="AQ99" s="307"/>
      <c r="AR99" s="175"/>
      <c r="AS99" s="170"/>
      <c r="AT99" s="170"/>
      <c r="AU99" s="214"/>
      <c r="AV99" s="268"/>
      <c r="AW99" s="175"/>
      <c r="AX99" s="210"/>
      <c r="AY99" s="173"/>
      <c r="AZ99" s="179"/>
      <c r="BA99" s="179"/>
      <c r="BB99" s="175"/>
      <c r="BC99" s="49" t="e">
        <v>#REF!</v>
      </c>
      <c r="BD99" s="175"/>
    </row>
    <row r="100" spans="1:56" s="176" customFormat="1" x14ac:dyDescent="0.45">
      <c r="A100" s="12"/>
      <c r="B100" s="150"/>
      <c r="C100" s="53"/>
      <c r="D100" s="175"/>
      <c r="E100" s="175"/>
      <c r="F100" s="175"/>
      <c r="G100" s="175"/>
      <c r="H100" s="307"/>
      <c r="I100" s="175"/>
      <c r="J100" s="175"/>
      <c r="K100" s="179"/>
      <c r="L100" s="177"/>
      <c r="M100" s="238"/>
      <c r="N100" s="177"/>
      <c r="O100" s="179"/>
      <c r="P100" s="177"/>
      <c r="Q100" s="307"/>
      <c r="R100" s="238"/>
      <c r="S100" s="177"/>
      <c r="T100" s="179"/>
      <c r="U100" s="177"/>
      <c r="V100" s="263"/>
      <c r="W100" s="262"/>
      <c r="X100" s="175"/>
      <c r="Y100" s="175"/>
      <c r="Z100" s="175"/>
      <c r="AA100" s="175"/>
      <c r="AB100" s="175"/>
      <c r="AC100" s="175"/>
      <c r="AD100" s="175"/>
      <c r="AE100" s="175"/>
      <c r="AF100" s="175"/>
      <c r="AG100" s="179"/>
      <c r="AH100" s="179"/>
      <c r="AI100" s="177"/>
      <c r="AJ100" s="179"/>
      <c r="AK100" s="183"/>
      <c r="AL100" s="177"/>
      <c r="AM100" s="177"/>
      <c r="AN100" s="263"/>
      <c r="AO100" s="175"/>
      <c r="AP100" s="175"/>
      <c r="AQ100" s="307"/>
      <c r="AR100" s="175"/>
      <c r="AS100" s="170"/>
      <c r="AT100" s="170"/>
      <c r="AU100" s="214"/>
      <c r="AV100" s="268"/>
      <c r="AW100" s="175"/>
      <c r="AX100" s="210"/>
      <c r="AY100" s="173"/>
      <c r="AZ100" s="179"/>
      <c r="BA100" s="179"/>
      <c r="BB100" s="175"/>
      <c r="BC100" s="49" t="e">
        <v>#REF!</v>
      </c>
      <c r="BD100" s="175"/>
    </row>
    <row r="101" spans="1:56" s="176" customFormat="1" x14ac:dyDescent="0.45">
      <c r="A101" s="13"/>
      <c r="B101" s="155"/>
      <c r="C101" s="85"/>
      <c r="D101" s="175"/>
      <c r="E101" s="175"/>
      <c r="F101" s="175"/>
      <c r="G101" s="175"/>
      <c r="H101" s="307"/>
      <c r="I101" s="175"/>
      <c r="J101" s="175"/>
      <c r="K101" s="179"/>
      <c r="L101" s="177"/>
      <c r="M101" s="238"/>
      <c r="N101" s="177"/>
      <c r="O101" s="179"/>
      <c r="P101" s="177"/>
      <c r="Q101" s="307"/>
      <c r="R101" s="238"/>
      <c r="S101" s="177"/>
      <c r="T101" s="179"/>
      <c r="U101" s="177"/>
      <c r="V101" s="263"/>
      <c r="W101" s="262"/>
      <c r="X101" s="175"/>
      <c r="Y101" s="175"/>
      <c r="Z101" s="175"/>
      <c r="AA101" s="175"/>
      <c r="AB101" s="175"/>
      <c r="AC101" s="175"/>
      <c r="AD101" s="175"/>
      <c r="AE101" s="175"/>
      <c r="AF101" s="175"/>
      <c r="AG101" s="179"/>
      <c r="AH101" s="179"/>
      <c r="AI101" s="177"/>
      <c r="AJ101" s="179"/>
      <c r="AK101" s="183"/>
      <c r="AL101" s="177"/>
      <c r="AM101" s="177"/>
      <c r="AN101" s="263"/>
      <c r="AO101" s="175"/>
      <c r="AP101" s="175"/>
      <c r="AQ101" s="307"/>
      <c r="AR101" s="175"/>
      <c r="AS101" s="170"/>
      <c r="AT101" s="170"/>
      <c r="AU101" s="214"/>
      <c r="AV101" s="268"/>
      <c r="AW101" s="175"/>
      <c r="AX101" s="210"/>
      <c r="AY101" s="173"/>
      <c r="AZ101" s="179"/>
      <c r="BA101" s="179"/>
      <c r="BB101" s="175"/>
      <c r="BC101" s="49" t="e">
        <v>#REF!</v>
      </c>
      <c r="BD101" s="175"/>
    </row>
    <row r="102" spans="1:56" s="176" customFormat="1" x14ac:dyDescent="0.45">
      <c r="A102" s="13"/>
      <c r="B102" s="155"/>
      <c r="C102" s="85"/>
      <c r="D102" s="175"/>
      <c r="E102" s="175"/>
      <c r="F102" s="175"/>
      <c r="G102" s="175"/>
      <c r="H102" s="307"/>
      <c r="I102" s="175"/>
      <c r="J102" s="175"/>
      <c r="K102" s="179"/>
      <c r="L102" s="177"/>
      <c r="M102" s="238"/>
      <c r="N102" s="177"/>
      <c r="O102" s="179"/>
      <c r="P102" s="177"/>
      <c r="Q102" s="307"/>
      <c r="R102" s="238"/>
      <c r="S102" s="177"/>
      <c r="T102" s="179"/>
      <c r="U102" s="177"/>
      <c r="V102" s="263"/>
      <c r="W102" s="262"/>
      <c r="X102" s="175"/>
      <c r="Y102" s="175"/>
      <c r="Z102" s="175"/>
      <c r="AA102" s="175"/>
      <c r="AB102" s="175"/>
      <c r="AC102" s="175"/>
      <c r="AD102" s="175"/>
      <c r="AE102" s="175"/>
      <c r="AF102" s="175"/>
      <c r="AG102" s="179"/>
      <c r="AH102" s="179"/>
      <c r="AI102" s="177"/>
      <c r="AJ102" s="179"/>
      <c r="AK102" s="183"/>
      <c r="AL102" s="177"/>
      <c r="AM102" s="177"/>
      <c r="AN102" s="263"/>
      <c r="AO102" s="175"/>
      <c r="AP102" s="175"/>
      <c r="AQ102" s="307"/>
      <c r="AR102" s="175"/>
      <c r="AS102" s="170"/>
      <c r="AT102" s="170"/>
      <c r="AU102" s="214"/>
      <c r="AV102" s="268"/>
      <c r="AW102" s="175"/>
      <c r="AX102" s="210"/>
      <c r="AY102" s="173"/>
      <c r="AZ102" s="179"/>
      <c r="BA102" s="179"/>
      <c r="BB102" s="175"/>
      <c r="BC102" s="49" t="e">
        <v>#REF!</v>
      </c>
      <c r="BD102" s="175"/>
    </row>
    <row r="103" spans="1:56" s="176" customFormat="1" x14ac:dyDescent="0.45">
      <c r="A103" s="12"/>
      <c r="B103" s="150"/>
      <c r="C103" s="53"/>
      <c r="D103" s="175"/>
      <c r="E103" s="175"/>
      <c r="F103" s="175"/>
      <c r="G103" s="175"/>
      <c r="H103" s="307"/>
      <c r="I103" s="175"/>
      <c r="J103" s="175"/>
      <c r="K103" s="179"/>
      <c r="L103" s="177"/>
      <c r="M103" s="238"/>
      <c r="N103" s="177"/>
      <c r="O103" s="179"/>
      <c r="P103" s="177"/>
      <c r="Q103" s="307"/>
      <c r="R103" s="238"/>
      <c r="S103" s="177"/>
      <c r="T103" s="179"/>
      <c r="U103" s="177"/>
      <c r="V103" s="263"/>
      <c r="W103" s="262"/>
      <c r="X103" s="175"/>
      <c r="Y103" s="175"/>
      <c r="Z103" s="175"/>
      <c r="AA103" s="175"/>
      <c r="AB103" s="175"/>
      <c r="AC103" s="175"/>
      <c r="AD103" s="175"/>
      <c r="AE103" s="175"/>
      <c r="AF103" s="175"/>
      <c r="AG103" s="179"/>
      <c r="AH103" s="179"/>
      <c r="AI103" s="177"/>
      <c r="AJ103" s="179"/>
      <c r="AK103" s="183"/>
      <c r="AL103" s="177"/>
      <c r="AM103" s="177"/>
      <c r="AN103" s="263"/>
      <c r="AO103" s="175"/>
      <c r="AP103" s="175"/>
      <c r="AQ103" s="307"/>
      <c r="AR103" s="175"/>
      <c r="AS103" s="170"/>
      <c r="AT103" s="170"/>
      <c r="AU103" s="214"/>
      <c r="AV103" s="268"/>
      <c r="AW103" s="175"/>
      <c r="AX103" s="210"/>
      <c r="AY103" s="173"/>
      <c r="AZ103" s="179"/>
      <c r="BA103" s="179"/>
      <c r="BB103" s="175"/>
      <c r="BC103" s="49" t="e">
        <v>#REF!</v>
      </c>
      <c r="BD103" s="175"/>
    </row>
    <row r="104" spans="1:56" s="176" customFormat="1" x14ac:dyDescent="0.45">
      <c r="A104" s="13"/>
      <c r="B104" s="155"/>
      <c r="C104" s="85"/>
      <c r="D104" s="175"/>
      <c r="E104" s="175"/>
      <c r="F104" s="175"/>
      <c r="G104" s="175"/>
      <c r="H104" s="307"/>
      <c r="I104" s="175"/>
      <c r="J104" s="175"/>
      <c r="K104" s="179"/>
      <c r="L104" s="177"/>
      <c r="M104" s="238"/>
      <c r="N104" s="177"/>
      <c r="O104" s="179"/>
      <c r="P104" s="177"/>
      <c r="Q104" s="307"/>
      <c r="R104" s="238"/>
      <c r="S104" s="177"/>
      <c r="T104" s="179"/>
      <c r="U104" s="177"/>
      <c r="V104" s="263"/>
      <c r="W104" s="262"/>
      <c r="X104" s="175"/>
      <c r="Y104" s="175"/>
      <c r="Z104" s="175"/>
      <c r="AA104" s="175"/>
      <c r="AB104" s="175"/>
      <c r="AC104" s="175"/>
      <c r="AD104" s="175"/>
      <c r="AE104" s="175"/>
      <c r="AF104" s="175"/>
      <c r="AG104" s="179"/>
      <c r="AH104" s="179"/>
      <c r="AI104" s="177"/>
      <c r="AJ104" s="179"/>
      <c r="AK104" s="183"/>
      <c r="AL104" s="177"/>
      <c r="AM104" s="177"/>
      <c r="AN104" s="263"/>
      <c r="AO104" s="175"/>
      <c r="AP104" s="175"/>
      <c r="AQ104" s="307"/>
      <c r="AR104" s="175"/>
      <c r="AS104" s="170"/>
      <c r="AT104" s="170"/>
      <c r="AU104" s="214"/>
      <c r="AV104" s="268"/>
      <c r="AW104" s="175"/>
      <c r="AX104" s="210"/>
      <c r="AY104" s="173"/>
      <c r="AZ104" s="179"/>
      <c r="BA104" s="179"/>
      <c r="BB104" s="175"/>
      <c r="BC104" s="49" t="e">
        <v>#REF!</v>
      </c>
      <c r="BD104" s="175"/>
    </row>
    <row r="105" spans="1:56" s="176" customFormat="1" x14ac:dyDescent="0.45">
      <c r="A105" s="13"/>
      <c r="B105" s="155"/>
      <c r="C105" s="85"/>
      <c r="D105" s="175"/>
      <c r="E105" s="175"/>
      <c r="F105" s="175"/>
      <c r="G105" s="175"/>
      <c r="H105" s="307"/>
      <c r="I105" s="175"/>
      <c r="J105" s="175"/>
      <c r="K105" s="179"/>
      <c r="L105" s="177"/>
      <c r="M105" s="238"/>
      <c r="N105" s="177"/>
      <c r="O105" s="179"/>
      <c r="P105" s="177"/>
      <c r="Q105" s="307"/>
      <c r="R105" s="238"/>
      <c r="S105" s="177"/>
      <c r="T105" s="179"/>
      <c r="U105" s="177"/>
      <c r="V105" s="263"/>
      <c r="W105" s="262"/>
      <c r="X105" s="175"/>
      <c r="Y105" s="175"/>
      <c r="Z105" s="175"/>
      <c r="AA105" s="175"/>
      <c r="AB105" s="175"/>
      <c r="AC105" s="175"/>
      <c r="AD105" s="175"/>
      <c r="AE105" s="175"/>
      <c r="AF105" s="175"/>
      <c r="AG105" s="179"/>
      <c r="AH105" s="179"/>
      <c r="AI105" s="177"/>
      <c r="AJ105" s="179"/>
      <c r="AK105" s="183"/>
      <c r="AL105" s="177"/>
      <c r="AM105" s="177"/>
      <c r="AN105" s="263"/>
      <c r="AO105" s="175"/>
      <c r="AP105" s="175"/>
      <c r="AQ105" s="307"/>
      <c r="AR105" s="175"/>
      <c r="AS105" s="170"/>
      <c r="AT105" s="170"/>
      <c r="AU105" s="214"/>
      <c r="AV105" s="268"/>
      <c r="AW105" s="175"/>
      <c r="AX105" s="210"/>
      <c r="AY105" s="173"/>
      <c r="AZ105" s="179"/>
      <c r="BA105" s="179"/>
      <c r="BB105" s="175"/>
      <c r="BC105" s="49" t="e">
        <v>#REF!</v>
      </c>
      <c r="BD105" s="175"/>
    </row>
    <row r="106" spans="1:56" s="176" customFormat="1" x14ac:dyDescent="0.45">
      <c r="A106" s="12"/>
      <c r="B106" s="150"/>
      <c r="C106" s="53"/>
      <c r="D106" s="175"/>
      <c r="E106" s="175"/>
      <c r="F106" s="175"/>
      <c r="G106" s="175"/>
      <c r="H106" s="307"/>
      <c r="I106" s="175"/>
      <c r="J106" s="175"/>
      <c r="K106" s="179"/>
      <c r="L106" s="177"/>
      <c r="M106" s="238"/>
      <c r="N106" s="177"/>
      <c r="O106" s="179"/>
      <c r="P106" s="177"/>
      <c r="Q106" s="307"/>
      <c r="R106" s="238"/>
      <c r="S106" s="177"/>
      <c r="T106" s="262"/>
      <c r="U106" s="177"/>
      <c r="V106" s="263"/>
      <c r="W106" s="262"/>
      <c r="X106" s="175"/>
      <c r="Y106" s="175"/>
      <c r="Z106" s="175"/>
      <c r="AA106" s="175"/>
      <c r="AB106" s="175"/>
      <c r="AC106" s="175"/>
      <c r="AD106" s="175"/>
      <c r="AE106" s="175"/>
      <c r="AF106" s="175"/>
      <c r="AG106" s="179"/>
      <c r="AH106" s="179"/>
      <c r="AI106" s="177"/>
      <c r="AJ106" s="179"/>
      <c r="AK106" s="183"/>
      <c r="AL106" s="177"/>
      <c r="AM106" s="177"/>
      <c r="AN106" s="263"/>
      <c r="AO106" s="175"/>
      <c r="AP106" s="175"/>
      <c r="AQ106" s="307"/>
      <c r="AR106" s="175"/>
      <c r="AS106" s="170"/>
      <c r="AT106" s="170"/>
      <c r="AU106" s="214"/>
      <c r="AV106" s="268"/>
      <c r="AW106" s="175"/>
      <c r="AX106" s="210"/>
      <c r="AY106" s="173"/>
      <c r="AZ106" s="179"/>
      <c r="BA106" s="179"/>
      <c r="BB106" s="175"/>
      <c r="BC106" s="49" t="e">
        <v>#REF!</v>
      </c>
      <c r="BD106" s="175"/>
    </row>
    <row r="107" spans="1:56" s="176" customFormat="1" x14ac:dyDescent="0.45">
      <c r="A107" s="13"/>
      <c r="B107" s="155"/>
      <c r="C107" s="85"/>
      <c r="D107" s="175"/>
      <c r="E107" s="175"/>
      <c r="F107" s="175"/>
      <c r="G107" s="175"/>
      <c r="H107" s="262"/>
      <c r="I107" s="175"/>
      <c r="J107" s="175"/>
      <c r="K107" s="179"/>
      <c r="L107" s="177"/>
      <c r="M107" s="263"/>
      <c r="N107" s="262"/>
      <c r="O107" s="262"/>
      <c r="P107" s="262"/>
      <c r="Q107" s="262"/>
      <c r="R107" s="262"/>
      <c r="S107" s="262"/>
      <c r="T107" s="262"/>
      <c r="U107" s="262"/>
      <c r="V107" s="262"/>
      <c r="W107" s="262"/>
      <c r="X107" s="175"/>
      <c r="Y107" s="175"/>
      <c r="Z107" s="175"/>
      <c r="AA107" s="175"/>
      <c r="AB107" s="175"/>
      <c r="AC107" s="175"/>
      <c r="AD107" s="175"/>
      <c r="AE107" s="175"/>
      <c r="AF107" s="175"/>
      <c r="AG107" s="179"/>
      <c r="AH107" s="179"/>
      <c r="AI107" s="177"/>
      <c r="AJ107" s="179"/>
      <c r="AK107" s="183"/>
      <c r="AL107" s="177"/>
      <c r="AM107" s="177"/>
      <c r="AN107" s="263"/>
      <c r="AO107" s="175"/>
      <c r="AP107" s="175"/>
      <c r="AQ107" s="307"/>
      <c r="AR107" s="175"/>
      <c r="AS107" s="170"/>
      <c r="AT107" s="170"/>
      <c r="AU107" s="214"/>
      <c r="AV107" s="268"/>
      <c r="AW107" s="175"/>
      <c r="AX107" s="210"/>
      <c r="AY107" s="173"/>
      <c r="AZ107" s="179"/>
      <c r="BA107" s="179"/>
      <c r="BB107" s="175"/>
      <c r="BC107" s="49" t="e">
        <v>#REF!</v>
      </c>
      <c r="BD107" s="175"/>
    </row>
    <row r="108" spans="1:56" s="176" customFormat="1" x14ac:dyDescent="0.45">
      <c r="A108" s="13"/>
      <c r="B108" s="155"/>
      <c r="C108" s="85"/>
      <c r="D108" s="175"/>
      <c r="E108" s="175"/>
      <c r="F108" s="175"/>
      <c r="G108" s="175"/>
      <c r="H108" s="262"/>
      <c r="I108" s="175"/>
      <c r="J108" s="175"/>
      <c r="K108" s="179"/>
      <c r="L108" s="177"/>
      <c r="M108" s="262"/>
      <c r="N108" s="262"/>
      <c r="O108" s="262"/>
      <c r="P108" s="262"/>
      <c r="Q108" s="262"/>
      <c r="R108" s="262"/>
      <c r="S108" s="262"/>
      <c r="T108" s="262"/>
      <c r="U108" s="262"/>
      <c r="V108" s="262"/>
      <c r="W108" s="262"/>
      <c r="X108" s="175"/>
      <c r="Y108" s="175"/>
      <c r="Z108" s="175"/>
      <c r="AA108" s="175"/>
      <c r="AB108" s="175"/>
      <c r="AC108" s="175"/>
      <c r="AD108" s="175"/>
      <c r="AE108" s="175"/>
      <c r="AF108" s="175"/>
      <c r="AG108" s="179"/>
      <c r="AH108" s="179"/>
      <c r="AI108" s="177"/>
      <c r="AJ108" s="179"/>
      <c r="AK108" s="183"/>
      <c r="AL108" s="177"/>
      <c r="AM108" s="177"/>
      <c r="AN108" s="263"/>
      <c r="AO108" s="175"/>
      <c r="AP108" s="175"/>
      <c r="AQ108" s="307"/>
      <c r="AR108" s="175"/>
      <c r="AS108" s="170"/>
      <c r="AT108" s="170"/>
      <c r="AU108" s="214"/>
      <c r="AV108" s="268"/>
      <c r="AW108" s="175"/>
      <c r="AX108" s="210"/>
      <c r="AY108" s="173"/>
      <c r="AZ108" s="179"/>
      <c r="BA108" s="179"/>
      <c r="BB108" s="175"/>
      <c r="BC108" s="49" t="e">
        <v>#REF!</v>
      </c>
      <c r="BD108" s="175"/>
    </row>
    <row r="109" spans="1:56" s="176" customFormat="1" x14ac:dyDescent="0.45">
      <c r="A109" s="12"/>
      <c r="B109" s="150"/>
      <c r="C109" s="53"/>
      <c r="D109" s="175"/>
      <c r="E109" s="175"/>
      <c r="F109" s="175"/>
      <c r="G109" s="175"/>
      <c r="H109" s="262"/>
      <c r="I109" s="175"/>
      <c r="J109" s="175"/>
      <c r="K109" s="179"/>
      <c r="L109" s="177"/>
      <c r="M109" s="262"/>
      <c r="N109" s="262"/>
      <c r="O109" s="262"/>
      <c r="P109" s="262"/>
      <c r="Q109" s="262"/>
      <c r="R109" s="262"/>
      <c r="S109" s="262"/>
      <c r="T109" s="262"/>
      <c r="U109" s="262"/>
      <c r="V109" s="262"/>
      <c r="W109" s="262"/>
      <c r="X109" s="175"/>
      <c r="Y109" s="175"/>
      <c r="Z109" s="175"/>
      <c r="AA109" s="175"/>
      <c r="AB109" s="175"/>
      <c r="AC109" s="175"/>
      <c r="AD109" s="175"/>
      <c r="AE109" s="175"/>
      <c r="AF109" s="175"/>
      <c r="AG109" s="179"/>
      <c r="AH109" s="179"/>
      <c r="AI109" s="177"/>
      <c r="AJ109" s="179"/>
      <c r="AK109" s="183"/>
      <c r="AL109" s="177"/>
      <c r="AM109" s="177"/>
      <c r="AN109" s="263"/>
      <c r="AO109" s="175"/>
      <c r="AP109" s="175"/>
      <c r="AQ109" s="307"/>
      <c r="AR109" s="175"/>
      <c r="AS109" s="170"/>
      <c r="AT109" s="170"/>
      <c r="AU109" s="214"/>
      <c r="AV109" s="268"/>
      <c r="AW109" s="175"/>
      <c r="AX109" s="210"/>
      <c r="AY109" s="173"/>
      <c r="AZ109" s="179"/>
      <c r="BA109" s="179"/>
      <c r="BB109" s="175"/>
      <c r="BC109" s="49" t="e">
        <v>#REF!</v>
      </c>
      <c r="BD109" s="175"/>
    </row>
    <row r="110" spans="1:56" s="176" customFormat="1" x14ac:dyDescent="0.45">
      <c r="A110" s="13"/>
      <c r="B110" s="155"/>
      <c r="C110" s="85"/>
      <c r="D110" s="175"/>
      <c r="E110" s="175"/>
      <c r="F110" s="175"/>
      <c r="G110" s="175"/>
      <c r="H110" s="262"/>
      <c r="I110" s="175"/>
      <c r="J110" s="175"/>
      <c r="K110" s="179"/>
      <c r="L110" s="177"/>
      <c r="M110" s="262"/>
      <c r="N110" s="262"/>
      <c r="O110" s="262"/>
      <c r="P110" s="262"/>
      <c r="Q110" s="262"/>
      <c r="R110" s="262"/>
      <c r="S110" s="262"/>
      <c r="T110" s="262"/>
      <c r="U110" s="262"/>
      <c r="V110" s="262"/>
      <c r="W110" s="262"/>
      <c r="X110" s="175"/>
      <c r="Y110" s="175"/>
      <c r="Z110" s="175"/>
      <c r="AA110" s="175"/>
      <c r="AB110" s="175"/>
      <c r="AC110" s="175"/>
      <c r="AD110" s="175"/>
      <c r="AE110" s="175"/>
      <c r="AF110" s="175"/>
      <c r="AG110" s="179"/>
      <c r="AH110" s="179"/>
      <c r="AI110" s="177"/>
      <c r="AJ110" s="179"/>
      <c r="AK110" s="183"/>
      <c r="AL110" s="177"/>
      <c r="AM110" s="177"/>
      <c r="AN110" s="263"/>
      <c r="AO110" s="175"/>
      <c r="AP110" s="175"/>
      <c r="AQ110" s="307"/>
      <c r="AR110" s="175"/>
      <c r="AS110" s="170"/>
      <c r="AT110" s="170"/>
      <c r="AU110" s="214"/>
      <c r="AV110" s="268"/>
      <c r="AW110" s="175"/>
      <c r="AX110" s="210"/>
      <c r="AY110" s="173"/>
      <c r="AZ110" s="179"/>
      <c r="BA110" s="179"/>
      <c r="BB110" s="175"/>
      <c r="BC110" s="49" t="e">
        <v>#REF!</v>
      </c>
      <c r="BD110" s="175"/>
    </row>
    <row r="111" spans="1:56" s="176" customFormat="1" x14ac:dyDescent="0.45">
      <c r="A111" s="13"/>
      <c r="B111" s="155"/>
      <c r="C111" s="85"/>
      <c r="D111" s="175"/>
      <c r="E111" s="175"/>
      <c r="F111" s="175"/>
      <c r="G111" s="175"/>
      <c r="H111" s="262"/>
      <c r="I111" s="175"/>
      <c r="J111" s="175"/>
      <c r="K111" s="179"/>
      <c r="L111" s="177"/>
      <c r="M111" s="262"/>
      <c r="N111" s="262"/>
      <c r="O111" s="262"/>
      <c r="P111" s="262"/>
      <c r="Q111" s="262"/>
      <c r="R111" s="262"/>
      <c r="S111" s="262"/>
      <c r="T111" s="262"/>
      <c r="U111" s="262"/>
      <c r="V111" s="262"/>
      <c r="W111" s="262"/>
      <c r="X111" s="175"/>
      <c r="Y111" s="175"/>
      <c r="Z111" s="175"/>
      <c r="AA111" s="175"/>
      <c r="AB111" s="175"/>
      <c r="AC111" s="175"/>
      <c r="AD111" s="175"/>
      <c r="AE111" s="175"/>
      <c r="AF111" s="175"/>
      <c r="AG111" s="179"/>
      <c r="AH111" s="179"/>
      <c r="AI111" s="177"/>
      <c r="AJ111" s="179"/>
      <c r="AK111" s="183"/>
      <c r="AL111" s="177"/>
      <c r="AM111" s="177"/>
      <c r="AN111" s="263"/>
      <c r="AO111" s="175"/>
      <c r="AP111" s="175"/>
      <c r="AQ111" s="307"/>
      <c r="AR111" s="175"/>
      <c r="AS111" s="170"/>
      <c r="AT111" s="170"/>
      <c r="AU111" s="214"/>
      <c r="AV111" s="268"/>
      <c r="AW111" s="175"/>
      <c r="AX111" s="210"/>
      <c r="AY111" s="173"/>
      <c r="AZ111" s="179"/>
      <c r="BA111" s="179"/>
      <c r="BB111" s="175"/>
      <c r="BC111" s="49" t="e">
        <v>#REF!</v>
      </c>
      <c r="BD111" s="175"/>
    </row>
    <row r="112" spans="1:56" s="176" customFormat="1" x14ac:dyDescent="0.45">
      <c r="A112" s="12"/>
      <c r="B112" s="150"/>
      <c r="C112" s="53"/>
      <c r="D112" s="175"/>
      <c r="E112" s="175"/>
      <c r="F112" s="175"/>
      <c r="G112" s="175"/>
      <c r="H112" s="262"/>
      <c r="I112" s="175"/>
      <c r="J112" s="175"/>
      <c r="K112" s="179"/>
      <c r="L112" s="177"/>
      <c r="M112" s="262"/>
      <c r="N112" s="262"/>
      <c r="O112" s="262"/>
      <c r="P112" s="262"/>
      <c r="Q112" s="262"/>
      <c r="R112" s="262"/>
      <c r="S112" s="262"/>
      <c r="T112" s="262"/>
      <c r="U112" s="262"/>
      <c r="V112" s="262"/>
      <c r="W112" s="262"/>
      <c r="X112" s="175"/>
      <c r="Y112" s="175"/>
      <c r="Z112" s="175"/>
      <c r="AA112" s="175"/>
      <c r="AB112" s="175"/>
      <c r="AC112" s="175"/>
      <c r="AD112" s="175"/>
      <c r="AE112" s="175"/>
      <c r="AF112" s="175"/>
      <c r="AG112" s="179"/>
      <c r="AH112" s="179"/>
      <c r="AI112" s="177"/>
      <c r="AJ112" s="179"/>
      <c r="AK112" s="183"/>
      <c r="AL112" s="177"/>
      <c r="AM112" s="177"/>
      <c r="AN112" s="263"/>
      <c r="AO112" s="175"/>
      <c r="AP112" s="175"/>
      <c r="AQ112" s="307"/>
      <c r="AR112" s="175"/>
      <c r="AS112" s="170"/>
      <c r="AT112" s="170"/>
      <c r="AU112" s="214"/>
      <c r="AV112" s="268"/>
      <c r="AW112" s="175"/>
      <c r="AX112" s="210"/>
      <c r="AY112" s="173"/>
      <c r="AZ112" s="179"/>
      <c r="BA112" s="179"/>
      <c r="BB112" s="175"/>
      <c r="BC112" s="49" t="e">
        <v>#REF!</v>
      </c>
      <c r="BD112" s="175"/>
    </row>
    <row r="113" spans="1:56" s="176" customFormat="1" x14ac:dyDescent="0.45">
      <c r="A113" s="13"/>
      <c r="B113" s="155"/>
      <c r="C113" s="85"/>
      <c r="D113" s="175"/>
      <c r="E113" s="175"/>
      <c r="F113" s="175"/>
      <c r="G113" s="175"/>
      <c r="H113" s="262"/>
      <c r="I113" s="175"/>
      <c r="J113" s="175"/>
      <c r="K113" s="179"/>
      <c r="L113" s="177"/>
      <c r="M113" s="262"/>
      <c r="N113" s="262"/>
      <c r="O113" s="262"/>
      <c r="P113" s="262"/>
      <c r="Q113" s="262"/>
      <c r="R113" s="262"/>
      <c r="S113" s="262"/>
      <c r="T113" s="262"/>
      <c r="U113" s="262"/>
      <c r="V113" s="262"/>
      <c r="W113" s="262"/>
      <c r="X113" s="175"/>
      <c r="Y113" s="175"/>
      <c r="Z113" s="175"/>
      <c r="AA113" s="175"/>
      <c r="AB113" s="175"/>
      <c r="AC113" s="175"/>
      <c r="AD113" s="175"/>
      <c r="AE113" s="175"/>
      <c r="AF113" s="175"/>
      <c r="AG113" s="179"/>
      <c r="AH113" s="179"/>
      <c r="AI113" s="177"/>
      <c r="AJ113" s="179"/>
      <c r="AK113" s="183"/>
      <c r="AL113" s="177"/>
      <c r="AM113" s="177"/>
      <c r="AN113" s="263"/>
      <c r="AO113" s="175"/>
      <c r="AP113" s="175"/>
      <c r="AQ113" s="307"/>
      <c r="AR113" s="175"/>
      <c r="AS113" s="170"/>
      <c r="AT113" s="170"/>
      <c r="AU113" s="214"/>
      <c r="AV113" s="268"/>
      <c r="AW113" s="175"/>
      <c r="AX113" s="210"/>
      <c r="AY113" s="173"/>
      <c r="AZ113" s="179"/>
      <c r="BA113" s="179"/>
      <c r="BB113" s="175"/>
      <c r="BC113" s="49" t="e">
        <v>#REF!</v>
      </c>
      <c r="BD113" s="175"/>
    </row>
    <row r="114" spans="1:56" s="176" customFormat="1" x14ac:dyDescent="0.45">
      <c r="A114" s="13"/>
      <c r="B114" s="155"/>
      <c r="C114" s="85"/>
      <c r="D114" s="175"/>
      <c r="E114" s="175"/>
      <c r="F114" s="175"/>
      <c r="G114" s="175"/>
      <c r="H114" s="262"/>
      <c r="I114" s="175"/>
      <c r="J114" s="175"/>
      <c r="K114" s="179"/>
      <c r="L114" s="177"/>
      <c r="M114" s="262"/>
      <c r="N114" s="262"/>
      <c r="O114" s="262"/>
      <c r="P114" s="262"/>
      <c r="Q114" s="262"/>
      <c r="R114" s="262"/>
      <c r="S114" s="262"/>
      <c r="T114" s="262"/>
      <c r="U114" s="262"/>
      <c r="V114" s="262"/>
      <c r="W114" s="262"/>
      <c r="X114" s="175"/>
      <c r="Y114" s="175"/>
      <c r="Z114" s="175"/>
      <c r="AA114" s="175"/>
      <c r="AB114" s="175"/>
      <c r="AC114" s="175"/>
      <c r="AD114" s="175"/>
      <c r="AE114" s="175"/>
      <c r="AF114" s="175"/>
      <c r="AG114" s="179"/>
      <c r="AH114" s="179"/>
      <c r="AI114" s="177"/>
      <c r="AJ114" s="179"/>
      <c r="AK114" s="183"/>
      <c r="AL114" s="177"/>
      <c r="AM114" s="177"/>
      <c r="AN114" s="263"/>
      <c r="AO114" s="175"/>
      <c r="AP114" s="175"/>
      <c r="AQ114" s="307"/>
      <c r="AR114" s="175"/>
      <c r="AS114" s="170"/>
      <c r="AT114" s="170"/>
      <c r="AU114" s="214"/>
      <c r="AV114" s="268"/>
      <c r="AW114" s="175"/>
      <c r="AX114" s="210"/>
      <c r="AY114" s="173"/>
      <c r="AZ114" s="179"/>
      <c r="BA114" s="179"/>
      <c r="BB114" s="175"/>
      <c r="BC114" s="49" t="e">
        <v>#REF!</v>
      </c>
      <c r="BD114" s="175"/>
    </row>
    <row r="115" spans="1:56" s="176" customFormat="1" x14ac:dyDescent="0.45">
      <c r="A115" s="12"/>
      <c r="B115" s="150"/>
      <c r="C115" s="53"/>
      <c r="D115" s="175"/>
      <c r="E115" s="175"/>
      <c r="F115" s="175"/>
      <c r="G115" s="175"/>
      <c r="H115" s="262"/>
      <c r="I115" s="175"/>
      <c r="J115" s="175"/>
      <c r="K115" s="179"/>
      <c r="L115" s="177"/>
      <c r="M115" s="262"/>
      <c r="N115" s="262"/>
      <c r="O115" s="262"/>
      <c r="P115" s="262"/>
      <c r="Q115" s="262"/>
      <c r="R115" s="262"/>
      <c r="S115" s="262"/>
      <c r="T115" s="262"/>
      <c r="U115" s="262"/>
      <c r="V115" s="262"/>
      <c r="W115" s="262"/>
      <c r="X115" s="175"/>
      <c r="Y115" s="175"/>
      <c r="Z115" s="175"/>
      <c r="AA115" s="175"/>
      <c r="AB115" s="175"/>
      <c r="AC115" s="175"/>
      <c r="AD115" s="175"/>
      <c r="AE115" s="175"/>
      <c r="AF115" s="175"/>
      <c r="AG115" s="179"/>
      <c r="AH115" s="179"/>
      <c r="AI115" s="177"/>
      <c r="AJ115" s="179"/>
      <c r="AK115" s="183"/>
      <c r="AL115" s="177"/>
      <c r="AM115" s="177"/>
      <c r="AN115" s="263"/>
      <c r="AO115" s="175"/>
      <c r="AP115" s="175"/>
      <c r="AQ115" s="307"/>
      <c r="AR115" s="175"/>
      <c r="AS115" s="170"/>
      <c r="AT115" s="170"/>
      <c r="AU115" s="214"/>
      <c r="AV115" s="268"/>
      <c r="AW115" s="175"/>
      <c r="AX115" s="210"/>
      <c r="AY115" s="173"/>
      <c r="AZ115" s="179"/>
      <c r="BA115" s="179"/>
      <c r="BB115" s="175"/>
      <c r="BC115" s="49" t="e">
        <v>#REF!</v>
      </c>
      <c r="BD115" s="175"/>
    </row>
    <row r="116" spans="1:56" s="176" customFormat="1" x14ac:dyDescent="0.45">
      <c r="A116" s="13"/>
      <c r="B116" s="155"/>
      <c r="C116" s="85"/>
      <c r="D116" s="175"/>
      <c r="E116" s="175"/>
      <c r="F116" s="175"/>
      <c r="G116" s="175"/>
      <c r="H116" s="262"/>
      <c r="I116" s="175"/>
      <c r="J116" s="175"/>
      <c r="K116" s="179"/>
      <c r="L116" s="177"/>
      <c r="M116" s="262"/>
      <c r="N116" s="262"/>
      <c r="O116" s="262"/>
      <c r="P116" s="262"/>
      <c r="Q116" s="262"/>
      <c r="R116" s="262"/>
      <c r="S116" s="262"/>
      <c r="T116" s="262"/>
      <c r="U116" s="262"/>
      <c r="V116" s="262"/>
      <c r="W116" s="262"/>
      <c r="X116" s="175"/>
      <c r="Y116" s="175"/>
      <c r="Z116" s="175"/>
      <c r="AA116" s="175"/>
      <c r="AB116" s="175"/>
      <c r="AC116" s="175"/>
      <c r="AD116" s="175"/>
      <c r="AE116" s="175"/>
      <c r="AF116" s="175"/>
      <c r="AG116" s="179"/>
      <c r="AH116" s="179"/>
      <c r="AI116" s="177"/>
      <c r="AJ116" s="179"/>
      <c r="AK116" s="183"/>
      <c r="AL116" s="177"/>
      <c r="AM116" s="177"/>
      <c r="AN116" s="263"/>
      <c r="AO116" s="175"/>
      <c r="AP116" s="175"/>
      <c r="AQ116" s="307"/>
      <c r="AR116" s="175"/>
      <c r="AS116" s="170"/>
      <c r="AT116" s="170"/>
      <c r="AU116" s="214"/>
      <c r="AV116" s="268"/>
      <c r="AW116" s="175"/>
      <c r="AX116" s="210"/>
      <c r="AY116" s="173"/>
      <c r="AZ116" s="179"/>
      <c r="BA116" s="179"/>
      <c r="BB116" s="175"/>
      <c r="BC116" s="49" t="e">
        <v>#REF!</v>
      </c>
      <c r="BD116" s="175"/>
    </row>
    <row r="117" spans="1:56" s="176" customFormat="1" x14ac:dyDescent="0.45">
      <c r="A117" s="13"/>
      <c r="B117" s="155"/>
      <c r="C117" s="85"/>
      <c r="D117" s="175"/>
      <c r="E117" s="175"/>
      <c r="F117" s="175"/>
      <c r="G117" s="175"/>
      <c r="H117" s="262"/>
      <c r="I117" s="175"/>
      <c r="J117" s="175"/>
      <c r="K117" s="179"/>
      <c r="L117" s="177"/>
      <c r="M117" s="262"/>
      <c r="N117" s="262"/>
      <c r="O117" s="262"/>
      <c r="P117" s="262"/>
      <c r="Q117" s="262"/>
      <c r="R117" s="262"/>
      <c r="S117" s="262"/>
      <c r="T117" s="262"/>
      <c r="U117" s="262"/>
      <c r="V117" s="262"/>
      <c r="W117" s="262"/>
      <c r="X117" s="175"/>
      <c r="Y117" s="175"/>
      <c r="Z117" s="175"/>
      <c r="AA117" s="175"/>
      <c r="AB117" s="175"/>
      <c r="AC117" s="175"/>
      <c r="AD117" s="175"/>
      <c r="AE117" s="175"/>
      <c r="AF117" s="175"/>
      <c r="AG117" s="179"/>
      <c r="AH117" s="179"/>
      <c r="AI117" s="177"/>
      <c r="AJ117" s="179"/>
      <c r="AK117" s="183"/>
      <c r="AL117" s="177"/>
      <c r="AM117" s="177"/>
      <c r="AN117" s="263"/>
      <c r="AO117" s="175"/>
      <c r="AP117" s="175"/>
      <c r="AQ117" s="307"/>
      <c r="AR117" s="175"/>
      <c r="AS117" s="253"/>
      <c r="AT117" s="253"/>
      <c r="AU117" s="214"/>
      <c r="AV117" s="268"/>
      <c r="AW117" s="175"/>
      <c r="AX117" s="210"/>
      <c r="AY117" s="173"/>
      <c r="AZ117" s="179"/>
      <c r="BA117" s="179"/>
      <c r="BB117" s="175"/>
      <c r="BC117" s="49" t="e">
        <v>#REF!</v>
      </c>
      <c r="BD117" s="175"/>
    </row>
    <row r="118" spans="1:56" s="176" customFormat="1" x14ac:dyDescent="0.45">
      <c r="A118" s="12"/>
      <c r="B118" s="150"/>
      <c r="C118" s="53"/>
      <c r="D118" s="175"/>
      <c r="E118" s="175"/>
      <c r="F118" s="175"/>
      <c r="G118" s="175"/>
      <c r="H118" s="262"/>
      <c r="I118" s="175"/>
      <c r="J118" s="175"/>
      <c r="K118" s="179"/>
      <c r="L118" s="177"/>
      <c r="M118" s="262"/>
      <c r="N118" s="262"/>
      <c r="O118" s="262"/>
      <c r="P118" s="262"/>
      <c r="Q118" s="262"/>
      <c r="R118" s="262"/>
      <c r="S118" s="262"/>
      <c r="T118" s="262"/>
      <c r="U118" s="262"/>
      <c r="V118" s="262"/>
      <c r="W118" s="262"/>
      <c r="X118" s="175"/>
      <c r="Y118" s="175"/>
      <c r="Z118" s="175"/>
      <c r="AA118" s="175"/>
      <c r="AB118" s="175"/>
      <c r="AC118" s="175"/>
      <c r="AD118" s="175"/>
      <c r="AE118" s="175"/>
      <c r="AF118" s="175"/>
      <c r="AG118" s="179"/>
      <c r="AH118" s="179"/>
      <c r="AI118" s="177"/>
      <c r="AJ118" s="179"/>
      <c r="AK118" s="183"/>
      <c r="AL118" s="177"/>
      <c r="AM118" s="177"/>
      <c r="AN118" s="263"/>
      <c r="AO118" s="175"/>
      <c r="AP118" s="175"/>
      <c r="AQ118" s="307"/>
      <c r="AR118" s="175"/>
      <c r="AS118" s="253"/>
      <c r="AT118" s="253"/>
      <c r="AU118" s="214"/>
      <c r="AV118" s="268"/>
      <c r="AW118" s="175"/>
      <c r="AX118" s="210"/>
      <c r="AY118" s="173"/>
      <c r="AZ118" s="179"/>
      <c r="BA118" s="179"/>
      <c r="BB118" s="175"/>
      <c r="BC118" s="49" t="e">
        <v>#REF!</v>
      </c>
      <c r="BD118" s="175" t="s">
        <v>145</v>
      </c>
    </row>
    <row r="119" spans="1:56" s="176" customFormat="1" x14ac:dyDescent="0.45">
      <c r="A119" s="13"/>
      <c r="B119" s="155"/>
      <c r="C119" s="85"/>
      <c r="D119" s="175"/>
      <c r="E119" s="175"/>
      <c r="F119" s="175"/>
      <c r="G119" s="175"/>
      <c r="H119" s="262"/>
      <c r="I119" s="175"/>
      <c r="J119" s="175"/>
      <c r="K119" s="179"/>
      <c r="L119" s="177"/>
      <c r="M119" s="262"/>
      <c r="N119" s="262"/>
      <c r="O119" s="262"/>
      <c r="P119" s="262"/>
      <c r="Q119" s="262"/>
      <c r="R119" s="262"/>
      <c r="S119" s="262"/>
      <c r="T119" s="262"/>
      <c r="U119" s="262"/>
      <c r="V119" s="262"/>
      <c r="W119" s="262"/>
      <c r="X119" s="175"/>
      <c r="Y119" s="175"/>
      <c r="Z119" s="175"/>
      <c r="AA119" s="175"/>
      <c r="AB119" s="175"/>
      <c r="AC119" s="175"/>
      <c r="AD119" s="175"/>
      <c r="AE119" s="175"/>
      <c r="AF119" s="175"/>
      <c r="AG119" s="179"/>
      <c r="AH119" s="179"/>
      <c r="AI119" s="177"/>
      <c r="AJ119" s="179"/>
      <c r="AK119" s="183"/>
      <c r="AL119" s="177"/>
      <c r="AM119" s="177"/>
      <c r="AN119" s="263"/>
      <c r="AO119" s="175"/>
      <c r="AP119" s="175"/>
      <c r="AQ119" s="307"/>
      <c r="AR119" s="175"/>
      <c r="AS119" s="253"/>
      <c r="AT119" s="253"/>
      <c r="AU119" s="214"/>
      <c r="AV119" s="268"/>
      <c r="AW119" s="175"/>
      <c r="AX119" s="210"/>
      <c r="AY119" s="173"/>
      <c r="AZ119" s="179"/>
      <c r="BA119" s="179"/>
      <c r="BB119" s="175"/>
      <c r="BC119" s="49" t="e">
        <v>#REF!</v>
      </c>
      <c r="BD119" s="175" t="s">
        <v>145</v>
      </c>
    </row>
    <row r="120" spans="1:56" s="176" customFormat="1" x14ac:dyDescent="0.45">
      <c r="A120" s="13"/>
      <c r="B120" s="155"/>
      <c r="C120" s="85"/>
      <c r="D120" s="175"/>
      <c r="E120" s="175"/>
      <c r="F120" s="175"/>
      <c r="G120" s="175"/>
      <c r="H120" s="262"/>
      <c r="I120" s="175"/>
      <c r="J120" s="175"/>
      <c r="K120" s="179"/>
      <c r="L120" s="177"/>
      <c r="M120" s="262"/>
      <c r="N120" s="262"/>
      <c r="O120" s="262"/>
      <c r="P120" s="262"/>
      <c r="Q120" s="262"/>
      <c r="R120" s="262"/>
      <c r="S120" s="262"/>
      <c r="T120" s="262"/>
      <c r="U120" s="262"/>
      <c r="V120" s="262"/>
      <c r="W120" s="262"/>
      <c r="X120" s="175"/>
      <c r="Y120" s="175"/>
      <c r="Z120" s="175"/>
      <c r="AA120" s="175"/>
      <c r="AB120" s="175"/>
      <c r="AC120" s="175"/>
      <c r="AD120" s="175"/>
      <c r="AE120" s="175"/>
      <c r="AF120" s="175"/>
      <c r="AG120" s="179"/>
      <c r="AH120" s="179"/>
      <c r="AI120" s="177"/>
      <c r="AJ120" s="179"/>
      <c r="AK120" s="183"/>
      <c r="AL120" s="177"/>
      <c r="AM120" s="177"/>
      <c r="AN120" s="263"/>
      <c r="AO120" s="175"/>
      <c r="AP120" s="175"/>
      <c r="AQ120" s="307"/>
      <c r="AR120" s="175"/>
      <c r="AS120" s="253"/>
      <c r="AT120" s="253"/>
      <c r="AU120" s="214"/>
      <c r="AV120" s="268"/>
      <c r="AW120" s="175"/>
      <c r="AX120" s="210"/>
      <c r="AY120" s="173"/>
      <c r="AZ120" s="179"/>
      <c r="BA120" s="179"/>
      <c r="BB120" s="175"/>
      <c r="BC120" s="49" t="e">
        <v>#REF!</v>
      </c>
      <c r="BD120" s="175" t="s">
        <v>145</v>
      </c>
    </row>
    <row r="121" spans="1:56" s="176" customFormat="1" x14ac:dyDescent="0.45">
      <c r="A121" s="12"/>
      <c r="B121" s="150"/>
      <c r="C121" s="53"/>
      <c r="D121" s="175"/>
      <c r="E121" s="175"/>
      <c r="F121" s="175"/>
      <c r="G121" s="175"/>
      <c r="H121" s="262"/>
      <c r="I121" s="175"/>
      <c r="J121" s="175"/>
      <c r="K121" s="179"/>
      <c r="L121" s="177"/>
      <c r="M121" s="262"/>
      <c r="N121" s="262"/>
      <c r="O121" s="262"/>
      <c r="P121" s="262"/>
      <c r="Q121" s="262"/>
      <c r="R121" s="262"/>
      <c r="S121" s="262"/>
      <c r="T121" s="262"/>
      <c r="U121" s="262"/>
      <c r="V121" s="262"/>
      <c r="W121" s="262"/>
      <c r="X121" s="175"/>
      <c r="Y121" s="175"/>
      <c r="Z121" s="175"/>
      <c r="AA121" s="175"/>
      <c r="AB121" s="175"/>
      <c r="AC121" s="175"/>
      <c r="AD121" s="175"/>
      <c r="AE121" s="175"/>
      <c r="AF121" s="175"/>
      <c r="AG121" s="179"/>
      <c r="AH121" s="179"/>
      <c r="AI121" s="177"/>
      <c r="AJ121" s="179"/>
      <c r="AK121" s="183"/>
      <c r="AL121" s="177"/>
      <c r="AM121" s="177"/>
      <c r="AN121" s="263"/>
      <c r="AO121" s="175"/>
      <c r="AP121" s="175"/>
      <c r="AQ121" s="307"/>
      <c r="AR121" s="175"/>
      <c r="AS121" s="253"/>
      <c r="AT121" s="253"/>
      <c r="AU121" s="214"/>
      <c r="AV121" s="268"/>
      <c r="AW121" s="175"/>
      <c r="AX121" s="210"/>
      <c r="AY121" s="173"/>
      <c r="AZ121" s="179"/>
      <c r="BA121" s="179"/>
      <c r="BB121" s="175"/>
      <c r="BC121" s="49" t="e">
        <v>#REF!</v>
      </c>
      <c r="BD121" s="175" t="s">
        <v>145</v>
      </c>
    </row>
    <row r="122" spans="1:56" s="176" customFormat="1" x14ac:dyDescent="0.45">
      <c r="A122" s="13"/>
      <c r="B122" s="155"/>
      <c r="C122" s="85"/>
      <c r="D122" s="175"/>
      <c r="E122" s="175"/>
      <c r="F122" s="175"/>
      <c r="G122" s="175"/>
      <c r="H122" s="262"/>
      <c r="I122" s="175"/>
      <c r="J122" s="175"/>
      <c r="K122" s="179"/>
      <c r="L122" s="177"/>
      <c r="M122" s="262"/>
      <c r="N122" s="262"/>
      <c r="O122" s="262"/>
      <c r="P122" s="262"/>
      <c r="Q122" s="262"/>
      <c r="R122" s="262"/>
      <c r="S122" s="262"/>
      <c r="T122" s="262"/>
      <c r="U122" s="262"/>
      <c r="V122" s="262"/>
      <c r="W122" s="262"/>
      <c r="X122" s="175"/>
      <c r="Y122" s="175"/>
      <c r="Z122" s="175"/>
      <c r="AA122" s="175"/>
      <c r="AB122" s="175"/>
      <c r="AC122" s="175"/>
      <c r="AD122" s="175"/>
      <c r="AE122" s="175"/>
      <c r="AF122" s="175"/>
      <c r="AG122" s="179"/>
      <c r="AH122" s="179"/>
      <c r="AI122" s="177"/>
      <c r="AJ122" s="179"/>
      <c r="AK122" s="183"/>
      <c r="AL122" s="177"/>
      <c r="AM122" s="177"/>
      <c r="AN122" s="263"/>
      <c r="AO122" s="175"/>
      <c r="AP122" s="175"/>
      <c r="AQ122" s="307"/>
      <c r="AR122" s="175"/>
      <c r="AS122" s="253"/>
      <c r="AT122" s="253"/>
      <c r="AU122" s="214"/>
      <c r="AV122" s="268"/>
      <c r="AW122" s="175"/>
      <c r="AX122" s="210"/>
      <c r="AY122" s="173"/>
      <c r="AZ122" s="179"/>
      <c r="BA122" s="179"/>
      <c r="BB122" s="175"/>
      <c r="BC122" s="49" t="e">
        <v>#REF!</v>
      </c>
      <c r="BD122" s="175" t="s">
        <v>145</v>
      </c>
    </row>
    <row r="123" spans="1:56" s="176" customFormat="1" x14ac:dyDescent="0.45">
      <c r="A123" s="13"/>
      <c r="B123" s="155"/>
      <c r="C123" s="85"/>
      <c r="D123" s="175"/>
      <c r="E123" s="175"/>
      <c r="F123" s="175"/>
      <c r="G123" s="175"/>
      <c r="H123" s="262"/>
      <c r="I123" s="175"/>
      <c r="J123" s="175"/>
      <c r="K123" s="179"/>
      <c r="L123" s="177"/>
      <c r="M123" s="262"/>
      <c r="N123" s="262"/>
      <c r="O123" s="262"/>
      <c r="P123" s="262"/>
      <c r="Q123" s="262"/>
      <c r="R123" s="262"/>
      <c r="S123" s="262"/>
      <c r="T123" s="262"/>
      <c r="U123" s="262"/>
      <c r="V123" s="262"/>
      <c r="W123" s="262"/>
      <c r="X123" s="175"/>
      <c r="Y123" s="175"/>
      <c r="Z123" s="175"/>
      <c r="AA123" s="175"/>
      <c r="AB123" s="175"/>
      <c r="AC123" s="175"/>
      <c r="AD123" s="175"/>
      <c r="AE123" s="175"/>
      <c r="AF123" s="175"/>
      <c r="AG123" s="179"/>
      <c r="AH123" s="179"/>
      <c r="AI123" s="177"/>
      <c r="AJ123" s="179"/>
      <c r="AK123" s="183"/>
      <c r="AL123" s="177"/>
      <c r="AM123" s="177"/>
      <c r="AN123" s="263"/>
      <c r="AO123" s="175"/>
      <c r="AP123" s="175"/>
      <c r="AQ123" s="307"/>
      <c r="AR123" s="175"/>
      <c r="AS123" s="253"/>
      <c r="AT123" s="253"/>
      <c r="AU123" s="214"/>
      <c r="AV123" s="268"/>
      <c r="AW123" s="175"/>
      <c r="AX123" s="210"/>
      <c r="AY123" s="173"/>
      <c r="AZ123" s="179"/>
      <c r="BA123" s="179"/>
      <c r="BB123" s="175"/>
      <c r="BC123" s="49" t="e">
        <v>#REF!</v>
      </c>
      <c r="BD123" s="175" t="s">
        <v>145</v>
      </c>
    </row>
    <row r="124" spans="1:56" s="176" customFormat="1" x14ac:dyDescent="0.45">
      <c r="A124" s="12"/>
      <c r="B124" s="150"/>
      <c r="C124" s="53"/>
      <c r="D124" s="175"/>
      <c r="E124" s="175"/>
      <c r="F124" s="175"/>
      <c r="G124" s="175"/>
      <c r="H124" s="262"/>
      <c r="I124" s="175"/>
      <c r="J124" s="175"/>
      <c r="K124" s="179"/>
      <c r="L124" s="177"/>
      <c r="M124" s="262"/>
      <c r="N124" s="262"/>
      <c r="O124" s="262"/>
      <c r="P124" s="262"/>
      <c r="Q124" s="262"/>
      <c r="R124" s="262"/>
      <c r="S124" s="262"/>
      <c r="T124" s="262"/>
      <c r="U124" s="262"/>
      <c r="V124" s="262"/>
      <c r="W124" s="262"/>
      <c r="X124" s="175"/>
      <c r="Y124" s="175"/>
      <c r="Z124" s="175"/>
      <c r="AA124" s="175"/>
      <c r="AB124" s="175"/>
      <c r="AC124" s="175"/>
      <c r="AD124" s="175"/>
      <c r="AE124" s="175"/>
      <c r="AF124" s="175"/>
      <c r="AG124" s="179"/>
      <c r="AH124" s="179"/>
      <c r="AI124" s="177"/>
      <c r="AJ124" s="179"/>
      <c r="AK124" s="183"/>
      <c r="AL124" s="177"/>
      <c r="AM124" s="177"/>
      <c r="AN124" s="263"/>
      <c r="AO124" s="175"/>
      <c r="AP124" s="175"/>
      <c r="AQ124" s="307"/>
      <c r="AR124" s="175"/>
      <c r="AS124" s="253"/>
      <c r="AT124" s="253"/>
      <c r="AU124" s="214"/>
      <c r="AV124" s="268"/>
      <c r="AW124" s="175"/>
      <c r="AX124" s="210"/>
      <c r="AY124" s="173"/>
      <c r="AZ124" s="179"/>
      <c r="BA124" s="179"/>
      <c r="BB124" s="175"/>
      <c r="BC124" s="49" t="e">
        <v>#REF!</v>
      </c>
      <c r="BD124" s="175"/>
    </row>
    <row r="125" spans="1:56" s="176" customFormat="1" x14ac:dyDescent="0.45">
      <c r="A125" s="13"/>
      <c r="B125" s="155"/>
      <c r="C125" s="85"/>
      <c r="D125" s="175"/>
      <c r="E125" s="175"/>
      <c r="F125" s="175"/>
      <c r="G125" s="175"/>
      <c r="H125" s="262"/>
      <c r="I125" s="175"/>
      <c r="J125" s="175"/>
      <c r="K125" s="179"/>
      <c r="L125" s="177"/>
      <c r="M125" s="262"/>
      <c r="N125" s="262"/>
      <c r="O125" s="262"/>
      <c r="P125" s="262"/>
      <c r="Q125" s="262"/>
      <c r="R125" s="262"/>
      <c r="S125" s="262"/>
      <c r="T125" s="262"/>
      <c r="U125" s="262"/>
      <c r="V125" s="262"/>
      <c r="W125" s="262"/>
      <c r="X125" s="175"/>
      <c r="Y125" s="175"/>
      <c r="Z125" s="175"/>
      <c r="AA125" s="175"/>
      <c r="AB125" s="175"/>
      <c r="AC125" s="175"/>
      <c r="AD125" s="175"/>
      <c r="AE125" s="175"/>
      <c r="AF125" s="175"/>
      <c r="AG125" s="179"/>
      <c r="AH125" s="179"/>
      <c r="AI125" s="177"/>
      <c r="AJ125" s="179"/>
      <c r="AK125" s="183"/>
      <c r="AL125" s="177"/>
      <c r="AM125" s="177"/>
      <c r="AN125" s="263"/>
      <c r="AO125" s="175"/>
      <c r="AP125" s="175"/>
      <c r="AQ125" s="307"/>
      <c r="AR125" s="175"/>
      <c r="AS125" s="253"/>
      <c r="AT125" s="253"/>
      <c r="AU125" s="214"/>
      <c r="AV125" s="268"/>
      <c r="AW125" s="175"/>
      <c r="AX125" s="210"/>
      <c r="AY125" s="173"/>
      <c r="AZ125" s="179"/>
      <c r="BA125" s="179"/>
      <c r="BB125" s="175"/>
      <c r="BC125" s="49" t="e">
        <v>#REF!</v>
      </c>
      <c r="BD125" s="175"/>
    </row>
    <row r="126" spans="1:56" s="176" customFormat="1" x14ac:dyDescent="0.45">
      <c r="A126" s="13"/>
      <c r="B126" s="155"/>
      <c r="C126" s="85"/>
      <c r="D126" s="175"/>
      <c r="E126" s="175"/>
      <c r="F126" s="175"/>
      <c r="G126" s="175"/>
      <c r="H126" s="262"/>
      <c r="I126" s="175"/>
      <c r="J126" s="175"/>
      <c r="K126" s="179"/>
      <c r="L126" s="177"/>
      <c r="M126" s="262"/>
      <c r="N126" s="262"/>
      <c r="O126" s="262"/>
      <c r="P126" s="262"/>
      <c r="Q126" s="262"/>
      <c r="R126" s="262"/>
      <c r="S126" s="262"/>
      <c r="T126" s="262"/>
      <c r="U126" s="262"/>
      <c r="V126" s="262"/>
      <c r="W126" s="262"/>
      <c r="X126" s="175"/>
      <c r="Y126" s="175"/>
      <c r="Z126" s="175"/>
      <c r="AA126" s="175"/>
      <c r="AB126" s="175"/>
      <c r="AC126" s="175"/>
      <c r="AD126" s="175"/>
      <c r="AE126" s="175"/>
      <c r="AF126" s="175"/>
      <c r="AG126" s="179"/>
      <c r="AH126" s="179"/>
      <c r="AI126" s="177"/>
      <c r="AJ126" s="179"/>
      <c r="AK126" s="183"/>
      <c r="AL126" s="177"/>
      <c r="AM126" s="177"/>
      <c r="AN126" s="263"/>
      <c r="AO126" s="175"/>
      <c r="AP126" s="175"/>
      <c r="AQ126" s="307"/>
      <c r="AR126" s="175"/>
      <c r="AS126" s="253"/>
      <c r="AT126" s="253"/>
      <c r="AU126" s="214"/>
      <c r="AV126" s="268"/>
      <c r="AW126" s="175"/>
      <c r="AX126" s="210"/>
      <c r="AY126" s="173"/>
      <c r="AZ126" s="179"/>
      <c r="BA126" s="179"/>
      <c r="BB126" s="175"/>
      <c r="BC126" s="49" t="e">
        <v>#REF!</v>
      </c>
      <c r="BD126" s="175"/>
    </row>
    <row r="127" spans="1:56" s="176" customFormat="1" x14ac:dyDescent="0.45">
      <c r="A127" s="12"/>
      <c r="B127" s="150"/>
      <c r="C127" s="53"/>
      <c r="D127" s="175"/>
      <c r="E127" s="175"/>
      <c r="F127" s="175"/>
      <c r="G127" s="175"/>
      <c r="H127" s="262"/>
      <c r="I127" s="175"/>
      <c r="J127" s="175"/>
      <c r="K127" s="179"/>
      <c r="L127" s="177"/>
      <c r="M127" s="262"/>
      <c r="N127" s="262"/>
      <c r="O127" s="262"/>
      <c r="P127" s="262"/>
      <c r="Q127" s="262"/>
      <c r="R127" s="262"/>
      <c r="S127" s="262"/>
      <c r="T127" s="262"/>
      <c r="U127" s="262"/>
      <c r="V127" s="262"/>
      <c r="W127" s="262"/>
      <c r="X127" s="175"/>
      <c r="Y127" s="175"/>
      <c r="Z127" s="175"/>
      <c r="AA127" s="175"/>
      <c r="AB127" s="175"/>
      <c r="AC127" s="175"/>
      <c r="AD127" s="175"/>
      <c r="AE127" s="175"/>
      <c r="AF127" s="175"/>
      <c r="AG127" s="179"/>
      <c r="AH127" s="179"/>
      <c r="AI127" s="177"/>
      <c r="AJ127" s="179"/>
      <c r="AK127" s="183"/>
      <c r="AL127" s="177"/>
      <c r="AM127" s="177"/>
      <c r="AN127" s="263"/>
      <c r="AO127" s="175"/>
      <c r="AP127" s="175"/>
      <c r="AQ127" s="307"/>
      <c r="AR127" s="175"/>
      <c r="AS127" s="253"/>
      <c r="AT127" s="253"/>
      <c r="AU127" s="214"/>
      <c r="AV127" s="268"/>
      <c r="AW127" s="175"/>
      <c r="AX127" s="210"/>
      <c r="AY127" s="173"/>
      <c r="AZ127" s="179"/>
      <c r="BA127" s="179"/>
      <c r="BB127" s="175"/>
      <c r="BC127" s="49" t="e">
        <v>#REF!</v>
      </c>
      <c r="BD127" s="175"/>
    </row>
    <row r="128" spans="1:56" s="176" customFormat="1" x14ac:dyDescent="0.45">
      <c r="A128" s="13"/>
      <c r="B128" s="155"/>
      <c r="C128" s="85"/>
      <c r="D128" s="175"/>
      <c r="E128" s="175"/>
      <c r="F128" s="175"/>
      <c r="G128" s="175"/>
      <c r="H128" s="262"/>
      <c r="I128" s="175"/>
      <c r="J128" s="175"/>
      <c r="K128" s="179"/>
      <c r="L128" s="177"/>
      <c r="M128" s="262"/>
      <c r="N128" s="262"/>
      <c r="O128" s="262"/>
      <c r="P128" s="262"/>
      <c r="Q128" s="262"/>
      <c r="R128" s="262"/>
      <c r="S128" s="262"/>
      <c r="T128" s="262"/>
      <c r="U128" s="262"/>
      <c r="V128" s="262"/>
      <c r="W128" s="262"/>
      <c r="X128" s="175"/>
      <c r="Y128" s="175"/>
      <c r="Z128" s="175"/>
      <c r="AA128" s="175"/>
      <c r="AB128" s="175"/>
      <c r="AC128" s="175"/>
      <c r="AD128" s="175"/>
      <c r="AE128" s="175"/>
      <c r="AF128" s="175"/>
      <c r="AG128" s="179"/>
      <c r="AH128" s="179"/>
      <c r="AI128" s="177"/>
      <c r="AJ128" s="179"/>
      <c r="AK128" s="183"/>
      <c r="AL128" s="177"/>
      <c r="AM128" s="177"/>
      <c r="AN128" s="263"/>
      <c r="AO128" s="175"/>
      <c r="AP128" s="175"/>
      <c r="AQ128" s="307"/>
      <c r="AR128" s="175"/>
      <c r="AS128" s="253"/>
      <c r="AT128" s="253"/>
      <c r="AU128" s="214"/>
      <c r="AV128" s="268"/>
      <c r="AW128" s="175"/>
      <c r="AX128" s="210"/>
      <c r="AY128" s="173"/>
      <c r="AZ128" s="179"/>
      <c r="BA128" s="179"/>
      <c r="BB128" s="175"/>
      <c r="BC128" s="49" t="e">
        <v>#REF!</v>
      </c>
      <c r="BD128" s="175"/>
    </row>
    <row r="129" spans="1:56" s="176" customFormat="1" x14ac:dyDescent="0.45">
      <c r="A129" s="13"/>
      <c r="B129" s="155"/>
      <c r="C129" s="85"/>
      <c r="D129" s="175"/>
      <c r="E129" s="175"/>
      <c r="F129" s="175"/>
      <c r="G129" s="175"/>
      <c r="H129" s="262"/>
      <c r="I129" s="175"/>
      <c r="J129" s="175"/>
      <c r="K129" s="179"/>
      <c r="L129" s="177"/>
      <c r="M129" s="262"/>
      <c r="N129" s="262"/>
      <c r="O129" s="262"/>
      <c r="P129" s="262"/>
      <c r="Q129" s="262"/>
      <c r="R129" s="262"/>
      <c r="S129" s="262"/>
      <c r="T129" s="262"/>
      <c r="U129" s="262"/>
      <c r="V129" s="262"/>
      <c r="W129" s="262"/>
      <c r="X129" s="175"/>
      <c r="Y129" s="175"/>
      <c r="Z129" s="175"/>
      <c r="AA129" s="175"/>
      <c r="AB129" s="175"/>
      <c r="AC129" s="175"/>
      <c r="AD129" s="175"/>
      <c r="AE129" s="175"/>
      <c r="AF129" s="175"/>
      <c r="AG129" s="179"/>
      <c r="AH129" s="179"/>
      <c r="AI129" s="177"/>
      <c r="AJ129" s="179"/>
      <c r="AK129" s="183"/>
      <c r="AL129" s="177"/>
      <c r="AM129" s="177"/>
      <c r="AN129" s="263"/>
      <c r="AO129" s="175"/>
      <c r="AP129" s="175"/>
      <c r="AQ129" s="307"/>
      <c r="AR129" s="175"/>
      <c r="AS129" s="253"/>
      <c r="AT129" s="253"/>
      <c r="AU129" s="214"/>
      <c r="AV129" s="268"/>
      <c r="AW129" s="175"/>
      <c r="AX129" s="210"/>
      <c r="AY129" s="173"/>
      <c r="AZ129" s="179"/>
      <c r="BA129" s="179"/>
      <c r="BB129" s="175"/>
      <c r="BC129" s="49" t="e">
        <v>#REF!</v>
      </c>
      <c r="BD129" s="175"/>
    </row>
    <row r="130" spans="1:56" s="176" customFormat="1" x14ac:dyDescent="0.45">
      <c r="A130" s="12"/>
      <c r="B130" s="150"/>
      <c r="C130" s="53"/>
      <c r="D130" s="175"/>
      <c r="E130" s="175"/>
      <c r="F130" s="175"/>
      <c r="G130" s="175"/>
      <c r="H130" s="262"/>
      <c r="I130" s="175"/>
      <c r="J130" s="175"/>
      <c r="K130" s="179"/>
      <c r="L130" s="177"/>
      <c r="M130" s="262"/>
      <c r="N130" s="262"/>
      <c r="O130" s="262"/>
      <c r="P130" s="262"/>
      <c r="Q130" s="262"/>
      <c r="R130" s="262"/>
      <c r="S130" s="262"/>
      <c r="T130" s="262"/>
      <c r="U130" s="262"/>
      <c r="V130" s="262"/>
      <c r="W130" s="262"/>
      <c r="X130" s="175"/>
      <c r="Y130" s="175"/>
      <c r="Z130" s="175"/>
      <c r="AA130" s="175"/>
      <c r="AB130" s="175"/>
      <c r="AC130" s="175"/>
      <c r="AD130" s="175"/>
      <c r="AE130" s="175"/>
      <c r="AF130" s="175"/>
      <c r="AG130" s="179"/>
      <c r="AH130" s="179"/>
      <c r="AI130" s="177"/>
      <c r="AJ130" s="179"/>
      <c r="AK130" s="183"/>
      <c r="AL130" s="177"/>
      <c r="AM130" s="177"/>
      <c r="AN130" s="263"/>
      <c r="AO130" s="175"/>
      <c r="AP130" s="175"/>
      <c r="AQ130" s="307"/>
      <c r="AR130" s="175"/>
      <c r="AS130" s="253"/>
      <c r="AT130" s="253"/>
      <c r="AU130" s="214"/>
      <c r="AV130" s="268"/>
      <c r="AW130" s="175"/>
      <c r="AX130" s="210"/>
      <c r="AY130" s="173"/>
      <c r="AZ130" s="179"/>
      <c r="BA130" s="179"/>
      <c r="BB130" s="175"/>
      <c r="BC130" s="49" t="e">
        <v>#REF!</v>
      </c>
      <c r="BD130" s="175"/>
    </row>
    <row r="131" spans="1:56" s="176" customFormat="1" x14ac:dyDescent="0.45">
      <c r="A131" s="13"/>
      <c r="B131" s="155"/>
      <c r="C131" s="85"/>
      <c r="D131" s="175"/>
      <c r="E131" s="175"/>
      <c r="F131" s="175"/>
      <c r="G131" s="175"/>
      <c r="H131" s="262"/>
      <c r="I131" s="175"/>
      <c r="J131" s="175"/>
      <c r="K131" s="179"/>
      <c r="L131" s="177"/>
      <c r="M131" s="262"/>
      <c r="N131" s="262"/>
      <c r="O131" s="262"/>
      <c r="P131" s="262"/>
      <c r="Q131" s="262"/>
      <c r="R131" s="262"/>
      <c r="S131" s="262"/>
      <c r="T131" s="262"/>
      <c r="U131" s="262"/>
      <c r="V131" s="262"/>
      <c r="W131" s="262"/>
      <c r="X131" s="175"/>
      <c r="Y131" s="175"/>
      <c r="Z131" s="175"/>
      <c r="AA131" s="175"/>
      <c r="AB131" s="175"/>
      <c r="AC131" s="175"/>
      <c r="AD131" s="175"/>
      <c r="AE131" s="175"/>
      <c r="AF131" s="175"/>
      <c r="AG131" s="179"/>
      <c r="AH131" s="179"/>
      <c r="AI131" s="177"/>
      <c r="AJ131" s="179"/>
      <c r="AK131" s="183"/>
      <c r="AL131" s="177"/>
      <c r="AM131" s="177"/>
      <c r="AN131" s="263"/>
      <c r="AO131" s="175"/>
      <c r="AP131" s="175"/>
      <c r="AQ131" s="307"/>
      <c r="AR131" s="175"/>
      <c r="AS131" s="253"/>
      <c r="AT131" s="253"/>
      <c r="AU131" s="214"/>
      <c r="AV131" s="268"/>
      <c r="AW131" s="175"/>
      <c r="AX131" s="210"/>
      <c r="AY131" s="173"/>
      <c r="AZ131" s="179"/>
      <c r="BA131" s="179"/>
      <c r="BB131" s="175"/>
      <c r="BC131" s="49" t="e">
        <v>#REF!</v>
      </c>
      <c r="BD131" s="175"/>
    </row>
    <row r="132" spans="1:56" s="176" customFormat="1" x14ac:dyDescent="0.45">
      <c r="A132" s="13"/>
      <c r="B132" s="155"/>
      <c r="C132" s="85"/>
      <c r="D132" s="175"/>
      <c r="E132" s="175"/>
      <c r="F132" s="175"/>
      <c r="G132" s="175"/>
      <c r="H132" s="262"/>
      <c r="I132" s="175"/>
      <c r="J132" s="175"/>
      <c r="K132" s="179"/>
      <c r="L132" s="177"/>
      <c r="M132" s="262"/>
      <c r="N132" s="262"/>
      <c r="O132" s="262"/>
      <c r="P132" s="262"/>
      <c r="Q132" s="262"/>
      <c r="R132" s="262"/>
      <c r="S132" s="262"/>
      <c r="T132" s="262"/>
      <c r="U132" s="262"/>
      <c r="V132" s="262"/>
      <c r="W132" s="262"/>
      <c r="X132" s="175"/>
      <c r="Y132" s="175"/>
      <c r="Z132" s="175"/>
      <c r="AA132" s="175"/>
      <c r="AB132" s="175"/>
      <c r="AC132" s="175"/>
      <c r="AD132" s="175"/>
      <c r="AE132" s="175"/>
      <c r="AF132" s="175"/>
      <c r="AG132" s="179"/>
      <c r="AH132" s="179"/>
      <c r="AI132" s="177"/>
      <c r="AJ132" s="179"/>
      <c r="AK132" s="183"/>
      <c r="AL132" s="177"/>
      <c r="AM132" s="177"/>
      <c r="AN132" s="263"/>
      <c r="AO132" s="175"/>
      <c r="AP132" s="175"/>
      <c r="AQ132" s="307"/>
      <c r="AR132" s="175"/>
      <c r="AS132" s="253"/>
      <c r="AT132" s="253"/>
      <c r="AU132" s="214"/>
      <c r="AV132" s="268"/>
      <c r="AW132" s="175"/>
      <c r="AX132" s="210"/>
      <c r="AY132" s="173"/>
      <c r="AZ132" s="179"/>
      <c r="BA132" s="179"/>
      <c r="BB132" s="175"/>
      <c r="BC132" s="49" t="e">
        <v>#REF!</v>
      </c>
      <c r="BD132" s="175"/>
    </row>
    <row r="133" spans="1:56" s="176" customFormat="1" x14ac:dyDescent="0.45">
      <c r="A133" s="12"/>
      <c r="B133" s="150"/>
      <c r="C133" s="53"/>
      <c r="D133" s="175"/>
      <c r="E133" s="175"/>
      <c r="F133" s="175"/>
      <c r="G133" s="175"/>
      <c r="H133" s="262"/>
      <c r="I133" s="175"/>
      <c r="J133" s="175"/>
      <c r="K133" s="179"/>
      <c r="L133" s="177"/>
      <c r="M133" s="262"/>
      <c r="N133" s="262"/>
      <c r="O133" s="262"/>
      <c r="P133" s="262"/>
      <c r="Q133" s="262"/>
      <c r="R133" s="262"/>
      <c r="S133" s="262"/>
      <c r="T133" s="262"/>
      <c r="U133" s="262"/>
      <c r="V133" s="262"/>
      <c r="W133" s="262"/>
      <c r="X133" s="175"/>
      <c r="Y133" s="175"/>
      <c r="Z133" s="175"/>
      <c r="AA133" s="175"/>
      <c r="AB133" s="175"/>
      <c r="AC133" s="175"/>
      <c r="AD133" s="175"/>
      <c r="AE133" s="175"/>
      <c r="AF133" s="175"/>
      <c r="AG133" s="179"/>
      <c r="AH133" s="179"/>
      <c r="AI133" s="177"/>
      <c r="AJ133" s="179"/>
      <c r="AK133" s="183"/>
      <c r="AL133" s="177"/>
      <c r="AM133" s="177"/>
      <c r="AN133" s="263"/>
      <c r="AO133" s="175"/>
      <c r="AP133" s="175"/>
      <c r="AQ133" s="307"/>
      <c r="AR133" s="175"/>
      <c r="AS133" s="253"/>
      <c r="AT133" s="253"/>
      <c r="AU133" s="214"/>
      <c r="AV133" s="268"/>
      <c r="AW133" s="175"/>
      <c r="AX133" s="210"/>
      <c r="AY133" s="173"/>
      <c r="AZ133" s="179"/>
      <c r="BA133" s="179"/>
      <c r="BB133" s="175"/>
      <c r="BC133" s="49" t="e">
        <v>#REF!</v>
      </c>
      <c r="BD133" s="175"/>
    </row>
    <row r="134" spans="1:56" s="176" customFormat="1" x14ac:dyDescent="0.45">
      <c r="A134" s="13"/>
      <c r="B134" s="155"/>
      <c r="C134" s="85"/>
      <c r="D134" s="175"/>
      <c r="E134" s="175"/>
      <c r="F134" s="175"/>
      <c r="G134" s="175"/>
      <c r="H134" s="262"/>
      <c r="I134" s="175"/>
      <c r="J134" s="175"/>
      <c r="K134" s="179"/>
      <c r="L134" s="177"/>
      <c r="M134" s="262"/>
      <c r="N134" s="262"/>
      <c r="O134" s="262"/>
      <c r="P134" s="262"/>
      <c r="Q134" s="262"/>
      <c r="R134" s="262"/>
      <c r="S134" s="262"/>
      <c r="T134" s="262"/>
      <c r="U134" s="262"/>
      <c r="V134" s="262"/>
      <c r="W134" s="262"/>
      <c r="X134" s="175"/>
      <c r="Y134" s="175"/>
      <c r="Z134" s="175"/>
      <c r="AA134" s="175"/>
      <c r="AB134" s="175"/>
      <c r="AC134" s="175"/>
      <c r="AD134" s="175"/>
      <c r="AE134" s="175"/>
      <c r="AF134" s="175"/>
      <c r="AG134" s="179"/>
      <c r="AH134" s="179"/>
      <c r="AI134" s="177"/>
      <c r="AJ134" s="179"/>
      <c r="AK134" s="183"/>
      <c r="AL134" s="177"/>
      <c r="AM134" s="177"/>
      <c r="AN134" s="263"/>
      <c r="AO134" s="175"/>
      <c r="AP134" s="175"/>
      <c r="AQ134" s="307"/>
      <c r="AR134" s="175"/>
      <c r="AS134" s="253"/>
      <c r="AT134" s="253"/>
      <c r="AU134" s="214"/>
      <c r="AV134" s="268"/>
      <c r="AW134" s="175"/>
      <c r="AX134" s="210"/>
      <c r="AY134" s="173"/>
      <c r="AZ134" s="179"/>
      <c r="BA134" s="179"/>
      <c r="BB134" s="175"/>
      <c r="BC134" s="49" t="e">
        <v>#REF!</v>
      </c>
      <c r="BD134" s="175"/>
    </row>
    <row r="135" spans="1:56" s="176" customFormat="1" ht="14.65" thickBot="1" x14ac:dyDescent="0.5">
      <c r="A135" s="13"/>
      <c r="B135" s="262"/>
      <c r="C135" s="85"/>
      <c r="D135" s="175"/>
      <c r="E135" s="175"/>
      <c r="F135" s="175"/>
      <c r="G135" s="175"/>
      <c r="H135" s="262"/>
      <c r="I135" s="175"/>
      <c r="J135" s="175"/>
      <c r="K135" s="179"/>
      <c r="L135" s="177"/>
      <c r="M135" s="263"/>
      <c r="N135" s="262"/>
      <c r="O135" s="262"/>
      <c r="P135" s="262"/>
      <c r="Q135" s="306"/>
      <c r="R135" s="262"/>
      <c r="S135" s="262"/>
      <c r="T135" s="262"/>
      <c r="U135" s="262"/>
      <c r="V135" s="262"/>
      <c r="W135" s="262"/>
      <c r="X135" s="175"/>
      <c r="Y135" s="175"/>
      <c r="Z135" s="175"/>
      <c r="AA135" s="175"/>
      <c r="AB135" s="175"/>
      <c r="AC135" s="175"/>
      <c r="AD135" s="175"/>
      <c r="AE135" s="175"/>
      <c r="AF135" s="175"/>
      <c r="AG135" s="179"/>
      <c r="AH135" s="179"/>
      <c r="AI135" s="177"/>
      <c r="AJ135" s="179"/>
      <c r="AK135" s="183"/>
      <c r="AL135" s="177"/>
      <c r="AM135" s="177"/>
      <c r="AN135" s="263"/>
      <c r="AO135" s="175"/>
      <c r="AP135" s="175"/>
      <c r="AQ135" s="307"/>
      <c r="AR135" s="175"/>
      <c r="AS135" s="170"/>
      <c r="AT135" s="170"/>
      <c r="AU135" s="214"/>
      <c r="AV135" s="268"/>
      <c r="AW135" s="175"/>
      <c r="AX135" s="210"/>
      <c r="AY135" s="173"/>
      <c r="AZ135" s="179"/>
      <c r="BA135" s="179"/>
      <c r="BB135" s="175"/>
      <c r="BC135" s="49" t="e">
        <v>#REF!</v>
      </c>
      <c r="BD135" s="175"/>
    </row>
    <row r="136" spans="1:56" s="176" customFormat="1" x14ac:dyDescent="0.45">
      <c r="A136" s="12"/>
      <c r="B136" s="262"/>
      <c r="C136" s="303"/>
      <c r="D136" s="262"/>
      <c r="E136" s="262"/>
      <c r="F136" s="262"/>
      <c r="G136" s="262"/>
      <c r="H136" s="262"/>
      <c r="I136" s="262"/>
      <c r="J136" s="262"/>
      <c r="K136" s="262"/>
      <c r="L136" s="177"/>
      <c r="M136" s="263"/>
      <c r="N136" s="262"/>
      <c r="O136" s="262"/>
      <c r="P136" s="262"/>
      <c r="Q136" s="262"/>
      <c r="R136" s="262"/>
      <c r="S136" s="262"/>
      <c r="T136" s="262"/>
      <c r="U136" s="262"/>
      <c r="V136" s="262"/>
      <c r="W136" s="262"/>
      <c r="X136" s="92"/>
      <c r="Y136" s="93"/>
      <c r="Z136" s="93"/>
      <c r="AA136" s="92"/>
      <c r="AB136" s="93"/>
      <c r="AC136" s="93"/>
      <c r="AD136" s="94"/>
      <c r="AE136" s="95"/>
      <c r="AF136" s="93"/>
      <c r="AG136" s="88"/>
      <c r="AH136" s="88"/>
      <c r="AI136" s="92"/>
      <c r="AJ136" s="88"/>
      <c r="AK136" s="166"/>
      <c r="AL136" s="92"/>
      <c r="AM136" s="92"/>
      <c r="AN136" s="263"/>
      <c r="AO136" s="87"/>
      <c r="AP136" s="87"/>
      <c r="AQ136" s="218"/>
      <c r="AR136" s="87"/>
      <c r="AS136" s="92"/>
      <c r="AT136" s="87"/>
      <c r="AU136" s="289"/>
      <c r="AV136" s="271"/>
      <c r="AW136" s="89"/>
      <c r="AX136" s="289"/>
      <c r="AY136" s="126"/>
      <c r="AZ136" s="90"/>
      <c r="BA136" s="91"/>
      <c r="BB136" s="89"/>
      <c r="BC136" s="96" t="e">
        <f>IF(OR(#REF!="",#REF!="")=TRUE,"",NETWORKDAYS.INTL(#REF!,#REF!))</f>
        <v>#REF!</v>
      </c>
      <c r="BD136" s="175"/>
    </row>
    <row r="137" spans="1:56" s="176" customFormat="1" ht="14.65" thickBot="1" x14ac:dyDescent="0.5">
      <c r="A137" s="13"/>
      <c r="B137" s="262"/>
      <c r="C137" s="303"/>
      <c r="D137" s="262"/>
      <c r="E137" s="262"/>
      <c r="F137" s="262"/>
      <c r="G137" s="262"/>
      <c r="H137" s="262"/>
      <c r="I137" s="262"/>
      <c r="J137" s="262"/>
      <c r="K137" s="262"/>
      <c r="L137" s="177"/>
      <c r="M137" s="263"/>
      <c r="N137" s="262"/>
      <c r="O137" s="262"/>
      <c r="P137" s="262"/>
      <c r="Q137" s="262"/>
      <c r="R137" s="262"/>
      <c r="S137" s="262"/>
      <c r="T137" s="262"/>
      <c r="U137" s="262"/>
      <c r="V137" s="262"/>
      <c r="W137" s="262"/>
      <c r="X137" s="103"/>
      <c r="Y137" s="104"/>
      <c r="Z137" s="104"/>
      <c r="AA137" s="103"/>
      <c r="AB137" s="104"/>
      <c r="AC137" s="104"/>
      <c r="AD137" s="105"/>
      <c r="AE137" s="106"/>
      <c r="AF137" s="104"/>
      <c r="AG137" s="98"/>
      <c r="AH137" s="98"/>
      <c r="AI137" s="103"/>
      <c r="AJ137" s="98"/>
      <c r="AK137" s="167"/>
      <c r="AL137" s="103"/>
      <c r="AM137" s="103"/>
      <c r="AN137" s="263"/>
      <c r="AO137" s="97"/>
      <c r="AP137" s="97"/>
      <c r="AQ137" s="219"/>
      <c r="AR137" s="97"/>
      <c r="AS137" s="103"/>
      <c r="AT137" s="97"/>
      <c r="AU137" s="290"/>
      <c r="AV137" s="272"/>
      <c r="AW137" s="99"/>
      <c r="AX137" s="290"/>
      <c r="AY137" s="127"/>
      <c r="AZ137" s="100"/>
      <c r="BA137" s="101"/>
      <c r="BB137" s="102"/>
      <c r="BC137" s="107" t="e">
        <f>IF(OR(#REF!="",#REF!="")=TRUE,"",NETWORKDAYS.INTL(#REF!,#REF!))</f>
        <v>#REF!</v>
      </c>
      <c r="BD137" s="175"/>
    </row>
    <row r="138" spans="1:56" s="176" customFormat="1" ht="14.65" thickBot="1" x14ac:dyDescent="0.5">
      <c r="A138" s="13"/>
      <c r="B138" s="262"/>
      <c r="C138" s="303"/>
      <c r="D138" s="262"/>
      <c r="E138" s="262"/>
      <c r="F138" s="262"/>
      <c r="G138" s="262"/>
      <c r="H138" s="262"/>
      <c r="I138" s="262"/>
      <c r="J138" s="262"/>
      <c r="K138" s="262"/>
      <c r="L138" s="177"/>
      <c r="M138" s="263"/>
      <c r="N138" s="262"/>
      <c r="O138" s="262"/>
      <c r="P138" s="262"/>
      <c r="Q138" s="262"/>
      <c r="R138" s="262"/>
      <c r="S138" s="262"/>
      <c r="T138" s="262"/>
      <c r="U138" s="262"/>
      <c r="V138" s="262"/>
      <c r="W138" s="262"/>
      <c r="X138" s="108"/>
      <c r="Y138" s="108"/>
      <c r="Z138" s="108"/>
      <c r="AA138" s="108"/>
      <c r="AB138" s="108"/>
      <c r="AC138" s="108"/>
      <c r="AD138" s="108"/>
      <c r="AE138" s="108"/>
      <c r="AF138" s="108"/>
      <c r="AG138" s="109"/>
      <c r="AH138" s="109"/>
      <c r="AI138" s="111"/>
      <c r="AJ138" s="109"/>
      <c r="AK138" s="110"/>
      <c r="AL138" s="111"/>
      <c r="AM138" s="111"/>
      <c r="AN138" s="263"/>
      <c r="AO138" s="108"/>
      <c r="AP138" s="108"/>
      <c r="AQ138" s="220"/>
      <c r="AR138" s="108"/>
      <c r="AS138" s="111"/>
      <c r="AT138" s="108"/>
      <c r="AU138" s="291"/>
      <c r="AV138" s="273"/>
      <c r="AW138" s="113"/>
      <c r="AX138" s="291"/>
      <c r="AY138" s="128"/>
      <c r="AZ138" s="112"/>
      <c r="BA138" s="114"/>
      <c r="BB138" s="108"/>
      <c r="BC138" s="115" t="e">
        <f>IF(OR(#REF!="",#REF!="")=TRUE,"",NETWORKDAYS.INTL(#REF!,#REF!))</f>
        <v>#REF!</v>
      </c>
      <c r="BD138" s="175"/>
    </row>
    <row r="139" spans="1:56" s="176" customFormat="1" ht="14.65" thickBot="1" x14ac:dyDescent="0.5">
      <c r="A139" s="12"/>
      <c r="B139" s="262"/>
      <c r="C139" s="303"/>
      <c r="D139" s="262"/>
      <c r="E139" s="262"/>
      <c r="F139" s="262"/>
      <c r="G139" s="262"/>
      <c r="H139" s="262"/>
      <c r="I139" s="262"/>
      <c r="J139" s="262"/>
      <c r="K139" s="262"/>
      <c r="L139" s="177"/>
      <c r="M139" s="263"/>
      <c r="N139" s="262"/>
      <c r="O139" s="262"/>
      <c r="P139" s="262"/>
      <c r="Q139" s="262"/>
      <c r="R139" s="262"/>
      <c r="S139" s="262"/>
      <c r="T139" s="262"/>
      <c r="U139" s="262"/>
      <c r="V139" s="262"/>
      <c r="W139" s="262"/>
      <c r="X139" s="116"/>
      <c r="Y139" s="116"/>
      <c r="Z139" s="116"/>
      <c r="AA139" s="116"/>
      <c r="AB139" s="116"/>
      <c r="AC139" s="116"/>
      <c r="AD139" s="116"/>
      <c r="AE139" s="116"/>
      <c r="AF139" s="116"/>
      <c r="AG139" s="117"/>
      <c r="AH139" s="117"/>
      <c r="AI139" s="119"/>
      <c r="AJ139" s="117"/>
      <c r="AK139" s="118"/>
      <c r="AL139" s="119"/>
      <c r="AM139" s="119"/>
      <c r="AN139" s="263"/>
      <c r="AO139" s="116"/>
      <c r="AP139" s="116"/>
      <c r="AQ139" s="221"/>
      <c r="AR139" s="116"/>
      <c r="AS139" s="119"/>
      <c r="AT139" s="116"/>
      <c r="AU139" s="212"/>
      <c r="AV139" s="274"/>
      <c r="AW139" s="116"/>
      <c r="AX139" s="212"/>
      <c r="AY139" s="121"/>
      <c r="AZ139" s="117"/>
      <c r="BA139" s="117"/>
      <c r="BB139" s="116"/>
      <c r="BC139" s="122" t="e">
        <f>IF(OR(#REF!="",#REF!="")=TRUE,"",NETWORKDAYS.INTL(#REF!,#REF!))</f>
        <v>#REF!</v>
      </c>
      <c r="BD139" s="175"/>
    </row>
    <row r="140" spans="1:56" s="176" customFormat="1" ht="14.65" thickBot="1" x14ac:dyDescent="0.5">
      <c r="A140" s="13"/>
      <c r="B140" s="262"/>
      <c r="C140" s="303"/>
      <c r="D140" s="262"/>
      <c r="E140" s="262"/>
      <c r="F140" s="262"/>
      <c r="G140" s="262"/>
      <c r="H140" s="262"/>
      <c r="I140" s="262"/>
      <c r="J140" s="262"/>
      <c r="K140" s="262"/>
      <c r="L140" s="177"/>
      <c r="M140" s="263"/>
      <c r="N140" s="262"/>
      <c r="O140" s="262"/>
      <c r="P140" s="262"/>
      <c r="Q140" s="262"/>
      <c r="R140" s="262"/>
      <c r="S140" s="262"/>
      <c r="T140" s="262"/>
      <c r="U140" s="262"/>
      <c r="V140" s="262"/>
      <c r="W140" s="262"/>
      <c r="X140" s="116"/>
      <c r="Y140" s="116"/>
      <c r="Z140" s="116"/>
      <c r="AA140" s="116"/>
      <c r="AB140" s="116"/>
      <c r="AC140" s="116"/>
      <c r="AD140" s="116"/>
      <c r="AE140" s="116"/>
      <c r="AF140" s="116"/>
      <c r="AG140" s="117"/>
      <c r="AH140" s="117"/>
      <c r="AI140" s="119"/>
      <c r="AJ140" s="117"/>
      <c r="AK140" s="118"/>
      <c r="AL140" s="119"/>
      <c r="AM140" s="119"/>
      <c r="AN140" s="263"/>
      <c r="AO140" s="116"/>
      <c r="AP140" s="116"/>
      <c r="AQ140" s="221"/>
      <c r="AR140" s="116"/>
      <c r="AS140" s="119"/>
      <c r="AT140" s="116"/>
      <c r="AU140" s="213"/>
      <c r="AV140" s="275"/>
      <c r="AW140" s="113"/>
      <c r="AX140" s="213"/>
      <c r="AY140" s="128"/>
      <c r="AZ140" s="117"/>
      <c r="BA140" s="120"/>
      <c r="BB140" s="116"/>
      <c r="BC140" s="122" t="e">
        <f>IF(OR(#REF!="",#REF!="")=TRUE,"",NETWORKDAYS.INTL(#REF!,#REF!))</f>
        <v>#REF!</v>
      </c>
      <c r="BD140" s="175"/>
    </row>
    <row r="141" spans="1:56" s="176" customFormat="1" ht="14.65" thickBot="1" x14ac:dyDescent="0.5">
      <c r="A141" s="13"/>
      <c r="B141" s="262"/>
      <c r="C141" s="303"/>
      <c r="D141" s="262"/>
      <c r="E141" s="262"/>
      <c r="F141" s="262"/>
      <c r="G141" s="262"/>
      <c r="H141" s="262"/>
      <c r="I141" s="262"/>
      <c r="J141" s="262"/>
      <c r="K141" s="262"/>
      <c r="L141" s="177"/>
      <c r="M141" s="263"/>
      <c r="N141" s="262"/>
      <c r="O141" s="262"/>
      <c r="P141" s="262"/>
      <c r="Q141" s="262"/>
      <c r="R141" s="262"/>
      <c r="S141" s="262"/>
      <c r="T141" s="262"/>
      <c r="U141" s="262"/>
      <c r="V141" s="262"/>
      <c r="W141" s="262"/>
      <c r="X141" s="116"/>
      <c r="Y141" s="116"/>
      <c r="Z141" s="116"/>
      <c r="AA141" s="116"/>
      <c r="AB141" s="116"/>
      <c r="AC141" s="116"/>
      <c r="AD141" s="116"/>
      <c r="AE141" s="116"/>
      <c r="AF141" s="116"/>
      <c r="AG141" s="117"/>
      <c r="AH141" s="117"/>
      <c r="AI141" s="119"/>
      <c r="AJ141" s="117"/>
      <c r="AK141" s="118"/>
      <c r="AL141" s="119"/>
      <c r="AM141" s="119"/>
      <c r="AN141" s="263"/>
      <c r="AO141" s="116"/>
      <c r="AP141" s="116"/>
      <c r="AQ141" s="221"/>
      <c r="AR141" s="116"/>
      <c r="AS141" s="119"/>
      <c r="AT141" s="116"/>
      <c r="AU141" s="213"/>
      <c r="AV141" s="275"/>
      <c r="AW141" s="113"/>
      <c r="AX141" s="213"/>
      <c r="AY141" s="128"/>
      <c r="AZ141" s="117"/>
      <c r="BA141" s="120"/>
      <c r="BB141" s="116"/>
      <c r="BC141" s="122" t="e">
        <f>IF(OR(#REF!="",#REF!="")=TRUE,"",NETWORKDAYS.INTL(#REF!,#REF!))</f>
        <v>#REF!</v>
      </c>
      <c r="BD141" s="175"/>
    </row>
    <row r="142" spans="1:56" s="176" customFormat="1" x14ac:dyDescent="0.45">
      <c r="A142" s="12"/>
      <c r="B142" s="262"/>
      <c r="C142" s="262"/>
      <c r="D142" s="262"/>
      <c r="E142" s="262"/>
      <c r="F142" s="262"/>
      <c r="G142" s="262"/>
      <c r="H142" s="262"/>
      <c r="I142" s="262"/>
      <c r="J142" s="262"/>
      <c r="K142" s="262"/>
      <c r="L142" s="177"/>
      <c r="M142" s="262"/>
      <c r="N142" s="262"/>
      <c r="O142" s="262"/>
      <c r="P142" s="262"/>
      <c r="Q142" s="262"/>
      <c r="R142" s="262"/>
      <c r="S142" s="262"/>
      <c r="T142" s="262"/>
      <c r="U142" s="262"/>
      <c r="V142" s="262"/>
      <c r="W142" s="262"/>
      <c r="X142" s="20"/>
      <c r="Y142" s="21"/>
      <c r="Z142" s="123"/>
      <c r="AA142" s="20"/>
      <c r="AB142" s="21"/>
      <c r="AC142" s="123"/>
      <c r="AD142" s="20"/>
      <c r="AE142" s="21"/>
      <c r="AF142" s="123"/>
      <c r="AG142" s="172"/>
      <c r="AH142" s="172"/>
      <c r="AI142" s="171"/>
      <c r="AJ142" s="172"/>
      <c r="AK142" s="184"/>
      <c r="AL142" s="171"/>
      <c r="AM142" s="177"/>
      <c r="AN142" s="189"/>
      <c r="AO142" s="20"/>
      <c r="AP142" s="170"/>
      <c r="AQ142" s="285"/>
      <c r="AR142" s="170"/>
      <c r="AS142" s="256"/>
      <c r="AT142" s="253"/>
      <c r="AU142" s="214"/>
      <c r="AV142" s="276"/>
      <c r="AW142" s="170"/>
      <c r="AX142" s="214"/>
      <c r="AY142" s="186"/>
      <c r="AZ142" s="172"/>
      <c r="BA142" s="172"/>
      <c r="BB142" s="175"/>
      <c r="BC142" s="49" t="e">
        <v>#REF!</v>
      </c>
      <c r="BD142" s="175"/>
    </row>
    <row r="143" spans="1:56" s="176" customFormat="1" x14ac:dyDescent="0.45">
      <c r="A143" s="13"/>
      <c r="B143" s="262"/>
      <c r="C143" s="262"/>
      <c r="D143" s="262"/>
      <c r="E143" s="262"/>
      <c r="F143" s="262"/>
      <c r="G143" s="262"/>
      <c r="H143" s="262"/>
      <c r="I143" s="262"/>
      <c r="J143" s="262"/>
      <c r="K143" s="262"/>
      <c r="L143" s="177"/>
      <c r="M143" s="262"/>
      <c r="N143" s="262"/>
      <c r="O143" s="262"/>
      <c r="P143" s="262"/>
      <c r="Q143" s="262"/>
      <c r="R143" s="262"/>
      <c r="S143" s="262"/>
      <c r="T143" s="262"/>
      <c r="U143" s="262"/>
      <c r="V143" s="262"/>
      <c r="W143" s="262"/>
      <c r="X143" s="20"/>
      <c r="Y143" s="20"/>
      <c r="Z143" s="182"/>
      <c r="AA143" s="175"/>
      <c r="AB143" s="175"/>
      <c r="AC143" s="182"/>
      <c r="AD143" s="175"/>
      <c r="AE143" s="175"/>
      <c r="AF143" s="182"/>
      <c r="AG143" s="179"/>
      <c r="AH143" s="179"/>
      <c r="AI143" s="171"/>
      <c r="AJ143" s="172"/>
      <c r="AK143" s="184"/>
      <c r="AL143" s="177"/>
      <c r="AM143" s="177"/>
      <c r="AN143" s="189"/>
      <c r="AO143" s="20"/>
      <c r="AP143" s="175"/>
      <c r="AQ143" s="307"/>
      <c r="AR143" s="170"/>
      <c r="AS143" s="256"/>
      <c r="AT143" s="253"/>
      <c r="AU143" s="214"/>
      <c r="AV143" s="268"/>
      <c r="AW143" s="175"/>
      <c r="AX143" s="214"/>
      <c r="AY143" s="173"/>
      <c r="AZ143" s="179"/>
      <c r="BA143" s="179"/>
      <c r="BB143" s="175"/>
      <c r="BC143" s="49"/>
      <c r="BD143" s="175"/>
    </row>
    <row r="144" spans="1:56" s="176" customFormat="1" x14ac:dyDescent="0.45">
      <c r="A144" s="13"/>
      <c r="B144" s="262"/>
      <c r="C144" s="262"/>
      <c r="D144" s="262"/>
      <c r="E144" s="262"/>
      <c r="F144" s="262"/>
      <c r="G144" s="262"/>
      <c r="H144" s="262"/>
      <c r="I144" s="262"/>
      <c r="J144" s="262"/>
      <c r="K144" s="262"/>
      <c r="L144" s="177"/>
      <c r="M144" s="262"/>
      <c r="N144" s="262"/>
      <c r="O144" s="262"/>
      <c r="P144" s="262"/>
      <c r="Q144" s="262"/>
      <c r="R144" s="262"/>
      <c r="S144" s="262"/>
      <c r="T144" s="262"/>
      <c r="U144" s="262"/>
      <c r="V144" s="262"/>
      <c r="W144" s="262"/>
      <c r="X144" s="175"/>
      <c r="Y144" s="175"/>
      <c r="Z144" s="182"/>
      <c r="AA144" s="175"/>
      <c r="AB144" s="175"/>
      <c r="AC144" s="182"/>
      <c r="AD144" s="175"/>
      <c r="AE144" s="175"/>
      <c r="AF144" s="182"/>
      <c r="AG144" s="179"/>
      <c r="AH144" s="179"/>
      <c r="AI144" s="171"/>
      <c r="AJ144" s="172"/>
      <c r="AK144" s="184"/>
      <c r="AL144" s="177"/>
      <c r="AM144" s="177"/>
      <c r="AN144" s="189"/>
      <c r="AO144" s="175"/>
      <c r="AP144" s="175"/>
      <c r="AQ144" s="307"/>
      <c r="AR144" s="170"/>
      <c r="AS144" s="256"/>
      <c r="AT144" s="253"/>
      <c r="AU144" s="214"/>
      <c r="AV144" s="268"/>
      <c r="AW144" s="175"/>
      <c r="AX144" s="214"/>
      <c r="AY144" s="173"/>
      <c r="AZ144" s="179"/>
      <c r="BA144" s="179"/>
      <c r="BB144" s="175"/>
      <c r="BC144" s="49"/>
      <c r="BD144" s="175"/>
    </row>
    <row r="145" spans="1:56" s="176" customFormat="1" x14ac:dyDescent="0.45">
      <c r="A145" s="12"/>
      <c r="B145" s="262"/>
      <c r="C145" s="262"/>
      <c r="D145" s="262"/>
      <c r="E145" s="262"/>
      <c r="F145" s="262"/>
      <c r="G145" s="262"/>
      <c r="H145" s="262"/>
      <c r="I145" s="262"/>
      <c r="J145" s="262"/>
      <c r="K145" s="262"/>
      <c r="L145" s="177"/>
      <c r="M145" s="262"/>
      <c r="N145" s="262"/>
      <c r="O145" s="262"/>
      <c r="P145" s="262"/>
      <c r="Q145" s="262"/>
      <c r="R145" s="262"/>
      <c r="S145" s="262"/>
      <c r="T145" s="262"/>
      <c r="U145" s="262"/>
      <c r="V145" s="262"/>
      <c r="W145" s="262"/>
      <c r="X145" s="20"/>
      <c r="Y145" s="20"/>
      <c r="Z145" s="182"/>
      <c r="AA145" s="20"/>
      <c r="AB145" s="20"/>
      <c r="AC145" s="182"/>
      <c r="AD145" s="20"/>
      <c r="AE145" s="20"/>
      <c r="AF145" s="182"/>
      <c r="AG145" s="179"/>
      <c r="AH145" s="179"/>
      <c r="AI145" s="171"/>
      <c r="AJ145" s="179"/>
      <c r="AK145" s="184"/>
      <c r="AL145" s="177"/>
      <c r="AM145" s="177"/>
      <c r="AN145" s="189"/>
      <c r="AO145" s="20"/>
      <c r="AP145" s="175"/>
      <c r="AQ145" s="307"/>
      <c r="AR145" s="170"/>
      <c r="AS145" s="256"/>
      <c r="AT145" s="253"/>
      <c r="AU145" s="214"/>
      <c r="AV145" s="268"/>
      <c r="AW145" s="175"/>
      <c r="AX145" s="214"/>
      <c r="AY145" s="173"/>
      <c r="AZ145" s="179"/>
      <c r="BA145" s="179"/>
      <c r="BB145" s="175"/>
      <c r="BC145" s="49"/>
      <c r="BD145" s="175"/>
    </row>
    <row r="146" spans="1:56" s="176" customFormat="1" x14ac:dyDescent="0.45">
      <c r="A146" s="13"/>
      <c r="B146" s="262"/>
      <c r="C146" s="262"/>
      <c r="D146" s="262"/>
      <c r="E146" s="262"/>
      <c r="F146" s="262"/>
      <c r="G146" s="262"/>
      <c r="H146" s="262"/>
      <c r="I146" s="262"/>
      <c r="J146" s="262"/>
      <c r="K146" s="262"/>
      <c r="L146" s="177"/>
      <c r="M146" s="262"/>
      <c r="N146" s="262"/>
      <c r="O146" s="262"/>
      <c r="P146" s="262"/>
      <c r="Q146" s="262"/>
      <c r="R146" s="262"/>
      <c r="S146" s="262"/>
      <c r="T146" s="262"/>
      <c r="U146" s="262"/>
      <c r="V146" s="262"/>
      <c r="W146" s="262"/>
      <c r="X146" s="20"/>
      <c r="Y146" s="20"/>
      <c r="Z146" s="182"/>
      <c r="AA146" s="20"/>
      <c r="AB146" s="20"/>
      <c r="AC146" s="182"/>
      <c r="AD146" s="20"/>
      <c r="AE146" s="20"/>
      <c r="AF146" s="182"/>
      <c r="AG146" s="179"/>
      <c r="AH146" s="179"/>
      <c r="AI146" s="171"/>
      <c r="AJ146" s="179"/>
      <c r="AK146" s="183"/>
      <c r="AL146" s="177"/>
      <c r="AM146" s="177"/>
      <c r="AN146" s="189"/>
      <c r="AO146" s="175"/>
      <c r="AP146" s="175"/>
      <c r="AQ146" s="307"/>
      <c r="AR146" s="170"/>
      <c r="AS146" s="256"/>
      <c r="AT146" s="253"/>
      <c r="AU146" s="214"/>
      <c r="AV146" s="268"/>
      <c r="AW146" s="175"/>
      <c r="AX146" s="214"/>
      <c r="AY146" s="173"/>
      <c r="AZ146" s="179"/>
      <c r="BA146" s="179"/>
      <c r="BB146" s="175"/>
      <c r="BC146" s="49"/>
      <c r="BD146" s="175"/>
    </row>
    <row r="147" spans="1:56" s="176" customFormat="1" x14ac:dyDescent="0.45">
      <c r="A147" s="13"/>
      <c r="B147" s="262"/>
      <c r="C147" s="262"/>
      <c r="D147" s="262"/>
      <c r="E147" s="262"/>
      <c r="F147" s="262"/>
      <c r="G147" s="262"/>
      <c r="H147" s="262"/>
      <c r="I147" s="262"/>
      <c r="J147" s="262"/>
      <c r="K147" s="262"/>
      <c r="L147" s="177"/>
      <c r="M147" s="262"/>
      <c r="N147" s="262"/>
      <c r="O147" s="262"/>
      <c r="P147" s="262"/>
      <c r="Q147" s="262"/>
      <c r="R147" s="262"/>
      <c r="S147" s="262"/>
      <c r="T147" s="262"/>
      <c r="U147" s="262"/>
      <c r="V147" s="262"/>
      <c r="W147" s="262"/>
      <c r="X147" s="20"/>
      <c r="Y147" s="20"/>
      <c r="Z147" s="188"/>
      <c r="AA147" s="20"/>
      <c r="AB147" s="20"/>
      <c r="AC147" s="188"/>
      <c r="AD147" s="20"/>
      <c r="AE147" s="20"/>
      <c r="AF147" s="188"/>
      <c r="AG147" s="179"/>
      <c r="AH147" s="179"/>
      <c r="AI147" s="171"/>
      <c r="AJ147" s="179"/>
      <c r="AK147" s="183"/>
      <c r="AL147" s="177"/>
      <c r="AM147" s="177"/>
      <c r="AN147" s="189"/>
      <c r="AO147" s="175"/>
      <c r="AP147" s="175"/>
      <c r="AQ147" s="307"/>
      <c r="AR147" s="170"/>
      <c r="AS147" s="256"/>
      <c r="AT147" s="253"/>
      <c r="AU147" s="214"/>
      <c r="AV147" s="268"/>
      <c r="AW147" s="175"/>
      <c r="AX147" s="214"/>
      <c r="AY147" s="173"/>
      <c r="AZ147" s="179"/>
      <c r="BA147" s="179"/>
      <c r="BB147" s="175"/>
      <c r="BC147" s="49"/>
      <c r="BD147" s="175"/>
    </row>
    <row r="148" spans="1:56" s="176" customFormat="1" x14ac:dyDescent="0.45">
      <c r="A148" s="12"/>
      <c r="B148" s="262"/>
      <c r="C148" s="262"/>
      <c r="D148" s="262"/>
      <c r="E148" s="262"/>
      <c r="F148" s="262"/>
      <c r="G148" s="262"/>
      <c r="H148" s="262"/>
      <c r="I148" s="262"/>
      <c r="J148" s="262"/>
      <c r="K148" s="262"/>
      <c r="L148" s="177"/>
      <c r="M148" s="262"/>
      <c r="N148" s="262"/>
      <c r="O148" s="262"/>
      <c r="P148" s="262"/>
      <c r="Q148" s="262"/>
      <c r="R148" s="262"/>
      <c r="S148" s="262"/>
      <c r="T148" s="262"/>
      <c r="U148" s="262"/>
      <c r="V148" s="262"/>
      <c r="W148" s="262"/>
      <c r="X148" s="190"/>
      <c r="Y148" s="191"/>
      <c r="Z148" s="125"/>
      <c r="AA148" s="190"/>
      <c r="AB148" s="191"/>
      <c r="AC148" s="125"/>
      <c r="AD148" s="190"/>
      <c r="AE148" s="191"/>
      <c r="AF148" s="125"/>
      <c r="AG148" s="172"/>
      <c r="AH148" s="172"/>
      <c r="AI148" s="171"/>
      <c r="AJ148" s="172"/>
      <c r="AK148" s="186"/>
      <c r="AL148" s="172"/>
      <c r="AM148" s="170"/>
      <c r="AN148" s="189"/>
      <c r="AO148" s="170"/>
      <c r="AP148" s="170"/>
      <c r="AQ148" s="285"/>
      <c r="AR148" s="170"/>
      <c r="AS148" s="171"/>
      <c r="AT148" s="170"/>
      <c r="AU148" s="214"/>
      <c r="AV148" s="276"/>
      <c r="AW148" s="170"/>
      <c r="AX148" s="214"/>
      <c r="AY148" s="186"/>
      <c r="AZ148" s="172"/>
      <c r="BA148" s="172"/>
      <c r="BB148" s="170"/>
      <c r="BC148" s="49" t="e">
        <f>IF(OR(#REF!="",#REF!="")=TRUE,"",NETWORKDAYS.INTL(#REF!,#REF!))</f>
        <v>#REF!</v>
      </c>
      <c r="BD148" s="175"/>
    </row>
    <row r="149" spans="1:56" s="176" customFormat="1" x14ac:dyDescent="0.45">
      <c r="A149" s="13"/>
      <c r="B149" s="262"/>
      <c r="C149" s="262"/>
      <c r="D149" s="262"/>
      <c r="E149" s="262"/>
      <c r="F149" s="262"/>
      <c r="G149" s="262"/>
      <c r="H149" s="262"/>
      <c r="I149" s="262"/>
      <c r="J149" s="262"/>
      <c r="K149" s="262"/>
      <c r="L149" s="177"/>
      <c r="M149" s="262"/>
      <c r="N149" s="262"/>
      <c r="O149" s="262"/>
      <c r="P149" s="262"/>
      <c r="Q149" s="262"/>
      <c r="R149" s="262"/>
      <c r="S149" s="262"/>
      <c r="T149" s="262"/>
      <c r="U149" s="262"/>
      <c r="V149" s="262"/>
      <c r="W149" s="262"/>
      <c r="X149" s="190"/>
      <c r="Y149" s="191"/>
      <c r="Z149" s="125"/>
      <c r="AA149" s="175"/>
      <c r="AB149" s="175"/>
      <c r="AC149" s="178"/>
      <c r="AD149" s="20"/>
      <c r="AE149" s="20"/>
      <c r="AF149" s="178"/>
      <c r="AG149" s="172"/>
      <c r="AH149" s="172"/>
      <c r="AI149" s="170"/>
      <c r="AJ149" s="172"/>
      <c r="AK149" s="186"/>
      <c r="AL149" s="172"/>
      <c r="AM149" s="170"/>
      <c r="AN149" s="189"/>
      <c r="AO149" s="170"/>
      <c r="AP149" s="170"/>
      <c r="AQ149" s="307"/>
      <c r="AR149" s="170"/>
      <c r="AS149" s="171"/>
      <c r="AT149" s="253"/>
      <c r="AU149" s="214"/>
      <c r="AV149" s="268"/>
      <c r="AW149" s="170"/>
      <c r="AX149" s="214"/>
      <c r="AY149" s="186"/>
      <c r="AZ149" s="172"/>
      <c r="BA149" s="172"/>
      <c r="BB149" s="170"/>
      <c r="BC149" s="49" t="e">
        <f>IF(OR(#REF!="",#REF!="")=TRUE,"",NETWORKDAYS.INTL(#REF!,#REF!))</f>
        <v>#REF!</v>
      </c>
      <c r="BD149" s="175"/>
    </row>
    <row r="150" spans="1:56" s="176" customFormat="1" x14ac:dyDescent="0.45">
      <c r="A150" s="13"/>
      <c r="B150" s="262"/>
      <c r="C150" s="262"/>
      <c r="D150" s="262"/>
      <c r="E150" s="262"/>
      <c r="F150" s="262"/>
      <c r="G150" s="262"/>
      <c r="H150" s="262"/>
      <c r="I150" s="262"/>
      <c r="J150" s="262"/>
      <c r="K150" s="262"/>
      <c r="L150" s="177"/>
      <c r="M150" s="262"/>
      <c r="N150" s="262"/>
      <c r="O150" s="262"/>
      <c r="P150" s="262"/>
      <c r="Q150" s="262"/>
      <c r="R150" s="262"/>
      <c r="S150" s="262"/>
      <c r="T150" s="262"/>
      <c r="U150" s="262"/>
      <c r="V150" s="262"/>
      <c r="W150" s="262"/>
      <c r="X150" s="190"/>
      <c r="Y150" s="190"/>
      <c r="Z150" s="178"/>
      <c r="AA150" s="177"/>
      <c r="AB150" s="177"/>
      <c r="AC150" s="192"/>
      <c r="AD150" s="190"/>
      <c r="AE150" s="190"/>
      <c r="AF150" s="178"/>
      <c r="AG150" s="172"/>
      <c r="AH150" s="172"/>
      <c r="AI150" s="177"/>
      <c r="AJ150" s="172"/>
      <c r="AK150" s="186"/>
      <c r="AL150" s="172"/>
      <c r="AM150" s="170"/>
      <c r="AN150" s="189"/>
      <c r="AO150" s="175"/>
      <c r="AP150" s="175"/>
      <c r="AQ150" s="307"/>
      <c r="AR150" s="170"/>
      <c r="AS150" s="171"/>
      <c r="AT150" s="181"/>
      <c r="AU150" s="214"/>
      <c r="AV150" s="268"/>
      <c r="AW150" s="170"/>
      <c r="AX150" s="214"/>
      <c r="AY150" s="186"/>
      <c r="AZ150" s="172"/>
      <c r="BA150" s="172"/>
      <c r="BB150" s="170"/>
      <c r="BC150" s="49" t="e">
        <f>IF(OR(#REF!="",#REF!="")=TRUE,"",NETWORKDAYS.INTL(#REF!,#REF!))</f>
        <v>#REF!</v>
      </c>
      <c r="BD150" s="175"/>
    </row>
    <row r="151" spans="1:56" s="176" customFormat="1" x14ac:dyDescent="0.45">
      <c r="A151" s="12"/>
      <c r="B151" s="262"/>
      <c r="C151" s="262"/>
      <c r="D151" s="262"/>
      <c r="E151" s="262"/>
      <c r="F151" s="262"/>
      <c r="G151" s="262"/>
      <c r="H151" s="262"/>
      <c r="I151" s="262"/>
      <c r="J151" s="262"/>
      <c r="K151" s="262"/>
      <c r="L151" s="177"/>
      <c r="M151" s="262"/>
      <c r="N151" s="262"/>
      <c r="O151" s="262"/>
      <c r="P151" s="262"/>
      <c r="Q151" s="262"/>
      <c r="R151" s="262"/>
      <c r="S151" s="262"/>
      <c r="T151" s="262"/>
      <c r="U151" s="262"/>
      <c r="V151" s="262"/>
      <c r="W151" s="262"/>
      <c r="X151" s="190"/>
      <c r="Y151" s="190"/>
      <c r="Z151" s="182"/>
      <c r="AA151" s="175"/>
      <c r="AB151" s="175"/>
      <c r="AC151" s="182"/>
      <c r="AD151" s="175"/>
      <c r="AE151" s="175"/>
      <c r="AF151" s="182"/>
      <c r="AG151" s="179"/>
      <c r="AH151" s="179"/>
      <c r="AI151" s="177"/>
      <c r="AJ151" s="179"/>
      <c r="AK151" s="186"/>
      <c r="AL151" s="172"/>
      <c r="AM151" s="170"/>
      <c r="AN151" s="263"/>
      <c r="AO151" s="175"/>
      <c r="AP151" s="175"/>
      <c r="AQ151" s="307"/>
      <c r="AR151" s="170"/>
      <c r="AS151" s="171"/>
      <c r="AT151" s="185"/>
      <c r="AU151" s="214"/>
      <c r="AV151" s="268"/>
      <c r="AW151" s="170"/>
      <c r="AX151" s="210"/>
      <c r="AY151" s="186"/>
      <c r="AZ151" s="179"/>
      <c r="BA151" s="179"/>
      <c r="BB151" s="170"/>
      <c r="BC151" s="49" t="e">
        <f>IF(OR(#REF!="",#REF!="")=TRUE,"",NETWORKDAYS.INTL(#REF!,#REF!))</f>
        <v>#REF!</v>
      </c>
      <c r="BD151" s="175"/>
    </row>
    <row r="152" spans="1:56" s="176" customFormat="1" x14ac:dyDescent="0.45">
      <c r="A152" s="13"/>
      <c r="B152" s="262"/>
      <c r="C152" s="262"/>
      <c r="D152" s="262"/>
      <c r="E152" s="262"/>
      <c r="F152" s="262"/>
      <c r="G152" s="262"/>
      <c r="H152" s="262"/>
      <c r="I152" s="262"/>
      <c r="J152" s="262"/>
      <c r="K152" s="262"/>
      <c r="L152" s="177"/>
      <c r="M152" s="262"/>
      <c r="N152" s="262"/>
      <c r="O152" s="262"/>
      <c r="P152" s="262"/>
      <c r="Q152" s="262"/>
      <c r="R152" s="262"/>
      <c r="S152" s="262"/>
      <c r="T152" s="262"/>
      <c r="U152" s="262"/>
      <c r="V152" s="262"/>
      <c r="W152" s="262"/>
      <c r="X152" s="175"/>
      <c r="Y152" s="175"/>
      <c r="Z152" s="188"/>
      <c r="AA152" s="175"/>
      <c r="AB152" s="175"/>
      <c r="AC152" s="188"/>
      <c r="AD152" s="175"/>
      <c r="AE152" s="175"/>
      <c r="AF152" s="188"/>
      <c r="AG152" s="179"/>
      <c r="AH152" s="179"/>
      <c r="AI152" s="177"/>
      <c r="AJ152" s="179"/>
      <c r="AK152" s="186"/>
      <c r="AL152" s="172"/>
      <c r="AM152" s="170"/>
      <c r="AN152" s="263"/>
      <c r="AO152" s="175"/>
      <c r="AP152" s="175"/>
      <c r="AQ152" s="307"/>
      <c r="AR152" s="170"/>
      <c r="AS152" s="171"/>
      <c r="AT152" s="187"/>
      <c r="AU152" s="214"/>
      <c r="AV152" s="268"/>
      <c r="AW152" s="170"/>
      <c r="AX152" s="210"/>
      <c r="AY152" s="186"/>
      <c r="AZ152" s="179"/>
      <c r="BA152" s="179"/>
      <c r="BB152" s="170"/>
      <c r="BC152" s="49" t="e">
        <f>IF(OR(#REF!="",#REF!="")=TRUE,"",NETWORKDAYS.INTL(#REF!,#REF!))</f>
        <v>#REF!</v>
      </c>
      <c r="BD152" s="175"/>
    </row>
    <row r="153" spans="1:56" s="176" customFormat="1" x14ac:dyDescent="0.45">
      <c r="A153" s="13"/>
      <c r="B153" s="262"/>
      <c r="C153" s="262"/>
      <c r="D153" s="262"/>
      <c r="E153" s="262"/>
      <c r="F153" s="262"/>
      <c r="G153" s="262"/>
      <c r="H153" s="262"/>
      <c r="I153" s="262"/>
      <c r="J153" s="262"/>
      <c r="K153" s="262"/>
      <c r="L153" s="177"/>
      <c r="M153" s="262"/>
      <c r="N153" s="262"/>
      <c r="O153" s="262"/>
      <c r="P153" s="262"/>
      <c r="Q153" s="262"/>
      <c r="R153" s="262"/>
      <c r="S153" s="262"/>
      <c r="T153" s="262"/>
      <c r="U153" s="262"/>
      <c r="V153" s="262"/>
      <c r="W153" s="262"/>
      <c r="X153" s="175"/>
      <c r="Y153" s="175"/>
      <c r="Z153" s="188"/>
      <c r="AA153" s="175"/>
      <c r="AB153" s="175"/>
      <c r="AC153" s="188"/>
      <c r="AD153" s="175"/>
      <c r="AE153" s="175"/>
      <c r="AF153" s="188"/>
      <c r="AG153" s="179"/>
      <c r="AH153" s="179"/>
      <c r="AI153" s="177"/>
      <c r="AJ153" s="179"/>
      <c r="AK153" s="186"/>
      <c r="AL153" s="172"/>
      <c r="AM153" s="170"/>
      <c r="AN153" s="263"/>
      <c r="AO153" s="175"/>
      <c r="AP153" s="175"/>
      <c r="AQ153" s="307"/>
      <c r="AR153" s="170"/>
      <c r="AS153" s="171"/>
      <c r="AT153" s="187"/>
      <c r="AU153" s="214"/>
      <c r="AV153" s="268"/>
      <c r="AW153" s="170"/>
      <c r="AX153" s="210"/>
      <c r="AY153" s="186"/>
      <c r="AZ153" s="179"/>
      <c r="BA153" s="179"/>
      <c r="BB153" s="170"/>
      <c r="BC153" s="49" t="e">
        <f>IF(OR(#REF!="",#REF!="")=TRUE,"",NETWORKDAYS.INTL(#REF!,#REF!))</f>
        <v>#REF!</v>
      </c>
      <c r="BD153" s="175"/>
    </row>
    <row r="154" spans="1:56" s="176" customFormat="1" x14ac:dyDescent="0.45">
      <c r="A154" s="12"/>
      <c r="B154" s="262"/>
      <c r="C154" s="262"/>
      <c r="D154" s="262"/>
      <c r="E154" s="262"/>
      <c r="F154" s="262"/>
      <c r="G154" s="262"/>
      <c r="H154" s="262"/>
      <c r="I154" s="262"/>
      <c r="J154" s="262"/>
      <c r="K154" s="262"/>
      <c r="L154" s="177"/>
      <c r="M154" s="262"/>
      <c r="N154" s="262"/>
      <c r="O154" s="262"/>
      <c r="P154" s="262"/>
      <c r="Q154" s="262"/>
      <c r="R154" s="262"/>
      <c r="S154" s="262"/>
      <c r="T154" s="262"/>
      <c r="U154" s="262"/>
      <c r="V154" s="262"/>
      <c r="W154" s="262"/>
      <c r="X154" s="175"/>
      <c r="Y154" s="175"/>
      <c r="Z154" s="188"/>
      <c r="AA154" s="175"/>
      <c r="AB154" s="175"/>
      <c r="AC154" s="188"/>
      <c r="AD154" s="175"/>
      <c r="AE154" s="175"/>
      <c r="AF154" s="188"/>
      <c r="AG154" s="179"/>
      <c r="AH154" s="179"/>
      <c r="AI154" s="177"/>
      <c r="AJ154" s="179"/>
      <c r="AK154" s="186"/>
      <c r="AL154" s="172"/>
      <c r="AM154" s="170"/>
      <c r="AN154" s="263"/>
      <c r="AO154" s="175"/>
      <c r="AP154" s="175"/>
      <c r="AQ154" s="307"/>
      <c r="AR154" s="170"/>
      <c r="AS154" s="171"/>
      <c r="AT154" s="171"/>
      <c r="AU154" s="214"/>
      <c r="AV154" s="268"/>
      <c r="AW154" s="170"/>
      <c r="AX154" s="210"/>
      <c r="AY154" s="186"/>
      <c r="AZ154" s="179"/>
      <c r="BA154" s="179"/>
      <c r="BB154" s="170"/>
      <c r="BC154" s="49" t="e">
        <f>IF(OR(#REF!="",#REF!="")=TRUE,"",NETWORKDAYS.INTL(#REF!,#REF!))</f>
        <v>#REF!</v>
      </c>
      <c r="BD154" s="175"/>
    </row>
    <row r="155" spans="1:56" s="176" customFormat="1" x14ac:dyDescent="0.45">
      <c r="A155" s="13"/>
      <c r="B155" s="262"/>
      <c r="C155" s="262"/>
      <c r="D155" s="262"/>
      <c r="E155" s="262"/>
      <c r="F155" s="262"/>
      <c r="G155" s="262"/>
      <c r="H155" s="262"/>
      <c r="I155" s="262"/>
      <c r="J155" s="262"/>
      <c r="K155" s="262"/>
      <c r="L155" s="177"/>
      <c r="M155" s="262"/>
      <c r="N155" s="262"/>
      <c r="O155" s="262"/>
      <c r="P155" s="262"/>
      <c r="Q155" s="262"/>
      <c r="R155" s="262"/>
      <c r="S155" s="262"/>
      <c r="T155" s="262"/>
      <c r="U155" s="262"/>
      <c r="V155" s="262"/>
      <c r="W155" s="262"/>
      <c r="X155" s="175"/>
      <c r="Y155" s="175"/>
      <c r="Z155" s="188"/>
      <c r="AA155" s="175"/>
      <c r="AB155" s="175"/>
      <c r="AC155" s="175"/>
      <c r="AD155" s="175"/>
      <c r="AE155" s="175"/>
      <c r="AF155" s="188"/>
      <c r="AG155" s="179"/>
      <c r="AH155" s="179"/>
      <c r="AI155" s="175"/>
      <c r="AJ155" s="179"/>
      <c r="AK155" s="186"/>
      <c r="AL155" s="172"/>
      <c r="AM155" s="175"/>
      <c r="AN155" s="263"/>
      <c r="AO155" s="175"/>
      <c r="AP155" s="175"/>
      <c r="AQ155" s="307"/>
      <c r="AR155" s="170"/>
      <c r="AS155" s="171"/>
      <c r="AT155" s="171"/>
      <c r="AU155" s="214"/>
      <c r="AV155" s="268"/>
      <c r="AW155" s="170"/>
      <c r="AX155" s="210"/>
      <c r="AY155" s="186"/>
      <c r="AZ155" s="179"/>
      <c r="BA155" s="179"/>
      <c r="BB155" s="170"/>
      <c r="BC155" s="49" t="e">
        <f>IF(OR(#REF!="",#REF!="")=TRUE,"",NETWORKDAYS.INTL(#REF!,#REF!))</f>
        <v>#REF!</v>
      </c>
      <c r="BD155" s="175"/>
    </row>
    <row r="156" spans="1:56" s="176" customFormat="1" x14ac:dyDescent="0.45">
      <c r="A156" s="13"/>
      <c r="B156" s="262"/>
      <c r="C156" s="262"/>
      <c r="D156" s="262"/>
      <c r="E156" s="262"/>
      <c r="F156" s="262"/>
      <c r="G156" s="262"/>
      <c r="H156" s="262"/>
      <c r="I156" s="262"/>
      <c r="J156" s="262"/>
      <c r="K156" s="262"/>
      <c r="L156" s="177"/>
      <c r="M156" s="262"/>
      <c r="N156" s="262"/>
      <c r="O156" s="262"/>
      <c r="P156" s="262"/>
      <c r="Q156" s="262"/>
      <c r="R156" s="262"/>
      <c r="S156" s="262"/>
      <c r="T156" s="262"/>
      <c r="U156" s="262"/>
      <c r="V156" s="262"/>
      <c r="W156" s="262"/>
      <c r="X156" s="175"/>
      <c r="Y156" s="175"/>
      <c r="Z156" s="182"/>
      <c r="AA156" s="175"/>
      <c r="AB156" s="175"/>
      <c r="AC156" s="175"/>
      <c r="AD156" s="175"/>
      <c r="AE156" s="175"/>
      <c r="AF156" s="175"/>
      <c r="AG156" s="179"/>
      <c r="AH156" s="179"/>
      <c r="AI156" s="175"/>
      <c r="AJ156" s="179"/>
      <c r="AK156" s="173"/>
      <c r="AL156" s="172"/>
      <c r="AM156" s="175"/>
      <c r="AN156" s="263"/>
      <c r="AO156" s="175"/>
      <c r="AP156" s="175"/>
      <c r="AQ156" s="307"/>
      <c r="AR156" s="170"/>
      <c r="AS156" s="171"/>
      <c r="AT156" s="171"/>
      <c r="AU156" s="214"/>
      <c r="AV156" s="268"/>
      <c r="AW156" s="170"/>
      <c r="AX156" s="210"/>
      <c r="AY156" s="173"/>
      <c r="AZ156" s="179"/>
      <c r="BA156" s="179"/>
      <c r="BB156" s="170"/>
      <c r="BC156" s="49" t="e">
        <f>IF(OR(#REF!="",#REF!="")=TRUE,"",NETWORKDAYS.INTL(#REF!,#REF!))</f>
        <v>#REF!</v>
      </c>
      <c r="BD156" s="175"/>
    </row>
    <row r="157" spans="1:56" s="176" customFormat="1" x14ac:dyDescent="0.45">
      <c r="A157" s="12"/>
      <c r="B157" s="262"/>
      <c r="C157" s="262"/>
      <c r="D157" s="262"/>
      <c r="E157" s="262"/>
      <c r="F157" s="262"/>
      <c r="G157" s="262"/>
      <c r="H157" s="262"/>
      <c r="I157" s="262"/>
      <c r="J157" s="262"/>
      <c r="K157" s="262"/>
      <c r="L157" s="177"/>
      <c r="M157" s="262"/>
      <c r="N157" s="262"/>
      <c r="O157" s="262"/>
      <c r="P157" s="262"/>
      <c r="Q157" s="262"/>
      <c r="R157" s="262"/>
      <c r="S157" s="262"/>
      <c r="T157" s="262"/>
      <c r="U157" s="262"/>
      <c r="V157" s="262"/>
      <c r="W157" s="262"/>
      <c r="X157" s="190"/>
      <c r="Y157" s="190"/>
      <c r="Z157" s="178"/>
      <c r="AA157" s="177"/>
      <c r="AB157" s="177"/>
      <c r="AC157" s="192"/>
      <c r="AD157" s="190"/>
      <c r="AE157" s="190"/>
      <c r="AF157" s="178"/>
      <c r="AG157" s="179"/>
      <c r="AH157" s="179"/>
      <c r="AI157" s="175"/>
      <c r="AJ157" s="179"/>
      <c r="AK157" s="183"/>
      <c r="AL157" s="172"/>
      <c r="AM157" s="186"/>
      <c r="AN157" s="263"/>
      <c r="AO157" s="175"/>
      <c r="AP157" s="175"/>
      <c r="AQ157" s="307"/>
      <c r="AR157" s="170"/>
      <c r="AS157" s="171"/>
      <c r="AT157" s="170"/>
      <c r="AU157" s="214"/>
      <c r="AV157" s="268"/>
      <c r="AW157" s="170"/>
      <c r="AX157" s="210"/>
      <c r="AY157" s="186"/>
      <c r="AZ157" s="179"/>
      <c r="BA157" s="179"/>
      <c r="BB157" s="170"/>
      <c r="BC157" s="49" t="e">
        <f>IF(OR(#REF!="",#REF!="")=TRUE,"",NETWORKDAYS.INTL(#REF!,#REF!))</f>
        <v>#REF!</v>
      </c>
      <c r="BD157" s="175"/>
    </row>
    <row r="158" spans="1:56" s="176" customFormat="1" x14ac:dyDescent="0.45">
      <c r="A158" s="13"/>
      <c r="B158" s="262"/>
      <c r="C158" s="262"/>
      <c r="D158" s="262"/>
      <c r="E158" s="262"/>
      <c r="F158" s="262"/>
      <c r="G158" s="262"/>
      <c r="H158" s="262"/>
      <c r="I158" s="262"/>
      <c r="J158" s="262"/>
      <c r="K158" s="262"/>
      <c r="L158" s="177"/>
      <c r="M158" s="262"/>
      <c r="N158" s="262"/>
      <c r="O158" s="262"/>
      <c r="P158" s="262"/>
      <c r="Q158" s="262"/>
      <c r="R158" s="262"/>
      <c r="S158" s="262"/>
      <c r="T158" s="262"/>
      <c r="U158" s="262"/>
      <c r="V158" s="262"/>
      <c r="W158" s="262"/>
      <c r="X158" s="175"/>
      <c r="Y158" s="175"/>
      <c r="Z158" s="175"/>
      <c r="AA158" s="175"/>
      <c r="AB158" s="175"/>
      <c r="AC158" s="175"/>
      <c r="AD158" s="175"/>
      <c r="AE158" s="175"/>
      <c r="AF158" s="175"/>
      <c r="AG158" s="179"/>
      <c r="AH158" s="179"/>
      <c r="AI158" s="175"/>
      <c r="AJ158" s="179"/>
      <c r="AK158" s="186"/>
      <c r="AL158" s="172"/>
      <c r="AM158" s="170"/>
      <c r="AN158" s="263"/>
      <c r="AO158" s="175"/>
      <c r="AP158" s="175"/>
      <c r="AQ158" s="307"/>
      <c r="AR158" s="170"/>
      <c r="AS158" s="256"/>
      <c r="AT158" s="253"/>
      <c r="AU158" s="214"/>
      <c r="AV158" s="268"/>
      <c r="AW158" s="170"/>
      <c r="AX158" s="210"/>
      <c r="AY158" s="186"/>
      <c r="AZ158" s="179"/>
      <c r="BA158" s="179"/>
      <c r="BB158" s="170"/>
      <c r="BC158" s="49" t="e">
        <f>IF(OR(#REF!="",#REF!="")=TRUE,"",NETWORKDAYS.INTL(#REF!,#REF!))</f>
        <v>#REF!</v>
      </c>
      <c r="BD158" s="175"/>
    </row>
    <row r="159" spans="1:56" s="176" customFormat="1" x14ac:dyDescent="0.45">
      <c r="A159" s="13"/>
      <c r="B159" s="262"/>
      <c r="C159" s="262"/>
      <c r="D159" s="262"/>
      <c r="E159" s="262"/>
      <c r="F159" s="262"/>
      <c r="G159" s="262"/>
      <c r="H159" s="262"/>
      <c r="I159" s="262"/>
      <c r="J159" s="262"/>
      <c r="K159" s="262"/>
      <c r="L159" s="177"/>
      <c r="M159" s="262"/>
      <c r="N159" s="262"/>
      <c r="O159" s="262"/>
      <c r="P159" s="262"/>
      <c r="Q159" s="262"/>
      <c r="R159" s="262"/>
      <c r="S159" s="262"/>
      <c r="T159" s="262"/>
      <c r="U159" s="262"/>
      <c r="V159" s="262"/>
      <c r="W159" s="262"/>
      <c r="X159" s="175"/>
      <c r="Y159" s="175"/>
      <c r="Z159" s="175"/>
      <c r="AA159" s="175"/>
      <c r="AB159" s="175"/>
      <c r="AC159" s="175"/>
      <c r="AD159" s="175"/>
      <c r="AE159" s="175"/>
      <c r="AF159" s="175"/>
      <c r="AG159" s="179"/>
      <c r="AH159" s="179"/>
      <c r="AI159" s="175"/>
      <c r="AJ159" s="179"/>
      <c r="AK159" s="186"/>
      <c r="AL159" s="172"/>
      <c r="AM159" s="170"/>
      <c r="AN159" s="263"/>
      <c r="AO159" s="175"/>
      <c r="AP159" s="175"/>
      <c r="AQ159" s="307"/>
      <c r="AR159" s="170"/>
      <c r="AS159" s="256"/>
      <c r="AT159" s="193"/>
      <c r="AU159" s="214"/>
      <c r="AV159" s="268"/>
      <c r="AW159" s="170"/>
      <c r="AX159" s="210"/>
      <c r="AY159" s="186"/>
      <c r="AZ159" s="179"/>
      <c r="BA159" s="179"/>
      <c r="BB159" s="170"/>
      <c r="BC159" s="49" t="e">
        <f>IF(OR(#REF!="",#REF!="")=TRUE,"",NETWORKDAYS.INTL(#REF!,#REF!))</f>
        <v>#REF!</v>
      </c>
      <c r="BD159" s="175"/>
    </row>
    <row r="160" spans="1:56" s="176" customFormat="1" x14ac:dyDescent="0.45">
      <c r="A160" s="12"/>
      <c r="B160" s="262"/>
      <c r="C160" s="262"/>
      <c r="D160" s="262"/>
      <c r="E160" s="262"/>
      <c r="F160" s="262"/>
      <c r="G160" s="262"/>
      <c r="H160" s="262"/>
      <c r="I160" s="262"/>
      <c r="J160" s="262"/>
      <c r="K160" s="262"/>
      <c r="L160" s="177"/>
      <c r="M160" s="262"/>
      <c r="N160" s="262"/>
      <c r="O160" s="262"/>
      <c r="P160" s="262"/>
      <c r="Q160" s="262"/>
      <c r="R160" s="262"/>
      <c r="S160" s="262"/>
      <c r="T160" s="262"/>
      <c r="U160" s="262"/>
      <c r="V160" s="262"/>
      <c r="W160" s="262"/>
      <c r="X160" s="175"/>
      <c r="Y160" s="175"/>
      <c r="Z160" s="175"/>
      <c r="AA160" s="175"/>
      <c r="AB160" s="175"/>
      <c r="AC160" s="175"/>
      <c r="AD160" s="175"/>
      <c r="AE160" s="175"/>
      <c r="AF160" s="175"/>
      <c r="AG160" s="179"/>
      <c r="AH160" s="179"/>
      <c r="AI160" s="175"/>
      <c r="AJ160" s="179"/>
      <c r="AK160" s="186"/>
      <c r="AL160" s="172"/>
      <c r="AM160" s="170"/>
      <c r="AN160" s="263"/>
      <c r="AO160" s="175"/>
      <c r="AP160" s="175"/>
      <c r="AQ160" s="307"/>
      <c r="AR160" s="170"/>
      <c r="AS160" s="171"/>
      <c r="AT160" s="170"/>
      <c r="AU160" s="214"/>
      <c r="AV160" s="268"/>
      <c r="AW160" s="170"/>
      <c r="AX160" s="210"/>
      <c r="AY160" s="186"/>
      <c r="AZ160" s="179"/>
      <c r="BA160" s="179"/>
      <c r="BB160" s="170"/>
      <c r="BC160" s="49" t="e">
        <f>IF(OR(#REF!="",#REF!="")=TRUE,"",NETWORKDAYS.INTL(#REF!,#REF!))</f>
        <v>#REF!</v>
      </c>
      <c r="BD160" s="175"/>
    </row>
    <row r="161" spans="1:56" s="176" customFormat="1" x14ac:dyDescent="0.45">
      <c r="A161" s="13"/>
      <c r="B161" s="262"/>
      <c r="C161" s="262"/>
      <c r="D161" s="262"/>
      <c r="E161" s="262"/>
      <c r="F161" s="262"/>
      <c r="G161" s="262"/>
      <c r="H161" s="262"/>
      <c r="I161" s="262"/>
      <c r="J161" s="262"/>
      <c r="K161" s="262"/>
      <c r="L161" s="177"/>
      <c r="M161" s="262"/>
      <c r="N161" s="262"/>
      <c r="O161" s="262"/>
      <c r="P161" s="262"/>
      <c r="Q161" s="262"/>
      <c r="R161" s="262"/>
      <c r="S161" s="262"/>
      <c r="T161" s="262"/>
      <c r="U161" s="262"/>
      <c r="V161" s="262"/>
      <c r="W161" s="262"/>
      <c r="X161" s="175"/>
      <c r="Y161" s="175"/>
      <c r="Z161" s="175"/>
      <c r="AA161" s="175"/>
      <c r="AB161" s="175"/>
      <c r="AC161" s="175"/>
      <c r="AD161" s="175"/>
      <c r="AE161" s="175"/>
      <c r="AF161" s="175"/>
      <c r="AG161" s="179"/>
      <c r="AH161" s="179"/>
      <c r="AI161" s="175"/>
      <c r="AJ161" s="179"/>
      <c r="AK161" s="186"/>
      <c r="AL161" s="172"/>
      <c r="AM161" s="170"/>
      <c r="AN161" s="263"/>
      <c r="AO161" s="175"/>
      <c r="AP161" s="175"/>
      <c r="AQ161" s="307"/>
      <c r="AR161" s="170"/>
      <c r="AS161" s="171"/>
      <c r="AT161" s="170"/>
      <c r="AU161" s="214"/>
      <c r="AV161" s="268"/>
      <c r="AW161" s="170"/>
      <c r="AX161" s="210"/>
      <c r="AY161" s="186"/>
      <c r="AZ161" s="179"/>
      <c r="BA161" s="179"/>
      <c r="BB161" s="170"/>
      <c r="BC161" s="49" t="e">
        <f>IF(OR(#REF!="",#REF!="")=TRUE,"",NETWORKDAYS.INTL(#REF!,#REF!))</f>
        <v>#REF!</v>
      </c>
      <c r="BD161" s="175"/>
    </row>
    <row r="162" spans="1:56" s="176" customFormat="1" x14ac:dyDescent="0.45">
      <c r="A162" s="13"/>
      <c r="B162" s="262"/>
      <c r="C162" s="262"/>
      <c r="D162" s="262"/>
      <c r="E162" s="262"/>
      <c r="F162" s="262"/>
      <c r="G162" s="262"/>
      <c r="H162" s="262"/>
      <c r="I162" s="262"/>
      <c r="J162" s="262"/>
      <c r="K162" s="262"/>
      <c r="L162" s="177"/>
      <c r="M162" s="262"/>
      <c r="N162" s="262"/>
      <c r="O162" s="262"/>
      <c r="P162" s="262"/>
      <c r="Q162" s="262"/>
      <c r="R162" s="262"/>
      <c r="S162" s="262"/>
      <c r="T162" s="262"/>
      <c r="U162" s="262"/>
      <c r="V162" s="262"/>
      <c r="W162" s="262"/>
      <c r="X162" s="175"/>
      <c r="Y162" s="175"/>
      <c r="Z162" s="175"/>
      <c r="AA162" s="175"/>
      <c r="AB162" s="175"/>
      <c r="AC162" s="175"/>
      <c r="AD162" s="175"/>
      <c r="AE162" s="175"/>
      <c r="AF162" s="175"/>
      <c r="AG162" s="179"/>
      <c r="AH162" s="179"/>
      <c r="AI162" s="175"/>
      <c r="AJ162" s="179"/>
      <c r="AK162" s="186"/>
      <c r="AL162" s="172"/>
      <c r="AM162" s="177"/>
      <c r="AN162" s="263"/>
      <c r="AO162" s="175"/>
      <c r="AP162" s="175"/>
      <c r="AQ162" s="307"/>
      <c r="AR162" s="170"/>
      <c r="AS162" s="256"/>
      <c r="AT162" s="253"/>
      <c r="AU162" s="214"/>
      <c r="AV162" s="268"/>
      <c r="AW162" s="175"/>
      <c r="AX162" s="210"/>
      <c r="AY162" s="173"/>
      <c r="AZ162" s="179"/>
      <c r="BA162" s="179"/>
      <c r="BB162" s="170"/>
      <c r="BC162" s="49" t="e">
        <f>IF(OR(#REF!="",#REF!="")=TRUE,"",NETWORKDAYS.INTL(#REF!,#REF!))</f>
        <v>#REF!</v>
      </c>
      <c r="BD162" s="175"/>
    </row>
    <row r="163" spans="1:56" s="176" customFormat="1" x14ac:dyDescent="0.45">
      <c r="A163" s="12"/>
      <c r="B163" s="262"/>
      <c r="C163" s="262"/>
      <c r="D163" s="262"/>
      <c r="E163" s="262"/>
      <c r="F163" s="262"/>
      <c r="G163" s="262"/>
      <c r="H163" s="262"/>
      <c r="I163" s="262"/>
      <c r="J163" s="262"/>
      <c r="K163" s="262"/>
      <c r="L163" s="177"/>
      <c r="M163" s="262"/>
      <c r="N163" s="262"/>
      <c r="O163" s="262"/>
      <c r="P163" s="262"/>
      <c r="Q163" s="262"/>
      <c r="R163" s="262"/>
      <c r="S163" s="262"/>
      <c r="T163" s="262"/>
      <c r="U163" s="262"/>
      <c r="V163" s="262"/>
      <c r="W163" s="262"/>
      <c r="X163" s="175"/>
      <c r="Y163" s="175"/>
      <c r="Z163" s="175"/>
      <c r="AA163" s="175"/>
      <c r="AB163" s="175"/>
      <c r="AC163" s="175"/>
      <c r="AD163" s="175"/>
      <c r="AE163" s="175"/>
      <c r="AF163" s="175"/>
      <c r="AG163" s="179"/>
      <c r="AH163" s="179"/>
      <c r="AI163" s="175"/>
      <c r="AJ163" s="179"/>
      <c r="AK163" s="186"/>
      <c r="AL163" s="172"/>
      <c r="AM163" s="170"/>
      <c r="AN163" s="263"/>
      <c r="AO163" s="175"/>
      <c r="AP163" s="175"/>
      <c r="AQ163" s="307"/>
      <c r="AR163" s="170"/>
      <c r="AS163" s="256"/>
      <c r="AT163" s="253"/>
      <c r="AU163" s="214"/>
      <c r="AV163" s="268"/>
      <c r="AW163" s="175"/>
      <c r="AX163" s="210"/>
      <c r="AY163" s="173"/>
      <c r="AZ163" s="179"/>
      <c r="BA163" s="179"/>
      <c r="BB163" s="170"/>
      <c r="BC163" s="49" t="e">
        <f>IF(OR(#REF!="",#REF!="")=TRUE,"",NETWORKDAYS.INTL(#REF!,#REF!))</f>
        <v>#REF!</v>
      </c>
      <c r="BD163" s="175"/>
    </row>
    <row r="164" spans="1:56" s="176" customFormat="1" x14ac:dyDescent="0.45">
      <c r="A164" s="13"/>
      <c r="B164" s="262"/>
      <c r="C164" s="262"/>
      <c r="D164" s="262"/>
      <c r="E164" s="262"/>
      <c r="F164" s="262"/>
      <c r="G164" s="262"/>
      <c r="H164" s="262"/>
      <c r="I164" s="262"/>
      <c r="J164" s="262"/>
      <c r="K164" s="262"/>
      <c r="L164" s="177"/>
      <c r="M164" s="262"/>
      <c r="N164" s="262"/>
      <c r="O164" s="262"/>
      <c r="P164" s="262"/>
      <c r="Q164" s="262"/>
      <c r="R164" s="262"/>
      <c r="S164" s="262"/>
      <c r="T164" s="262"/>
      <c r="U164" s="262"/>
      <c r="V164" s="262"/>
      <c r="W164" s="262"/>
      <c r="X164" s="175"/>
      <c r="Y164" s="175"/>
      <c r="Z164" s="175"/>
      <c r="AA164" s="175"/>
      <c r="AB164" s="175"/>
      <c r="AC164" s="175"/>
      <c r="AD164" s="175"/>
      <c r="AE164" s="175"/>
      <c r="AF164" s="175"/>
      <c r="AG164" s="179"/>
      <c r="AH164" s="179"/>
      <c r="AI164" s="175"/>
      <c r="AJ164" s="179"/>
      <c r="AK164" s="186"/>
      <c r="AL164" s="172"/>
      <c r="AM164" s="170"/>
      <c r="AN164" s="263"/>
      <c r="AO164" s="175"/>
      <c r="AP164" s="175"/>
      <c r="AQ164" s="307"/>
      <c r="AR164" s="170"/>
      <c r="AS164" s="171"/>
      <c r="AT164" s="170"/>
      <c r="AU164" s="214"/>
      <c r="AV164" s="268"/>
      <c r="AW164" s="175"/>
      <c r="AX164" s="210"/>
      <c r="AY164" s="173"/>
      <c r="AZ164" s="179"/>
      <c r="BA164" s="179"/>
      <c r="BB164" s="170"/>
      <c r="BC164" s="49" t="e">
        <f>IF(OR(#REF!="",#REF!="")=TRUE,"",NETWORKDAYS.INTL(#REF!,#REF!))</f>
        <v>#REF!</v>
      </c>
      <c r="BD164" s="175"/>
    </row>
    <row r="165" spans="1:56" s="176" customFormat="1" x14ac:dyDescent="0.45">
      <c r="A165" s="13"/>
      <c r="B165" s="262"/>
      <c r="C165" s="262"/>
      <c r="D165" s="262"/>
      <c r="E165" s="262"/>
      <c r="F165" s="262"/>
      <c r="G165" s="262"/>
      <c r="H165" s="262"/>
      <c r="I165" s="262"/>
      <c r="J165" s="262"/>
      <c r="K165" s="262"/>
      <c r="L165" s="177"/>
      <c r="M165" s="262"/>
      <c r="N165" s="262"/>
      <c r="O165" s="262"/>
      <c r="P165" s="262"/>
      <c r="Q165" s="262"/>
      <c r="R165" s="262"/>
      <c r="S165" s="262"/>
      <c r="T165" s="262"/>
      <c r="U165" s="262"/>
      <c r="V165" s="262"/>
      <c r="W165" s="262"/>
      <c r="X165" s="175"/>
      <c r="Y165" s="175"/>
      <c r="Z165" s="175"/>
      <c r="AA165" s="175"/>
      <c r="AB165" s="175"/>
      <c r="AC165" s="175"/>
      <c r="AD165" s="175"/>
      <c r="AE165" s="175"/>
      <c r="AF165" s="175"/>
      <c r="AG165" s="179"/>
      <c r="AH165" s="179"/>
      <c r="AI165" s="175"/>
      <c r="AJ165" s="179"/>
      <c r="AK165" s="186"/>
      <c r="AL165" s="172"/>
      <c r="AM165" s="170"/>
      <c r="AN165" s="263"/>
      <c r="AO165" s="175"/>
      <c r="AP165" s="175"/>
      <c r="AQ165" s="307"/>
      <c r="AR165" s="170"/>
      <c r="AS165" s="171"/>
      <c r="AT165" s="253"/>
      <c r="AU165" s="214"/>
      <c r="AV165" s="268"/>
      <c r="AW165" s="175"/>
      <c r="AX165" s="210"/>
      <c r="AY165" s="173"/>
      <c r="AZ165" s="179"/>
      <c r="BA165" s="179"/>
      <c r="BB165" s="170"/>
      <c r="BC165" s="49" t="e">
        <f>IF(OR(#REF!="",#REF!="")=TRUE,"",NETWORKDAYS.INTL(#REF!,#REF!))</f>
        <v>#REF!</v>
      </c>
      <c r="BD165" s="175"/>
    </row>
    <row r="166" spans="1:56" s="176" customFormat="1" x14ac:dyDescent="0.45">
      <c r="A166" s="12"/>
      <c r="B166" s="262"/>
      <c r="C166" s="262"/>
      <c r="D166" s="262"/>
      <c r="E166" s="262"/>
      <c r="F166" s="262"/>
      <c r="G166" s="262"/>
      <c r="H166" s="262"/>
      <c r="I166" s="262"/>
      <c r="J166" s="262"/>
      <c r="K166" s="262"/>
      <c r="L166" s="177"/>
      <c r="M166" s="262"/>
      <c r="N166" s="262"/>
      <c r="O166" s="262"/>
      <c r="P166" s="262"/>
      <c r="Q166" s="262"/>
      <c r="R166" s="262"/>
      <c r="S166" s="262"/>
      <c r="T166" s="262"/>
      <c r="U166" s="262"/>
      <c r="V166" s="262"/>
      <c r="W166" s="262"/>
      <c r="X166" s="175"/>
      <c r="Y166" s="175"/>
      <c r="Z166" s="175"/>
      <c r="AA166" s="175"/>
      <c r="AB166" s="175"/>
      <c r="AC166" s="175"/>
      <c r="AD166" s="175"/>
      <c r="AE166" s="175"/>
      <c r="AF166" s="175"/>
      <c r="AG166" s="179"/>
      <c r="AH166" s="179"/>
      <c r="AI166" s="175"/>
      <c r="AJ166" s="179"/>
      <c r="AK166" s="173"/>
      <c r="AL166" s="172"/>
      <c r="AM166" s="177"/>
      <c r="AN166" s="263"/>
      <c r="AO166" s="175"/>
      <c r="AP166" s="175"/>
      <c r="AQ166" s="307"/>
      <c r="AR166" s="170"/>
      <c r="AS166" s="171"/>
      <c r="AT166" s="170"/>
      <c r="AU166" s="214"/>
      <c r="AV166" s="268"/>
      <c r="AW166" s="175"/>
      <c r="AX166" s="210"/>
      <c r="AY166" s="173"/>
      <c r="AZ166" s="179"/>
      <c r="BA166" s="179"/>
      <c r="BB166" s="175"/>
      <c r="BC166" s="49" t="e">
        <f>IF(OR(#REF!="",#REF!="")=TRUE,"",NETWORKDAYS.INTL(#REF!,#REF!))</f>
        <v>#REF!</v>
      </c>
      <c r="BD166" s="175"/>
    </row>
    <row r="167" spans="1:56" s="176" customFormat="1" x14ac:dyDescent="0.45">
      <c r="A167" s="13"/>
      <c r="B167" s="262"/>
      <c r="C167" s="262"/>
      <c r="D167" s="262"/>
      <c r="E167" s="262"/>
      <c r="F167" s="262"/>
      <c r="G167" s="262"/>
      <c r="H167" s="262"/>
      <c r="I167" s="262"/>
      <c r="J167" s="262"/>
      <c r="K167" s="262"/>
      <c r="L167" s="177"/>
      <c r="M167" s="262"/>
      <c r="N167" s="262"/>
      <c r="O167" s="262"/>
      <c r="P167" s="262"/>
      <c r="Q167" s="262"/>
      <c r="R167" s="262"/>
      <c r="S167" s="262"/>
      <c r="T167" s="262"/>
      <c r="U167" s="262"/>
      <c r="V167" s="262"/>
      <c r="W167" s="262"/>
      <c r="X167" s="175"/>
      <c r="Y167" s="175"/>
      <c r="Z167" s="175"/>
      <c r="AA167" s="175"/>
      <c r="AB167" s="175"/>
      <c r="AC167" s="175"/>
      <c r="AD167" s="175"/>
      <c r="AE167" s="175"/>
      <c r="AF167" s="175"/>
      <c r="AG167" s="179"/>
      <c r="AH167" s="179"/>
      <c r="AI167" s="175"/>
      <c r="AJ167" s="179"/>
      <c r="AK167" s="183"/>
      <c r="AL167" s="172"/>
      <c r="AM167" s="175"/>
      <c r="AN167" s="263"/>
      <c r="AO167" s="175"/>
      <c r="AP167" s="175"/>
      <c r="AQ167" s="307"/>
      <c r="AR167" s="170"/>
      <c r="AS167" s="171"/>
      <c r="AT167" s="185"/>
      <c r="AU167" s="214"/>
      <c r="AV167" s="268"/>
      <c r="AW167" s="175"/>
      <c r="AX167" s="210"/>
      <c r="AY167" s="173"/>
      <c r="AZ167" s="179"/>
      <c r="BA167" s="179"/>
      <c r="BB167" s="175"/>
      <c r="BC167" s="49" t="e">
        <f>IF(OR(#REF!="",#REF!="")=TRUE,"",NETWORKDAYS.INTL(#REF!,#REF!))</f>
        <v>#REF!</v>
      </c>
      <c r="BD167" s="175"/>
    </row>
    <row r="168" spans="1:56" s="176" customFormat="1" x14ac:dyDescent="0.45">
      <c r="A168" s="13"/>
      <c r="B168" s="262"/>
      <c r="C168" s="262"/>
      <c r="D168" s="262"/>
      <c r="E168" s="262"/>
      <c r="F168" s="262"/>
      <c r="G168" s="262"/>
      <c r="H168" s="262"/>
      <c r="I168" s="262"/>
      <c r="J168" s="262"/>
      <c r="K168" s="262"/>
      <c r="L168" s="177"/>
      <c r="M168" s="262"/>
      <c r="N168" s="262"/>
      <c r="O168" s="262"/>
      <c r="P168" s="262"/>
      <c r="Q168" s="262"/>
      <c r="R168" s="262"/>
      <c r="S168" s="262"/>
      <c r="T168" s="262"/>
      <c r="U168" s="262"/>
      <c r="V168" s="262"/>
      <c r="W168" s="262"/>
      <c r="X168" s="175"/>
      <c r="Y168" s="175"/>
      <c r="Z168" s="175"/>
      <c r="AA168" s="175"/>
      <c r="AB168" s="175"/>
      <c r="AC168" s="175"/>
      <c r="AD168" s="175"/>
      <c r="AE168" s="175"/>
      <c r="AF168" s="175"/>
      <c r="AG168" s="179"/>
      <c r="AH168" s="179"/>
      <c r="AI168" s="175"/>
      <c r="AJ168" s="179"/>
      <c r="AK168" s="173"/>
      <c r="AL168" s="172"/>
      <c r="AM168" s="175"/>
      <c r="AN168" s="263"/>
      <c r="AO168" s="175"/>
      <c r="AP168" s="175"/>
      <c r="AQ168" s="307"/>
      <c r="AR168" s="170"/>
      <c r="AS168" s="171"/>
      <c r="AT168" s="170"/>
      <c r="AU168" s="214"/>
      <c r="AV168" s="268"/>
      <c r="AW168" s="175"/>
      <c r="AX168" s="210"/>
      <c r="AY168" s="173"/>
      <c r="AZ168" s="179"/>
      <c r="BA168" s="179"/>
      <c r="BB168" s="175"/>
      <c r="BC168" s="49" t="e">
        <f>IF(OR(#REF!="",#REF!="")=TRUE,"",NETWORKDAYS.INTL(#REF!,#REF!))</f>
        <v>#REF!</v>
      </c>
      <c r="BD168" s="175"/>
    </row>
    <row r="169" spans="1:56" s="176" customFormat="1" x14ac:dyDescent="0.45">
      <c r="A169" s="12"/>
      <c r="B169" s="262"/>
      <c r="C169" s="262"/>
      <c r="D169" s="262"/>
      <c r="E169" s="262"/>
      <c r="F169" s="262"/>
      <c r="G169" s="262"/>
      <c r="H169" s="262"/>
      <c r="I169" s="262"/>
      <c r="J169" s="262"/>
      <c r="K169" s="262"/>
      <c r="L169" s="177"/>
      <c r="M169" s="262"/>
      <c r="N169" s="262"/>
      <c r="O169" s="262"/>
      <c r="P169" s="262"/>
      <c r="Q169" s="262"/>
      <c r="R169" s="262"/>
      <c r="S169" s="262"/>
      <c r="T169" s="262"/>
      <c r="U169" s="262"/>
      <c r="V169" s="262"/>
      <c r="W169" s="262"/>
      <c r="X169" s="175"/>
      <c r="Y169" s="175"/>
      <c r="Z169" s="175"/>
      <c r="AA169" s="175"/>
      <c r="AB169" s="175"/>
      <c r="AC169" s="175"/>
      <c r="AD169" s="175"/>
      <c r="AE169" s="175"/>
      <c r="AF169" s="175"/>
      <c r="AG169" s="179"/>
      <c r="AH169" s="179"/>
      <c r="AI169" s="175"/>
      <c r="AJ169" s="179"/>
      <c r="AK169" s="173"/>
      <c r="AL169" s="172"/>
      <c r="AM169" s="175"/>
      <c r="AN169" s="263"/>
      <c r="AO169" s="175"/>
      <c r="AP169" s="175"/>
      <c r="AQ169" s="307"/>
      <c r="AR169" s="170"/>
      <c r="AS169" s="171"/>
      <c r="AT169" s="170"/>
      <c r="AU169" s="214"/>
      <c r="AV169" s="268"/>
      <c r="AW169" s="175"/>
      <c r="AX169" s="210"/>
      <c r="AY169" s="173"/>
      <c r="AZ169" s="179"/>
      <c r="BA169" s="179"/>
      <c r="BB169" s="175"/>
      <c r="BC169" s="49" t="e">
        <f>IF(OR(#REF!="",#REF!="")=TRUE,"",NETWORKDAYS.INTL(#REF!,#REF!))</f>
        <v>#REF!</v>
      </c>
      <c r="BD169" s="175"/>
    </row>
    <row r="170" spans="1:56" s="176" customFormat="1" x14ac:dyDescent="0.45">
      <c r="A170" s="13"/>
      <c r="B170" s="262"/>
      <c r="C170" s="262"/>
      <c r="D170" s="262"/>
      <c r="E170" s="262"/>
      <c r="F170" s="262"/>
      <c r="G170" s="262"/>
      <c r="H170" s="262"/>
      <c r="I170" s="262"/>
      <c r="J170" s="262"/>
      <c r="K170" s="262"/>
      <c r="L170" s="177"/>
      <c r="M170" s="262"/>
      <c r="N170" s="262"/>
      <c r="O170" s="262"/>
      <c r="P170" s="262"/>
      <c r="Q170" s="262"/>
      <c r="R170" s="262"/>
      <c r="S170" s="262"/>
      <c r="T170" s="262"/>
      <c r="U170" s="262"/>
      <c r="V170" s="262"/>
      <c r="W170" s="262"/>
      <c r="X170" s="175"/>
      <c r="Y170" s="175"/>
      <c r="Z170" s="175"/>
      <c r="AA170" s="175"/>
      <c r="AB170" s="175"/>
      <c r="AC170" s="175"/>
      <c r="AD170" s="175"/>
      <c r="AE170" s="175"/>
      <c r="AF170" s="175"/>
      <c r="AG170" s="179"/>
      <c r="AH170" s="179"/>
      <c r="AI170" s="175"/>
      <c r="AJ170" s="179"/>
      <c r="AK170" s="173"/>
      <c r="AL170" s="172"/>
      <c r="AM170" s="177"/>
      <c r="AN170" s="263"/>
      <c r="AO170" s="175"/>
      <c r="AP170" s="175"/>
      <c r="AQ170" s="307"/>
      <c r="AR170" s="170"/>
      <c r="AS170" s="171"/>
      <c r="AT170" s="170"/>
      <c r="AU170" s="214"/>
      <c r="AV170" s="268"/>
      <c r="AW170" s="175"/>
      <c r="AX170" s="210"/>
      <c r="AY170" s="173"/>
      <c r="AZ170" s="179"/>
      <c r="BA170" s="179"/>
      <c r="BB170" s="175"/>
      <c r="BC170" s="49" t="e">
        <f>IF(OR(#REF!="",#REF!="")=TRUE,"",NETWORKDAYS.INTL(#REF!,#REF!))</f>
        <v>#REF!</v>
      </c>
      <c r="BD170" s="175"/>
    </row>
    <row r="171" spans="1:56" s="176" customFormat="1" x14ac:dyDescent="0.45">
      <c r="A171" s="13"/>
      <c r="B171" s="262"/>
      <c r="C171" s="262"/>
      <c r="D171" s="262"/>
      <c r="E171" s="262"/>
      <c r="F171" s="262"/>
      <c r="G171" s="262"/>
      <c r="H171" s="262"/>
      <c r="I171" s="262"/>
      <c r="J171" s="262"/>
      <c r="K171" s="262"/>
      <c r="L171" s="177"/>
      <c r="M171" s="262"/>
      <c r="N171" s="262"/>
      <c r="O171" s="262"/>
      <c r="P171" s="262"/>
      <c r="Q171" s="262"/>
      <c r="R171" s="262"/>
      <c r="S171" s="262"/>
      <c r="T171" s="262"/>
      <c r="U171" s="262"/>
      <c r="V171" s="262"/>
      <c r="W171" s="262"/>
      <c r="X171" s="175"/>
      <c r="Y171" s="175"/>
      <c r="Z171" s="175"/>
      <c r="AA171" s="175"/>
      <c r="AB171" s="175"/>
      <c r="AC171" s="175"/>
      <c r="AD171" s="175"/>
      <c r="AE171" s="175"/>
      <c r="AF171" s="175"/>
      <c r="AG171" s="179"/>
      <c r="AH171" s="179"/>
      <c r="AI171" s="175"/>
      <c r="AJ171" s="179"/>
      <c r="AK171" s="173"/>
      <c r="AL171" s="172"/>
      <c r="AM171" s="177"/>
      <c r="AN171" s="263"/>
      <c r="AO171" s="175"/>
      <c r="AP171" s="175"/>
      <c r="AQ171" s="307"/>
      <c r="AR171" s="170"/>
      <c r="AS171" s="171"/>
      <c r="AT171" s="170"/>
      <c r="AU171" s="214"/>
      <c r="AV171" s="268"/>
      <c r="AW171" s="175"/>
      <c r="AX171" s="210"/>
      <c r="AY171" s="173"/>
      <c r="AZ171" s="179"/>
      <c r="BA171" s="179"/>
      <c r="BB171" s="175"/>
      <c r="BC171" s="49" t="e">
        <f>IF(OR(#REF!="",#REF!="")=TRUE,"",NETWORKDAYS.INTL(#REF!,#REF!))</f>
        <v>#REF!</v>
      </c>
      <c r="BD171" s="175"/>
    </row>
    <row r="172" spans="1:56" s="176" customFormat="1" x14ac:dyDescent="0.45">
      <c r="A172" s="12"/>
      <c r="B172" s="262"/>
      <c r="C172" s="262"/>
      <c r="D172" s="262"/>
      <c r="E172" s="262"/>
      <c r="F172" s="262"/>
      <c r="G172" s="262"/>
      <c r="H172" s="262"/>
      <c r="I172" s="262"/>
      <c r="J172" s="262"/>
      <c r="K172" s="262"/>
      <c r="L172" s="177"/>
      <c r="M172" s="262"/>
      <c r="N172" s="262"/>
      <c r="O172" s="262"/>
      <c r="P172" s="262"/>
      <c r="Q172" s="262"/>
      <c r="R172" s="262"/>
      <c r="S172" s="262"/>
      <c r="T172" s="262"/>
      <c r="U172" s="262"/>
      <c r="V172" s="262"/>
      <c r="W172" s="262"/>
      <c r="X172" s="175"/>
      <c r="Y172" s="175"/>
      <c r="Z172" s="175"/>
      <c r="AA172" s="175"/>
      <c r="AB172" s="175"/>
      <c r="AC172" s="175"/>
      <c r="AD172" s="175"/>
      <c r="AE172" s="175"/>
      <c r="AF172" s="175"/>
      <c r="AG172" s="179"/>
      <c r="AH172" s="179"/>
      <c r="AI172" s="177"/>
      <c r="AJ172" s="179"/>
      <c r="AK172" s="183"/>
      <c r="AL172" s="177"/>
      <c r="AM172" s="177"/>
      <c r="AN172" s="263"/>
      <c r="AO172" s="175"/>
      <c r="AP172" s="175"/>
      <c r="AQ172" s="307"/>
      <c r="AR172" s="170"/>
      <c r="AS172" s="253"/>
      <c r="AT172" s="253"/>
      <c r="AU172" s="214"/>
      <c r="AV172" s="268"/>
      <c r="AW172" s="175"/>
      <c r="AX172" s="210"/>
      <c r="AY172" s="173"/>
      <c r="AZ172" s="179"/>
      <c r="BA172" s="179"/>
      <c r="BB172" s="175"/>
      <c r="BC172" s="49" t="e">
        <v>#REF!</v>
      </c>
      <c r="BD172" s="175"/>
    </row>
    <row r="173" spans="1:56" s="176" customFormat="1" x14ac:dyDescent="0.45">
      <c r="A173" s="13"/>
      <c r="B173" s="262"/>
      <c r="C173" s="262"/>
      <c r="D173" s="262"/>
      <c r="E173" s="262"/>
      <c r="F173" s="262"/>
      <c r="G173" s="262"/>
      <c r="H173" s="262"/>
      <c r="I173" s="262"/>
      <c r="J173" s="262"/>
      <c r="K173" s="262"/>
      <c r="L173" s="177"/>
      <c r="M173" s="262"/>
      <c r="N173" s="262"/>
      <c r="O173" s="262"/>
      <c r="P173" s="262"/>
      <c r="Q173" s="262"/>
      <c r="R173" s="262"/>
      <c r="S173" s="262"/>
      <c r="T173" s="262"/>
      <c r="U173" s="262"/>
      <c r="V173" s="262"/>
      <c r="W173" s="262"/>
      <c r="X173" s="175"/>
      <c r="Y173" s="175"/>
      <c r="Z173" s="175"/>
      <c r="AA173" s="175"/>
      <c r="AB173" s="175"/>
      <c r="AC173" s="175"/>
      <c r="AD173" s="175"/>
      <c r="AE173" s="175"/>
      <c r="AF173" s="175"/>
      <c r="AG173" s="179"/>
      <c r="AH173" s="179"/>
      <c r="AI173" s="177"/>
      <c r="AJ173" s="179"/>
      <c r="AK173" s="183"/>
      <c r="AL173" s="177"/>
      <c r="AM173" s="177"/>
      <c r="AN173" s="263"/>
      <c r="AO173" s="175"/>
      <c r="AP173" s="175"/>
      <c r="AQ173" s="307"/>
      <c r="AR173" s="170"/>
      <c r="AS173" s="253"/>
      <c r="AT173" s="253"/>
      <c r="AU173" s="214"/>
      <c r="AV173" s="268"/>
      <c r="AW173" s="175"/>
      <c r="AX173" s="210"/>
      <c r="AY173" s="173"/>
      <c r="AZ173" s="179"/>
      <c r="BA173" s="179"/>
      <c r="BB173" s="175"/>
      <c r="BC173" s="49" t="e">
        <v>#REF!</v>
      </c>
      <c r="BD173" s="175"/>
    </row>
    <row r="174" spans="1:56" s="176" customFormat="1" x14ac:dyDescent="0.45">
      <c r="A174" s="13"/>
      <c r="B174" s="262"/>
      <c r="C174" s="262"/>
      <c r="D174" s="262"/>
      <c r="E174" s="262"/>
      <c r="F174" s="262"/>
      <c r="G174" s="262"/>
      <c r="H174" s="262"/>
      <c r="I174" s="262"/>
      <c r="J174" s="262"/>
      <c r="K174" s="262"/>
      <c r="L174" s="177"/>
      <c r="M174" s="262"/>
      <c r="N174" s="262"/>
      <c r="O174" s="262"/>
      <c r="P174" s="262"/>
      <c r="Q174" s="262"/>
      <c r="R174" s="262"/>
      <c r="S174" s="262"/>
      <c r="T174" s="262"/>
      <c r="U174" s="262"/>
      <c r="V174" s="262"/>
      <c r="W174" s="262"/>
      <c r="X174" s="175"/>
      <c r="Y174" s="175"/>
      <c r="Z174" s="175"/>
      <c r="AA174" s="175"/>
      <c r="AB174" s="175"/>
      <c r="AC174" s="175"/>
      <c r="AD174" s="175"/>
      <c r="AE174" s="175"/>
      <c r="AF174" s="175"/>
      <c r="AG174" s="179"/>
      <c r="AH174" s="179"/>
      <c r="AI174" s="177"/>
      <c r="AJ174" s="179"/>
      <c r="AK174" s="183"/>
      <c r="AL174" s="177"/>
      <c r="AM174" s="177"/>
      <c r="AN174" s="263"/>
      <c r="AO174" s="175"/>
      <c r="AP174" s="175"/>
      <c r="AQ174" s="307"/>
      <c r="AR174" s="170"/>
      <c r="AS174" s="253"/>
      <c r="AT174" s="253"/>
      <c r="AU174" s="214"/>
      <c r="AV174" s="268"/>
      <c r="AW174" s="175"/>
      <c r="AX174" s="210"/>
      <c r="AY174" s="173"/>
      <c r="AZ174" s="179"/>
      <c r="BA174" s="179"/>
      <c r="BB174" s="175"/>
      <c r="BC174" s="49" t="e">
        <v>#REF!</v>
      </c>
      <c r="BD174" s="175"/>
    </row>
    <row r="175" spans="1:56" s="176" customFormat="1" x14ac:dyDescent="0.45">
      <c r="A175" s="12"/>
      <c r="B175" s="262"/>
      <c r="C175" s="262"/>
      <c r="D175" s="262"/>
      <c r="E175" s="262"/>
      <c r="F175" s="262"/>
      <c r="G175" s="262"/>
      <c r="H175" s="262"/>
      <c r="I175" s="262"/>
      <c r="J175" s="262"/>
      <c r="K175" s="262"/>
      <c r="L175" s="177"/>
      <c r="M175" s="262"/>
      <c r="N175" s="262"/>
      <c r="O175" s="262"/>
      <c r="P175" s="262"/>
      <c r="Q175" s="262"/>
      <c r="R175" s="262"/>
      <c r="S175" s="262"/>
      <c r="T175" s="262"/>
      <c r="U175" s="262"/>
      <c r="V175" s="262"/>
      <c r="W175" s="262"/>
      <c r="X175" s="175"/>
      <c r="Y175" s="175"/>
      <c r="Z175" s="175"/>
      <c r="AA175" s="175"/>
      <c r="AB175" s="175"/>
      <c r="AC175" s="175"/>
      <c r="AD175" s="175"/>
      <c r="AE175" s="175"/>
      <c r="AF175" s="175"/>
      <c r="AG175" s="179"/>
      <c r="AH175" s="179"/>
      <c r="AI175" s="177"/>
      <c r="AJ175" s="179"/>
      <c r="AK175" s="183"/>
      <c r="AL175" s="177"/>
      <c r="AM175" s="177"/>
      <c r="AN175" s="263"/>
      <c r="AO175" s="175"/>
      <c r="AP175" s="175"/>
      <c r="AQ175" s="307"/>
      <c r="AR175" s="170"/>
      <c r="AS175" s="253"/>
      <c r="AT175" s="253"/>
      <c r="AU175" s="214"/>
      <c r="AV175" s="268"/>
      <c r="AW175" s="175"/>
      <c r="AX175" s="210"/>
      <c r="AY175" s="173"/>
      <c r="AZ175" s="179"/>
      <c r="BA175" s="179"/>
      <c r="BB175" s="175"/>
      <c r="BC175" s="49" t="e">
        <v>#REF!</v>
      </c>
      <c r="BD175" s="175"/>
    </row>
    <row r="176" spans="1:56" s="176" customFormat="1" x14ac:dyDescent="0.45">
      <c r="A176" s="13"/>
      <c r="B176" s="262"/>
      <c r="C176" s="262"/>
      <c r="D176" s="262"/>
      <c r="E176" s="262"/>
      <c r="F176" s="262"/>
      <c r="G176" s="262"/>
      <c r="H176" s="262"/>
      <c r="I176" s="262"/>
      <c r="J176" s="262"/>
      <c r="K176" s="262"/>
      <c r="L176" s="177"/>
      <c r="M176" s="262"/>
      <c r="N176" s="262"/>
      <c r="O176" s="262"/>
      <c r="P176" s="262"/>
      <c r="Q176" s="262"/>
      <c r="R176" s="262"/>
      <c r="S176" s="262"/>
      <c r="T176" s="262"/>
      <c r="U176" s="262"/>
      <c r="V176" s="262"/>
      <c r="W176" s="262"/>
      <c r="X176" s="175"/>
      <c r="Y176" s="175"/>
      <c r="Z176" s="175"/>
      <c r="AA176" s="175"/>
      <c r="AB176" s="175"/>
      <c r="AC176" s="175"/>
      <c r="AD176" s="175"/>
      <c r="AE176" s="175"/>
      <c r="AF176" s="175"/>
      <c r="AG176" s="179"/>
      <c r="AH176" s="179"/>
      <c r="AI176" s="177"/>
      <c r="AJ176" s="179"/>
      <c r="AK176" s="183"/>
      <c r="AL176" s="177"/>
      <c r="AM176" s="177"/>
      <c r="AN176" s="263"/>
      <c r="AO176" s="175"/>
      <c r="AP176" s="175"/>
      <c r="AQ176" s="307"/>
      <c r="AR176" s="170"/>
      <c r="AS176" s="253"/>
      <c r="AT176" s="253"/>
      <c r="AU176" s="214"/>
      <c r="AV176" s="268"/>
      <c r="AW176" s="175"/>
      <c r="AX176" s="210"/>
      <c r="AY176" s="173"/>
      <c r="AZ176" s="179"/>
      <c r="BA176" s="179"/>
      <c r="BB176" s="175"/>
      <c r="BC176" s="49" t="e">
        <v>#REF!</v>
      </c>
      <c r="BD176" s="175"/>
    </row>
    <row r="177" spans="1:56" s="176" customFormat="1" x14ac:dyDescent="0.45">
      <c r="A177" s="13"/>
      <c r="B177" s="262"/>
      <c r="C177" s="262"/>
      <c r="D177" s="262"/>
      <c r="E177" s="262"/>
      <c r="F177" s="262"/>
      <c r="G177" s="262"/>
      <c r="H177" s="262"/>
      <c r="I177" s="262"/>
      <c r="J177" s="262"/>
      <c r="K177" s="262"/>
      <c r="L177" s="177"/>
      <c r="M177" s="262"/>
      <c r="N177" s="262"/>
      <c r="O177" s="262"/>
      <c r="P177" s="262"/>
      <c r="Q177" s="262"/>
      <c r="R177" s="262"/>
      <c r="S177" s="262"/>
      <c r="T177" s="262"/>
      <c r="U177" s="262"/>
      <c r="V177" s="262"/>
      <c r="W177" s="262"/>
      <c r="X177" s="175"/>
      <c r="Y177" s="175"/>
      <c r="Z177" s="175"/>
      <c r="AA177" s="175"/>
      <c r="AB177" s="175"/>
      <c r="AC177" s="175"/>
      <c r="AD177" s="175"/>
      <c r="AE177" s="175"/>
      <c r="AF177" s="175"/>
      <c r="AG177" s="179"/>
      <c r="AH177" s="179"/>
      <c r="AI177" s="177"/>
      <c r="AJ177" s="179"/>
      <c r="AK177" s="183"/>
      <c r="AL177" s="177"/>
      <c r="AM177" s="177"/>
      <c r="AN177" s="263"/>
      <c r="AO177" s="175"/>
      <c r="AP177" s="175"/>
      <c r="AQ177" s="307"/>
      <c r="AR177" s="170"/>
      <c r="AS177" s="253"/>
      <c r="AT177" s="253"/>
      <c r="AU177" s="214"/>
      <c r="AV177" s="268"/>
      <c r="AW177" s="175"/>
      <c r="AX177" s="210"/>
      <c r="AY177" s="173"/>
      <c r="AZ177" s="179"/>
      <c r="BA177" s="179"/>
      <c r="BB177" s="175"/>
      <c r="BC177" s="49" t="e">
        <v>#REF!</v>
      </c>
      <c r="BD177" s="175"/>
    </row>
    <row r="178" spans="1:56" s="176" customFormat="1" x14ac:dyDescent="0.45">
      <c r="A178" s="12"/>
      <c r="B178" s="262"/>
      <c r="C178" s="262"/>
      <c r="D178" s="262"/>
      <c r="E178" s="262"/>
      <c r="F178" s="262"/>
      <c r="G178" s="262"/>
      <c r="H178" s="262"/>
      <c r="I178" s="262"/>
      <c r="J178" s="262"/>
      <c r="K178" s="262"/>
      <c r="L178" s="177"/>
      <c r="M178" s="262"/>
      <c r="N178" s="262"/>
      <c r="O178" s="262"/>
      <c r="P178" s="262"/>
      <c r="Q178" s="262"/>
      <c r="R178" s="262"/>
      <c r="S178" s="262"/>
      <c r="T178" s="262"/>
      <c r="U178" s="262"/>
      <c r="V178" s="262"/>
      <c r="W178" s="262"/>
      <c r="X178" s="175"/>
      <c r="Y178" s="175"/>
      <c r="Z178" s="175"/>
      <c r="AA178" s="175"/>
      <c r="AB178" s="175"/>
      <c r="AC178" s="175"/>
      <c r="AD178" s="175"/>
      <c r="AE178" s="175"/>
      <c r="AF178" s="175"/>
      <c r="AG178" s="179"/>
      <c r="AH178" s="179"/>
      <c r="AI178" s="177"/>
      <c r="AJ178" s="179"/>
      <c r="AK178" s="183"/>
      <c r="AL178" s="177"/>
      <c r="AM178" s="177"/>
      <c r="AN178" s="263"/>
      <c r="AO178" s="175"/>
      <c r="AP178" s="175"/>
      <c r="AQ178" s="307"/>
      <c r="AR178" s="170"/>
      <c r="AS178" s="253"/>
      <c r="AT178" s="253"/>
      <c r="AU178" s="214"/>
      <c r="AV178" s="268"/>
      <c r="AW178" s="175"/>
      <c r="AX178" s="210"/>
      <c r="AY178" s="173"/>
      <c r="AZ178" s="179"/>
      <c r="BA178" s="179"/>
      <c r="BB178" s="175"/>
      <c r="BC178" s="49" t="e">
        <v>#REF!</v>
      </c>
      <c r="BD178" s="175"/>
    </row>
    <row r="179" spans="1:56" s="176" customFormat="1" x14ac:dyDescent="0.45">
      <c r="A179" s="13"/>
      <c r="B179" s="262"/>
      <c r="C179" s="262"/>
      <c r="D179" s="262"/>
      <c r="E179" s="262"/>
      <c r="F179" s="262"/>
      <c r="G179" s="262"/>
      <c r="H179" s="262"/>
      <c r="I179" s="262"/>
      <c r="J179" s="262"/>
      <c r="K179" s="262"/>
      <c r="L179" s="177"/>
      <c r="M179" s="262"/>
      <c r="N179" s="262"/>
      <c r="O179" s="262"/>
      <c r="P179" s="262"/>
      <c r="Q179" s="262"/>
      <c r="R179" s="262"/>
      <c r="S179" s="262"/>
      <c r="T179" s="262"/>
      <c r="U179" s="262"/>
      <c r="V179" s="262"/>
      <c r="W179" s="262"/>
      <c r="X179" s="175"/>
      <c r="Y179" s="175"/>
      <c r="Z179" s="175"/>
      <c r="AA179" s="175"/>
      <c r="AB179" s="175"/>
      <c r="AC179" s="175"/>
      <c r="AD179" s="175"/>
      <c r="AE179" s="175"/>
      <c r="AF179" s="175"/>
      <c r="AG179" s="179"/>
      <c r="AH179" s="179"/>
      <c r="AI179" s="177"/>
      <c r="AJ179" s="179"/>
      <c r="AK179" s="183"/>
      <c r="AL179" s="177"/>
      <c r="AM179" s="177"/>
      <c r="AN179" s="263"/>
      <c r="AO179" s="175"/>
      <c r="AP179" s="175"/>
      <c r="AQ179" s="307"/>
      <c r="AR179" s="170"/>
      <c r="AS179" s="253"/>
      <c r="AT179" s="253"/>
      <c r="AU179" s="214"/>
      <c r="AV179" s="268"/>
      <c r="AW179" s="175"/>
      <c r="AX179" s="210"/>
      <c r="AY179" s="173"/>
      <c r="AZ179" s="179"/>
      <c r="BA179" s="179"/>
      <c r="BB179" s="175"/>
      <c r="BC179" s="49" t="e">
        <v>#REF!</v>
      </c>
      <c r="BD179" s="175"/>
    </row>
    <row r="180" spans="1:56" s="176" customFormat="1" x14ac:dyDescent="0.45">
      <c r="A180" s="13"/>
      <c r="B180" s="262"/>
      <c r="C180" s="262"/>
      <c r="D180" s="262"/>
      <c r="E180" s="262"/>
      <c r="F180" s="262"/>
      <c r="G180" s="262"/>
      <c r="H180" s="262"/>
      <c r="I180" s="262"/>
      <c r="J180" s="262"/>
      <c r="K180" s="262"/>
      <c r="L180" s="177"/>
      <c r="M180" s="262"/>
      <c r="N180" s="262"/>
      <c r="O180" s="262"/>
      <c r="P180" s="262"/>
      <c r="Q180" s="262"/>
      <c r="R180" s="262"/>
      <c r="S180" s="262"/>
      <c r="T180" s="262"/>
      <c r="U180" s="262"/>
      <c r="V180" s="262"/>
      <c r="W180" s="262"/>
      <c r="X180" s="175"/>
      <c r="Y180" s="175"/>
      <c r="Z180" s="175"/>
      <c r="AA180" s="175"/>
      <c r="AB180" s="175"/>
      <c r="AC180" s="175"/>
      <c r="AD180" s="175"/>
      <c r="AE180" s="175"/>
      <c r="AF180" s="175"/>
      <c r="AG180" s="179"/>
      <c r="AH180" s="179"/>
      <c r="AI180" s="177"/>
      <c r="AJ180" s="179"/>
      <c r="AK180" s="183"/>
      <c r="AL180" s="177"/>
      <c r="AM180" s="177"/>
      <c r="AN180" s="263"/>
      <c r="AO180" s="175"/>
      <c r="AP180" s="175"/>
      <c r="AQ180" s="307"/>
      <c r="AR180" s="170"/>
      <c r="AS180" s="253"/>
      <c r="AT180" s="253"/>
      <c r="AU180" s="214"/>
      <c r="AV180" s="268"/>
      <c r="AW180" s="175"/>
      <c r="AX180" s="210"/>
      <c r="AY180" s="173"/>
      <c r="AZ180" s="179"/>
      <c r="BA180" s="179"/>
      <c r="BB180" s="175"/>
      <c r="BC180" s="49" t="e">
        <v>#REF!</v>
      </c>
      <c r="BD180" s="175"/>
    </row>
    <row r="181" spans="1:56" s="176" customFormat="1" x14ac:dyDescent="0.45">
      <c r="A181" s="12"/>
      <c r="B181" s="262"/>
      <c r="C181" s="262"/>
      <c r="D181" s="262"/>
      <c r="E181" s="262"/>
      <c r="F181" s="262"/>
      <c r="G181" s="262"/>
      <c r="H181" s="262"/>
      <c r="I181" s="262"/>
      <c r="J181" s="262"/>
      <c r="K181" s="262"/>
      <c r="L181" s="177"/>
      <c r="M181" s="262"/>
      <c r="N181" s="262"/>
      <c r="O181" s="262"/>
      <c r="P181" s="262"/>
      <c r="Q181" s="262"/>
      <c r="R181" s="262"/>
      <c r="S181" s="262"/>
      <c r="T181" s="262"/>
      <c r="U181" s="262"/>
      <c r="V181" s="262"/>
      <c r="W181" s="262"/>
      <c r="X181" s="175"/>
      <c r="Y181" s="175"/>
      <c r="Z181" s="175"/>
      <c r="AA181" s="175"/>
      <c r="AB181" s="175"/>
      <c r="AC181" s="175"/>
      <c r="AD181" s="175"/>
      <c r="AE181" s="175"/>
      <c r="AF181" s="175"/>
      <c r="AG181" s="179"/>
      <c r="AH181" s="179"/>
      <c r="AI181" s="177"/>
      <c r="AJ181" s="179"/>
      <c r="AK181" s="183"/>
      <c r="AL181" s="177"/>
      <c r="AM181" s="177"/>
      <c r="AN181" s="263"/>
      <c r="AO181" s="175"/>
      <c r="AP181" s="175"/>
      <c r="AQ181" s="307"/>
      <c r="AR181" s="170"/>
      <c r="AS181" s="253"/>
      <c r="AT181" s="253"/>
      <c r="AU181" s="214"/>
      <c r="AV181" s="268"/>
      <c r="AW181" s="175"/>
      <c r="AX181" s="210"/>
      <c r="AY181" s="173"/>
      <c r="AZ181" s="179"/>
      <c r="BA181" s="179"/>
      <c r="BB181" s="175"/>
      <c r="BC181" s="49" t="e">
        <v>#REF!</v>
      </c>
      <c r="BD181" s="175"/>
    </row>
    <row r="182" spans="1:56" s="176" customFormat="1" x14ac:dyDescent="0.45">
      <c r="A182" s="13"/>
      <c r="B182" s="262"/>
      <c r="C182" s="262"/>
      <c r="D182" s="262"/>
      <c r="E182" s="262"/>
      <c r="F182" s="262"/>
      <c r="G182" s="262"/>
      <c r="H182" s="262"/>
      <c r="I182" s="262"/>
      <c r="J182" s="262"/>
      <c r="K182" s="262"/>
      <c r="L182" s="177"/>
      <c r="M182" s="262"/>
      <c r="N182" s="262"/>
      <c r="O182" s="262"/>
      <c r="P182" s="262"/>
      <c r="Q182" s="262"/>
      <c r="R182" s="262"/>
      <c r="S182" s="262"/>
      <c r="T182" s="262"/>
      <c r="U182" s="262"/>
      <c r="V182" s="262"/>
      <c r="W182" s="262"/>
      <c r="X182" s="175"/>
      <c r="Y182" s="175"/>
      <c r="Z182" s="175"/>
      <c r="AA182" s="175"/>
      <c r="AB182" s="175"/>
      <c r="AC182" s="175"/>
      <c r="AD182" s="175"/>
      <c r="AE182" s="175"/>
      <c r="AF182" s="175"/>
      <c r="AG182" s="179"/>
      <c r="AH182" s="179"/>
      <c r="AI182" s="177"/>
      <c r="AJ182" s="179"/>
      <c r="AK182" s="183"/>
      <c r="AL182" s="177"/>
      <c r="AM182" s="177"/>
      <c r="AN182" s="263"/>
      <c r="AO182" s="175"/>
      <c r="AP182" s="175"/>
      <c r="AQ182" s="307"/>
      <c r="AR182" s="170"/>
      <c r="AS182" s="253"/>
      <c r="AT182" s="253"/>
      <c r="AU182" s="214"/>
      <c r="AV182" s="268"/>
      <c r="AW182" s="175"/>
      <c r="AX182" s="210"/>
      <c r="AY182" s="173"/>
      <c r="AZ182" s="179"/>
      <c r="BA182" s="179"/>
      <c r="BB182" s="175"/>
      <c r="BC182" s="49" t="e">
        <v>#REF!</v>
      </c>
      <c r="BD182" s="175"/>
    </row>
    <row r="183" spans="1:56" s="176" customFormat="1" x14ac:dyDescent="0.45">
      <c r="A183" s="13"/>
      <c r="B183" s="262"/>
      <c r="C183" s="262"/>
      <c r="D183" s="262"/>
      <c r="E183" s="262"/>
      <c r="F183" s="262"/>
      <c r="G183" s="262"/>
      <c r="H183" s="262"/>
      <c r="I183" s="262"/>
      <c r="J183" s="262"/>
      <c r="K183" s="262"/>
      <c r="L183" s="177"/>
      <c r="M183" s="262"/>
      <c r="N183" s="262"/>
      <c r="O183" s="262"/>
      <c r="P183" s="262"/>
      <c r="Q183" s="262"/>
      <c r="R183" s="262"/>
      <c r="S183" s="262"/>
      <c r="T183" s="262"/>
      <c r="U183" s="262"/>
      <c r="V183" s="262"/>
      <c r="W183" s="262"/>
      <c r="X183" s="175"/>
      <c r="Y183" s="175"/>
      <c r="Z183" s="175"/>
      <c r="AA183" s="175"/>
      <c r="AB183" s="175"/>
      <c r="AC183" s="175"/>
      <c r="AD183" s="175"/>
      <c r="AE183" s="175"/>
      <c r="AF183" s="175"/>
      <c r="AG183" s="179"/>
      <c r="AH183" s="179"/>
      <c r="AI183" s="177"/>
      <c r="AJ183" s="179"/>
      <c r="AK183" s="183"/>
      <c r="AL183" s="177"/>
      <c r="AM183" s="177"/>
      <c r="AN183" s="263"/>
      <c r="AO183" s="175"/>
      <c r="AP183" s="175"/>
      <c r="AQ183" s="307"/>
      <c r="AR183" s="170"/>
      <c r="AS183" s="253"/>
      <c r="AT183" s="253"/>
      <c r="AU183" s="214"/>
      <c r="AV183" s="268"/>
      <c r="AW183" s="175"/>
      <c r="AX183" s="210"/>
      <c r="AY183" s="173"/>
      <c r="AZ183" s="179"/>
      <c r="BA183" s="179"/>
      <c r="BB183" s="175"/>
      <c r="BC183" s="49" t="e">
        <v>#REF!</v>
      </c>
      <c r="BD183" s="175"/>
    </row>
    <row r="184" spans="1:56" s="176" customFormat="1" x14ac:dyDescent="0.45">
      <c r="A184" s="12"/>
      <c r="B184" s="262"/>
      <c r="C184" s="262"/>
      <c r="D184" s="262"/>
      <c r="E184" s="262"/>
      <c r="F184" s="262"/>
      <c r="G184" s="262"/>
      <c r="H184" s="262"/>
      <c r="I184" s="262"/>
      <c r="J184" s="262"/>
      <c r="K184" s="262"/>
      <c r="L184" s="177"/>
      <c r="M184" s="262"/>
      <c r="N184" s="262"/>
      <c r="O184" s="262"/>
      <c r="P184" s="262"/>
      <c r="Q184" s="262"/>
      <c r="R184" s="262"/>
      <c r="S184" s="262"/>
      <c r="T184" s="262"/>
      <c r="U184" s="262"/>
      <c r="V184" s="262"/>
      <c r="W184" s="262"/>
      <c r="X184" s="175"/>
      <c r="Y184" s="175"/>
      <c r="Z184" s="175"/>
      <c r="AA184" s="175"/>
      <c r="AB184" s="175"/>
      <c r="AC184" s="175"/>
      <c r="AD184" s="175"/>
      <c r="AE184" s="175"/>
      <c r="AF184" s="175"/>
      <c r="AG184" s="179"/>
      <c r="AH184" s="179"/>
      <c r="AI184" s="177"/>
      <c r="AJ184" s="179"/>
      <c r="AK184" s="183"/>
      <c r="AL184" s="177"/>
      <c r="AM184" s="177"/>
      <c r="AN184" s="263"/>
      <c r="AO184" s="175"/>
      <c r="AP184" s="175"/>
      <c r="AQ184" s="307"/>
      <c r="AR184" s="175"/>
      <c r="AS184" s="253"/>
      <c r="AT184" s="253"/>
      <c r="AU184" s="214"/>
      <c r="AV184" s="268"/>
      <c r="AW184" s="175"/>
      <c r="AX184" s="210"/>
      <c r="AY184" s="173"/>
      <c r="AZ184" s="179"/>
      <c r="BA184" s="179"/>
      <c r="BB184" s="175"/>
      <c r="BC184" s="49" t="e">
        <v>#REF!</v>
      </c>
      <c r="BD184" s="175"/>
    </row>
    <row r="185" spans="1:56" s="176" customFormat="1" x14ac:dyDescent="0.45">
      <c r="A185" s="13"/>
      <c r="B185" s="262"/>
      <c r="C185" s="262"/>
      <c r="D185" s="262"/>
      <c r="E185" s="262"/>
      <c r="F185" s="262"/>
      <c r="G185" s="262"/>
      <c r="H185" s="262"/>
      <c r="I185" s="262"/>
      <c r="J185" s="262"/>
      <c r="K185" s="262"/>
      <c r="L185" s="177"/>
      <c r="M185" s="262"/>
      <c r="N185" s="262"/>
      <c r="O185" s="262"/>
      <c r="P185" s="262"/>
      <c r="Q185" s="262"/>
      <c r="R185" s="262"/>
      <c r="S185" s="262"/>
      <c r="T185" s="262"/>
      <c r="U185" s="262"/>
      <c r="V185" s="262"/>
      <c r="W185" s="262"/>
      <c r="X185" s="175"/>
      <c r="Y185" s="175"/>
      <c r="Z185" s="175"/>
      <c r="AA185" s="175"/>
      <c r="AB185" s="175"/>
      <c r="AC185" s="175"/>
      <c r="AD185" s="175"/>
      <c r="AE185" s="175"/>
      <c r="AF185" s="175"/>
      <c r="AG185" s="179"/>
      <c r="AH185" s="179"/>
      <c r="AI185" s="177"/>
      <c r="AJ185" s="179"/>
      <c r="AK185" s="183"/>
      <c r="AL185" s="177"/>
      <c r="AM185" s="177"/>
      <c r="AN185" s="263"/>
      <c r="AO185" s="175"/>
      <c r="AP185" s="175"/>
      <c r="AQ185" s="307"/>
      <c r="AR185" s="175"/>
      <c r="AS185" s="253"/>
      <c r="AT185" s="253"/>
      <c r="AU185" s="214"/>
      <c r="AV185" s="268"/>
      <c r="AW185" s="175"/>
      <c r="AX185" s="210"/>
      <c r="AY185" s="173"/>
      <c r="AZ185" s="179"/>
      <c r="BA185" s="179"/>
      <c r="BB185" s="175"/>
      <c r="BC185" s="49" t="e">
        <v>#REF!</v>
      </c>
      <c r="BD185" s="175"/>
    </row>
    <row r="186" spans="1:56" s="176" customFormat="1" x14ac:dyDescent="0.45">
      <c r="A186" s="13"/>
      <c r="B186" s="262"/>
      <c r="C186" s="262"/>
      <c r="D186" s="262"/>
      <c r="E186" s="262"/>
      <c r="F186" s="262"/>
      <c r="G186" s="262"/>
      <c r="H186" s="262"/>
      <c r="I186" s="262"/>
      <c r="J186" s="262"/>
      <c r="K186" s="262"/>
      <c r="L186" s="177"/>
      <c r="M186" s="262"/>
      <c r="N186" s="262"/>
      <c r="O186" s="262"/>
      <c r="P186" s="262"/>
      <c r="Q186" s="262"/>
      <c r="R186" s="262"/>
      <c r="S186" s="262"/>
      <c r="T186" s="262"/>
      <c r="U186" s="262"/>
      <c r="V186" s="262"/>
      <c r="W186" s="262"/>
      <c r="X186" s="175"/>
      <c r="Y186" s="175"/>
      <c r="Z186" s="175"/>
      <c r="AA186" s="175"/>
      <c r="AB186" s="175"/>
      <c r="AC186" s="175"/>
      <c r="AD186" s="175"/>
      <c r="AE186" s="175"/>
      <c r="AF186" s="175"/>
      <c r="AG186" s="179"/>
      <c r="AH186" s="179"/>
      <c r="AI186" s="177"/>
      <c r="AJ186" s="179"/>
      <c r="AK186" s="183"/>
      <c r="AL186" s="177"/>
      <c r="AM186" s="177"/>
      <c r="AN186" s="263"/>
      <c r="AO186" s="175"/>
      <c r="AP186" s="175"/>
      <c r="AQ186" s="307"/>
      <c r="AR186" s="175"/>
      <c r="AS186" s="253"/>
      <c r="AT186" s="253"/>
      <c r="AU186" s="214"/>
      <c r="AV186" s="268"/>
      <c r="AW186" s="175"/>
      <c r="AX186" s="210"/>
      <c r="AY186" s="173"/>
      <c r="AZ186" s="179"/>
      <c r="BA186" s="179"/>
      <c r="BB186" s="175"/>
      <c r="BC186" s="49" t="e">
        <v>#REF!</v>
      </c>
      <c r="BD186" s="175"/>
    </row>
    <row r="187" spans="1:56" s="176" customFormat="1" x14ac:dyDescent="0.45">
      <c r="A187" s="12"/>
      <c r="B187" s="262"/>
      <c r="C187" s="262"/>
      <c r="D187" s="262"/>
      <c r="E187" s="262"/>
      <c r="F187" s="262"/>
      <c r="G187" s="262"/>
      <c r="H187" s="262"/>
      <c r="I187" s="262"/>
      <c r="J187" s="262"/>
      <c r="K187" s="262"/>
      <c r="L187" s="177"/>
      <c r="M187" s="262"/>
      <c r="N187" s="262"/>
      <c r="O187" s="262"/>
      <c r="P187" s="262"/>
      <c r="Q187" s="262"/>
      <c r="R187" s="262"/>
      <c r="S187" s="262"/>
      <c r="T187" s="262"/>
      <c r="U187" s="262"/>
      <c r="V187" s="262"/>
      <c r="W187" s="262"/>
      <c r="X187" s="175"/>
      <c r="Y187" s="175"/>
      <c r="Z187" s="175"/>
      <c r="AA187" s="175"/>
      <c r="AB187" s="175"/>
      <c r="AC187" s="175"/>
      <c r="AD187" s="175"/>
      <c r="AE187" s="175"/>
      <c r="AF187" s="175"/>
      <c r="AG187" s="179"/>
      <c r="AH187" s="179"/>
      <c r="AI187" s="177"/>
      <c r="AJ187" s="179"/>
      <c r="AK187" s="183"/>
      <c r="AL187" s="177"/>
      <c r="AM187" s="177"/>
      <c r="AN187" s="263"/>
      <c r="AO187" s="175"/>
      <c r="AP187" s="175"/>
      <c r="AQ187" s="307"/>
      <c r="AR187" s="175"/>
      <c r="AS187" s="253"/>
      <c r="AT187" s="253"/>
      <c r="AU187" s="214"/>
      <c r="AV187" s="268"/>
      <c r="AW187" s="175"/>
      <c r="AX187" s="210"/>
      <c r="AY187" s="173"/>
      <c r="AZ187" s="179"/>
      <c r="BA187" s="179"/>
      <c r="BB187" s="175"/>
      <c r="BC187" s="49" t="e">
        <v>#REF!</v>
      </c>
      <c r="BD187" s="175"/>
    </row>
    <row r="188" spans="1:56" s="176" customFormat="1" x14ac:dyDescent="0.45">
      <c r="A188" s="13"/>
      <c r="B188" s="262"/>
      <c r="C188" s="262"/>
      <c r="D188" s="262"/>
      <c r="E188" s="262"/>
      <c r="F188" s="262"/>
      <c r="G188" s="262"/>
      <c r="H188" s="262"/>
      <c r="I188" s="262"/>
      <c r="J188" s="262"/>
      <c r="K188" s="262"/>
      <c r="L188" s="177"/>
      <c r="M188" s="262"/>
      <c r="N188" s="262"/>
      <c r="O188" s="262"/>
      <c r="P188" s="262"/>
      <c r="Q188" s="262"/>
      <c r="R188" s="262"/>
      <c r="S188" s="262"/>
      <c r="T188" s="262"/>
      <c r="U188" s="262"/>
      <c r="V188" s="262"/>
      <c r="W188" s="262"/>
      <c r="X188" s="175"/>
      <c r="Y188" s="175"/>
      <c r="Z188" s="175"/>
      <c r="AA188" s="175"/>
      <c r="AB188" s="175"/>
      <c r="AC188" s="175"/>
      <c r="AD188" s="175"/>
      <c r="AE188" s="175"/>
      <c r="AF188" s="175"/>
      <c r="AG188" s="179"/>
      <c r="AH188" s="179"/>
      <c r="AI188" s="177"/>
      <c r="AJ188" s="179"/>
      <c r="AK188" s="183"/>
      <c r="AL188" s="177"/>
      <c r="AM188" s="177"/>
      <c r="AN188" s="263"/>
      <c r="AO188" s="175"/>
      <c r="AP188" s="175"/>
      <c r="AQ188" s="307"/>
      <c r="AR188" s="175"/>
      <c r="AS188" s="253"/>
      <c r="AT188" s="253"/>
      <c r="AU188" s="214"/>
      <c r="AV188" s="268"/>
      <c r="AW188" s="175"/>
      <c r="AX188" s="210"/>
      <c r="AY188" s="173"/>
      <c r="AZ188" s="179"/>
      <c r="BA188" s="179"/>
      <c r="BB188" s="175"/>
      <c r="BC188" s="49" t="e">
        <v>#REF!</v>
      </c>
      <c r="BD188" s="175"/>
    </row>
    <row r="189" spans="1:56" s="176" customFormat="1" x14ac:dyDescent="0.45">
      <c r="A189" s="13"/>
      <c r="B189" s="262"/>
      <c r="C189" s="262"/>
      <c r="D189" s="262"/>
      <c r="E189" s="262"/>
      <c r="F189" s="262"/>
      <c r="G189" s="262"/>
      <c r="H189" s="262"/>
      <c r="I189" s="262"/>
      <c r="J189" s="262"/>
      <c r="K189" s="262"/>
      <c r="L189" s="177"/>
      <c r="M189" s="262"/>
      <c r="N189" s="262"/>
      <c r="O189" s="262"/>
      <c r="P189" s="262"/>
      <c r="Q189" s="262"/>
      <c r="R189" s="262"/>
      <c r="S189" s="262"/>
      <c r="T189" s="262"/>
      <c r="U189" s="262"/>
      <c r="V189" s="262"/>
      <c r="W189" s="262"/>
      <c r="X189" s="175"/>
      <c r="Y189" s="175"/>
      <c r="Z189" s="175"/>
      <c r="AA189" s="175"/>
      <c r="AB189" s="175"/>
      <c r="AC189" s="175"/>
      <c r="AD189" s="175"/>
      <c r="AE189" s="175"/>
      <c r="AF189" s="175"/>
      <c r="AG189" s="179"/>
      <c r="AH189" s="179"/>
      <c r="AI189" s="177"/>
      <c r="AJ189" s="179"/>
      <c r="AK189" s="183"/>
      <c r="AL189" s="177"/>
      <c r="AM189" s="177"/>
      <c r="AN189" s="263"/>
      <c r="AO189" s="175"/>
      <c r="AP189" s="175"/>
      <c r="AQ189" s="307"/>
      <c r="AR189" s="175"/>
      <c r="AS189" s="253"/>
      <c r="AT189" s="253"/>
      <c r="AU189" s="214"/>
      <c r="AV189" s="268"/>
      <c r="AW189" s="175"/>
      <c r="AX189" s="210"/>
      <c r="AY189" s="173"/>
      <c r="AZ189" s="179"/>
      <c r="BA189" s="179"/>
      <c r="BB189" s="175"/>
      <c r="BC189" s="49" t="e">
        <v>#REF!</v>
      </c>
      <c r="BD189" s="175"/>
    </row>
    <row r="190" spans="1:56" s="176" customFormat="1" x14ac:dyDescent="0.45">
      <c r="A190" s="12"/>
      <c r="B190" s="262"/>
      <c r="C190" s="262"/>
      <c r="D190" s="262"/>
      <c r="E190" s="262"/>
      <c r="F190" s="262"/>
      <c r="G190" s="262"/>
      <c r="H190" s="262"/>
      <c r="I190" s="262"/>
      <c r="J190" s="262"/>
      <c r="K190" s="262"/>
      <c r="L190" s="177"/>
      <c r="M190" s="262"/>
      <c r="N190" s="262"/>
      <c r="O190" s="262"/>
      <c r="P190" s="262"/>
      <c r="Q190" s="262"/>
      <c r="R190" s="262"/>
      <c r="S190" s="262"/>
      <c r="T190" s="262"/>
      <c r="U190" s="262"/>
      <c r="V190" s="262"/>
      <c r="W190" s="262"/>
      <c r="X190" s="175"/>
      <c r="Y190" s="175"/>
      <c r="Z190" s="175"/>
      <c r="AA190" s="175"/>
      <c r="AB190" s="175"/>
      <c r="AC190" s="175"/>
      <c r="AD190" s="175"/>
      <c r="AE190" s="175"/>
      <c r="AF190" s="175"/>
      <c r="AG190" s="179"/>
      <c r="AH190" s="179"/>
      <c r="AI190" s="177"/>
      <c r="AJ190" s="179"/>
      <c r="AK190" s="183"/>
      <c r="AL190" s="177"/>
      <c r="AM190" s="177"/>
      <c r="AN190" s="263"/>
      <c r="AO190" s="175"/>
      <c r="AP190" s="175"/>
      <c r="AQ190" s="307"/>
      <c r="AR190" s="175"/>
      <c r="AS190" s="253"/>
      <c r="AT190" s="253"/>
      <c r="AU190" s="214"/>
      <c r="AV190" s="268"/>
      <c r="AW190" s="175"/>
      <c r="AX190" s="210"/>
      <c r="AY190" s="173"/>
      <c r="AZ190" s="179"/>
      <c r="BA190" s="179"/>
      <c r="BB190" s="175"/>
      <c r="BC190" s="49" t="e">
        <v>#REF!</v>
      </c>
      <c r="BD190" s="175"/>
    </row>
    <row r="191" spans="1:56" s="176" customFormat="1" x14ac:dyDescent="0.45">
      <c r="A191" s="13"/>
      <c r="B191" s="262"/>
      <c r="C191" s="262"/>
      <c r="D191" s="262"/>
      <c r="E191" s="262"/>
      <c r="F191" s="262"/>
      <c r="G191" s="262"/>
      <c r="H191" s="262"/>
      <c r="I191" s="262"/>
      <c r="J191" s="262"/>
      <c r="K191" s="262"/>
      <c r="L191" s="177"/>
      <c r="M191" s="262"/>
      <c r="N191" s="262"/>
      <c r="O191" s="262"/>
      <c r="P191" s="262"/>
      <c r="Q191" s="262"/>
      <c r="R191" s="262"/>
      <c r="S191" s="262"/>
      <c r="T191" s="262"/>
      <c r="U191" s="262"/>
      <c r="V191" s="262"/>
      <c r="W191" s="262"/>
      <c r="X191" s="175"/>
      <c r="Y191" s="175"/>
      <c r="Z191" s="175"/>
      <c r="AA191" s="175"/>
      <c r="AB191" s="175"/>
      <c r="AC191" s="175"/>
      <c r="AD191" s="175"/>
      <c r="AE191" s="175"/>
      <c r="AF191" s="175"/>
      <c r="AG191" s="179"/>
      <c r="AH191" s="179"/>
      <c r="AI191" s="177"/>
      <c r="AJ191" s="179"/>
      <c r="AK191" s="183"/>
      <c r="AL191" s="177"/>
      <c r="AM191" s="177"/>
      <c r="AN191" s="263"/>
      <c r="AO191" s="175"/>
      <c r="AP191" s="175"/>
      <c r="AQ191" s="307"/>
      <c r="AR191" s="175"/>
      <c r="AS191" s="253"/>
      <c r="AT191" s="253"/>
      <c r="AU191" s="214"/>
      <c r="AV191" s="268"/>
      <c r="AW191" s="175"/>
      <c r="AX191" s="210"/>
      <c r="AY191" s="173"/>
      <c r="AZ191" s="179"/>
      <c r="BA191" s="179"/>
      <c r="BB191" s="175"/>
      <c r="BC191" s="49" t="e">
        <v>#REF!</v>
      </c>
      <c r="BD191" s="175"/>
    </row>
    <row r="192" spans="1:56" s="176" customFormat="1" x14ac:dyDescent="0.45">
      <c r="A192" s="13"/>
      <c r="B192" s="262"/>
      <c r="C192" s="262"/>
      <c r="D192" s="262"/>
      <c r="E192" s="262"/>
      <c r="F192" s="262"/>
      <c r="G192" s="262"/>
      <c r="H192" s="262"/>
      <c r="I192" s="262"/>
      <c r="J192" s="262"/>
      <c r="K192" s="262"/>
      <c r="L192" s="177"/>
      <c r="M192" s="262"/>
      <c r="N192" s="262"/>
      <c r="O192" s="262"/>
      <c r="P192" s="262"/>
      <c r="Q192" s="262"/>
      <c r="R192" s="262"/>
      <c r="S192" s="262"/>
      <c r="T192" s="262"/>
      <c r="U192" s="262"/>
      <c r="V192" s="262"/>
      <c r="W192" s="262"/>
      <c r="X192" s="175"/>
      <c r="Y192" s="175"/>
      <c r="Z192" s="175"/>
      <c r="AA192" s="175"/>
      <c r="AB192" s="175"/>
      <c r="AC192" s="175"/>
      <c r="AD192" s="175"/>
      <c r="AE192" s="175"/>
      <c r="AF192" s="175"/>
      <c r="AG192" s="179"/>
      <c r="AH192" s="179"/>
      <c r="AI192" s="177"/>
      <c r="AJ192" s="179"/>
      <c r="AK192" s="183"/>
      <c r="AL192" s="177"/>
      <c r="AM192" s="177"/>
      <c r="AN192" s="263"/>
      <c r="AO192" s="175"/>
      <c r="AP192" s="175"/>
      <c r="AQ192" s="307"/>
      <c r="AR192" s="175"/>
      <c r="AS192" s="253"/>
      <c r="AT192" s="253"/>
      <c r="AU192" s="214"/>
      <c r="AV192" s="268"/>
      <c r="AW192" s="175"/>
      <c r="AX192" s="210"/>
      <c r="AY192" s="173"/>
      <c r="AZ192" s="179"/>
      <c r="BA192" s="179"/>
      <c r="BB192" s="175"/>
      <c r="BC192" s="49" t="e">
        <v>#REF!</v>
      </c>
      <c r="BD192" s="175"/>
    </row>
    <row r="193" spans="1:56" s="176" customFormat="1" x14ac:dyDescent="0.45">
      <c r="A193" s="12"/>
      <c r="B193" s="262"/>
      <c r="C193" s="262"/>
      <c r="D193" s="262"/>
      <c r="E193" s="262"/>
      <c r="F193" s="262"/>
      <c r="G193" s="262"/>
      <c r="H193" s="262"/>
      <c r="I193" s="262"/>
      <c r="J193" s="262"/>
      <c r="K193" s="262"/>
      <c r="L193" s="177"/>
      <c r="M193" s="262"/>
      <c r="N193" s="262"/>
      <c r="O193" s="262"/>
      <c r="P193" s="262"/>
      <c r="Q193" s="262"/>
      <c r="R193" s="262"/>
      <c r="S193" s="262"/>
      <c r="T193" s="262"/>
      <c r="U193" s="262"/>
      <c r="V193" s="262"/>
      <c r="W193" s="262"/>
      <c r="X193" s="175"/>
      <c r="Y193" s="175"/>
      <c r="Z193" s="175"/>
      <c r="AA193" s="175"/>
      <c r="AB193" s="175"/>
      <c r="AC193" s="175"/>
      <c r="AD193" s="175"/>
      <c r="AE193" s="175"/>
      <c r="AF193" s="175"/>
      <c r="AG193" s="179"/>
      <c r="AH193" s="179"/>
      <c r="AI193" s="177"/>
      <c r="AJ193" s="179"/>
      <c r="AK193" s="183"/>
      <c r="AL193" s="177"/>
      <c r="AM193" s="177"/>
      <c r="AN193" s="263"/>
      <c r="AO193" s="175"/>
      <c r="AP193" s="175"/>
      <c r="AQ193" s="307"/>
      <c r="AR193" s="175"/>
      <c r="AS193" s="253"/>
      <c r="AT193" s="253"/>
      <c r="AU193" s="214"/>
      <c r="AV193" s="268"/>
      <c r="AW193" s="175"/>
      <c r="AX193" s="210"/>
      <c r="AY193" s="173"/>
      <c r="AZ193" s="179"/>
      <c r="BA193" s="179"/>
      <c r="BB193" s="175"/>
      <c r="BC193" s="49" t="e">
        <v>#REF!</v>
      </c>
      <c r="BD193" s="175"/>
    </row>
    <row r="194" spans="1:56" s="176" customFormat="1" x14ac:dyDescent="0.45">
      <c r="A194" s="13"/>
      <c r="B194" s="262"/>
      <c r="C194" s="262"/>
      <c r="D194" s="262"/>
      <c r="E194" s="262"/>
      <c r="F194" s="262"/>
      <c r="G194" s="262"/>
      <c r="H194" s="262"/>
      <c r="I194" s="262"/>
      <c r="J194" s="262"/>
      <c r="K194" s="262"/>
      <c r="L194" s="177"/>
      <c r="M194" s="262"/>
      <c r="N194" s="262"/>
      <c r="O194" s="262"/>
      <c r="P194" s="262"/>
      <c r="Q194" s="262"/>
      <c r="R194" s="262"/>
      <c r="S194" s="262"/>
      <c r="T194" s="262"/>
      <c r="U194" s="262"/>
      <c r="V194" s="262"/>
      <c r="W194" s="262"/>
      <c r="X194" s="175"/>
      <c r="Y194" s="175"/>
      <c r="Z194" s="175"/>
      <c r="AA194" s="175"/>
      <c r="AB194" s="175"/>
      <c r="AC194" s="175"/>
      <c r="AD194" s="175"/>
      <c r="AE194" s="175"/>
      <c r="AF194" s="175"/>
      <c r="AG194" s="179"/>
      <c r="AH194" s="179"/>
      <c r="AI194" s="177"/>
      <c r="AJ194" s="179"/>
      <c r="AK194" s="183"/>
      <c r="AL194" s="177"/>
      <c r="AM194" s="177"/>
      <c r="AN194" s="263"/>
      <c r="AO194" s="175"/>
      <c r="AP194" s="175"/>
      <c r="AQ194" s="307"/>
      <c r="AR194" s="175"/>
      <c r="AS194" s="253"/>
      <c r="AT194" s="253"/>
      <c r="AU194" s="214"/>
      <c r="AV194" s="268"/>
      <c r="AW194" s="175"/>
      <c r="AX194" s="210"/>
      <c r="AY194" s="173"/>
      <c r="AZ194" s="179"/>
      <c r="BA194" s="179"/>
      <c r="BB194" s="175"/>
      <c r="BC194" s="49" t="e">
        <v>#REF!</v>
      </c>
      <c r="BD194" s="175"/>
    </row>
    <row r="195" spans="1:56" s="176" customFormat="1" x14ac:dyDescent="0.45">
      <c r="A195" s="13"/>
      <c r="B195" s="262"/>
      <c r="C195" s="262"/>
      <c r="D195" s="262"/>
      <c r="E195" s="262"/>
      <c r="F195" s="262"/>
      <c r="G195" s="262"/>
      <c r="H195" s="262"/>
      <c r="I195" s="262"/>
      <c r="J195" s="262"/>
      <c r="K195" s="262"/>
      <c r="L195" s="177"/>
      <c r="M195" s="262"/>
      <c r="N195" s="262"/>
      <c r="O195" s="262"/>
      <c r="P195" s="262"/>
      <c r="Q195" s="262"/>
      <c r="R195" s="262"/>
      <c r="S195" s="262"/>
      <c r="T195" s="262"/>
      <c r="U195" s="262"/>
      <c r="V195" s="262"/>
      <c r="W195" s="262"/>
      <c r="X195" s="175"/>
      <c r="Y195" s="175"/>
      <c r="Z195" s="175"/>
      <c r="AA195" s="175"/>
      <c r="AB195" s="175"/>
      <c r="AC195" s="175"/>
      <c r="AD195" s="175"/>
      <c r="AE195" s="175"/>
      <c r="AF195" s="175"/>
      <c r="AG195" s="179"/>
      <c r="AH195" s="179"/>
      <c r="AI195" s="177"/>
      <c r="AJ195" s="179"/>
      <c r="AK195" s="183"/>
      <c r="AL195" s="177"/>
      <c r="AM195" s="177"/>
      <c r="AN195" s="263"/>
      <c r="AO195" s="175"/>
      <c r="AP195" s="175"/>
      <c r="AQ195" s="307"/>
      <c r="AR195" s="175"/>
      <c r="AS195" s="253"/>
      <c r="AT195" s="253"/>
      <c r="AU195" s="214"/>
      <c r="AV195" s="268"/>
      <c r="AW195" s="175"/>
      <c r="AX195" s="210"/>
      <c r="AY195" s="173"/>
      <c r="AZ195" s="179"/>
      <c r="BA195" s="179"/>
      <c r="BB195" s="175"/>
      <c r="BC195" s="49" t="e">
        <v>#REF!</v>
      </c>
      <c r="BD195" s="175"/>
    </row>
    <row r="196" spans="1:56" s="176" customFormat="1" x14ac:dyDescent="0.45">
      <c r="A196" s="12"/>
      <c r="B196" s="262"/>
      <c r="C196" s="262"/>
      <c r="D196" s="262"/>
      <c r="E196" s="262"/>
      <c r="F196" s="262"/>
      <c r="G196" s="262"/>
      <c r="H196" s="262"/>
      <c r="I196" s="262"/>
      <c r="J196" s="262"/>
      <c r="K196" s="262"/>
      <c r="L196" s="177"/>
      <c r="M196" s="262"/>
      <c r="N196" s="262"/>
      <c r="O196" s="262"/>
      <c r="P196" s="262"/>
      <c r="Q196" s="262"/>
      <c r="R196" s="262"/>
      <c r="S196" s="262"/>
      <c r="T196" s="262"/>
      <c r="U196" s="262"/>
      <c r="V196" s="262"/>
      <c r="W196" s="262"/>
      <c r="X196" s="175"/>
      <c r="Y196" s="175"/>
      <c r="Z196" s="175"/>
      <c r="AA196" s="175"/>
      <c r="AB196" s="175"/>
      <c r="AC196" s="175"/>
      <c r="AD196" s="175"/>
      <c r="AE196" s="175"/>
      <c r="AF196" s="175"/>
      <c r="AG196" s="179"/>
      <c r="AH196" s="179"/>
      <c r="AI196" s="177"/>
      <c r="AJ196" s="179"/>
      <c r="AK196" s="183"/>
      <c r="AL196" s="177"/>
      <c r="AM196" s="177"/>
      <c r="AN196" s="263"/>
      <c r="AO196" s="175"/>
      <c r="AP196" s="175"/>
      <c r="AQ196" s="307"/>
      <c r="AR196" s="175"/>
      <c r="AS196" s="253"/>
      <c r="AT196" s="253"/>
      <c r="AU196" s="214"/>
      <c r="AV196" s="268"/>
      <c r="AW196" s="175"/>
      <c r="AX196" s="210"/>
      <c r="AY196" s="173"/>
      <c r="AZ196" s="179"/>
      <c r="BA196" s="179"/>
      <c r="BB196" s="175"/>
      <c r="BC196" s="49" t="e">
        <v>#REF!</v>
      </c>
      <c r="BD196" s="175"/>
    </row>
    <row r="197" spans="1:56" s="176" customFormat="1" x14ac:dyDescent="0.45">
      <c r="A197" s="13"/>
      <c r="B197" s="262"/>
      <c r="C197" s="262"/>
      <c r="D197" s="262"/>
      <c r="E197" s="262"/>
      <c r="F197" s="262"/>
      <c r="G197" s="262"/>
      <c r="H197" s="262"/>
      <c r="I197" s="262"/>
      <c r="J197" s="262"/>
      <c r="K197" s="262"/>
      <c r="L197" s="177"/>
      <c r="M197" s="262"/>
      <c r="N197" s="262"/>
      <c r="O197" s="262"/>
      <c r="P197" s="262"/>
      <c r="Q197" s="262"/>
      <c r="R197" s="262"/>
      <c r="S197" s="262"/>
      <c r="T197" s="262"/>
      <c r="U197" s="262"/>
      <c r="V197" s="262"/>
      <c r="W197" s="262"/>
      <c r="X197" s="175"/>
      <c r="Y197" s="175"/>
      <c r="Z197" s="175"/>
      <c r="AA197" s="175"/>
      <c r="AB197" s="175"/>
      <c r="AC197" s="175"/>
      <c r="AD197" s="175"/>
      <c r="AE197" s="175"/>
      <c r="AF197" s="175"/>
      <c r="AG197" s="179"/>
      <c r="AH197" s="179"/>
      <c r="AI197" s="177"/>
      <c r="AJ197" s="179"/>
      <c r="AK197" s="183"/>
      <c r="AL197" s="177"/>
      <c r="AM197" s="177"/>
      <c r="AN197" s="263"/>
      <c r="AO197" s="175"/>
      <c r="AP197" s="175"/>
      <c r="AQ197" s="307"/>
      <c r="AR197" s="175"/>
      <c r="AS197" s="253"/>
      <c r="AT197" s="253"/>
      <c r="AU197" s="214"/>
      <c r="AV197" s="268"/>
      <c r="AW197" s="175"/>
      <c r="AX197" s="210"/>
      <c r="AY197" s="173"/>
      <c r="AZ197" s="179"/>
      <c r="BA197" s="179"/>
      <c r="BB197" s="175"/>
      <c r="BC197" s="49" t="e">
        <v>#REF!</v>
      </c>
      <c r="BD197" s="175"/>
    </row>
    <row r="198" spans="1:56" s="176" customFormat="1" x14ac:dyDescent="0.45">
      <c r="A198" s="13"/>
      <c r="B198" s="262"/>
      <c r="C198" s="262"/>
      <c r="D198" s="262"/>
      <c r="E198" s="262"/>
      <c r="F198" s="262"/>
      <c r="G198" s="262"/>
      <c r="H198" s="262"/>
      <c r="I198" s="262"/>
      <c r="J198" s="262"/>
      <c r="K198" s="262"/>
      <c r="L198" s="177"/>
      <c r="M198" s="262"/>
      <c r="N198" s="262"/>
      <c r="O198" s="262"/>
      <c r="P198" s="262"/>
      <c r="Q198" s="262"/>
      <c r="R198" s="262"/>
      <c r="S198" s="262"/>
      <c r="T198" s="262"/>
      <c r="U198" s="262"/>
      <c r="V198" s="262"/>
      <c r="W198" s="262"/>
      <c r="X198" s="175"/>
      <c r="Y198" s="175"/>
      <c r="Z198" s="175"/>
      <c r="AA198" s="175"/>
      <c r="AB198" s="175"/>
      <c r="AC198" s="175"/>
      <c r="AD198" s="175"/>
      <c r="AE198" s="175"/>
      <c r="AF198" s="175"/>
      <c r="AG198" s="179"/>
      <c r="AH198" s="179"/>
      <c r="AI198" s="177"/>
      <c r="AJ198" s="179"/>
      <c r="AK198" s="183"/>
      <c r="AL198" s="177"/>
      <c r="AM198" s="177"/>
      <c r="AN198" s="263"/>
      <c r="AO198" s="175"/>
      <c r="AP198" s="175"/>
      <c r="AQ198" s="307"/>
      <c r="AR198" s="175"/>
      <c r="AS198" s="253"/>
      <c r="AT198" s="253"/>
      <c r="AU198" s="214"/>
      <c r="AV198" s="268"/>
      <c r="AW198" s="175"/>
      <c r="AX198" s="210"/>
      <c r="AY198" s="173"/>
      <c r="AZ198" s="179"/>
      <c r="BA198" s="179"/>
      <c r="BB198" s="175"/>
      <c r="BC198" s="49" t="e">
        <v>#REF!</v>
      </c>
      <c r="BD198" s="175"/>
    </row>
    <row r="199" spans="1:56" s="176" customFormat="1" x14ac:dyDescent="0.45">
      <c r="A199" s="12"/>
      <c r="B199" s="262"/>
      <c r="C199" s="262"/>
      <c r="D199" s="262"/>
      <c r="E199" s="262"/>
      <c r="F199" s="262"/>
      <c r="G199" s="262"/>
      <c r="H199" s="262"/>
      <c r="I199" s="262"/>
      <c r="J199" s="262"/>
      <c r="K199" s="262"/>
      <c r="L199" s="177"/>
      <c r="M199" s="262"/>
      <c r="N199" s="262"/>
      <c r="O199" s="262"/>
      <c r="P199" s="262"/>
      <c r="Q199" s="262"/>
      <c r="R199" s="262"/>
      <c r="S199" s="262"/>
      <c r="T199" s="262"/>
      <c r="U199" s="262"/>
      <c r="V199" s="262"/>
      <c r="W199" s="262"/>
      <c r="X199" s="175"/>
      <c r="Y199" s="175"/>
      <c r="Z199" s="175"/>
      <c r="AA199" s="175"/>
      <c r="AB199" s="175"/>
      <c r="AC199" s="175"/>
      <c r="AD199" s="175"/>
      <c r="AE199" s="175"/>
      <c r="AF199" s="175"/>
      <c r="AG199" s="179"/>
      <c r="AH199" s="179"/>
      <c r="AI199" s="177"/>
      <c r="AJ199" s="179"/>
      <c r="AK199" s="183"/>
      <c r="AL199" s="177"/>
      <c r="AM199" s="177"/>
      <c r="AN199" s="263"/>
      <c r="AO199" s="175"/>
      <c r="AP199" s="175"/>
      <c r="AQ199" s="307"/>
      <c r="AR199" s="175"/>
      <c r="AS199" s="170"/>
      <c r="AT199" s="170"/>
      <c r="AU199" s="214"/>
      <c r="AV199" s="268"/>
      <c r="AW199" s="175"/>
      <c r="AX199" s="210"/>
      <c r="AY199" s="173"/>
      <c r="AZ199" s="179"/>
      <c r="BA199" s="179"/>
      <c r="BB199" s="175"/>
      <c r="BC199" s="49" t="e">
        <v>#REF!</v>
      </c>
      <c r="BD199" s="175"/>
    </row>
    <row r="200" spans="1:56" s="176" customFormat="1" x14ac:dyDescent="0.45">
      <c r="A200" s="13"/>
      <c r="B200" s="262"/>
      <c r="C200" s="262"/>
      <c r="D200" s="262"/>
      <c r="E200" s="262"/>
      <c r="F200" s="262"/>
      <c r="G200" s="262"/>
      <c r="H200" s="262"/>
      <c r="I200" s="262"/>
      <c r="J200" s="262"/>
      <c r="K200" s="262"/>
      <c r="L200" s="177"/>
      <c r="M200" s="262"/>
      <c r="N200" s="262"/>
      <c r="O200" s="262"/>
      <c r="P200" s="262"/>
      <c r="Q200" s="262"/>
      <c r="R200" s="262"/>
      <c r="S200" s="262"/>
      <c r="T200" s="262"/>
      <c r="U200" s="262"/>
      <c r="V200" s="262"/>
      <c r="W200" s="262"/>
      <c r="X200" s="175"/>
      <c r="Y200" s="175"/>
      <c r="Z200" s="175"/>
      <c r="AA200" s="175"/>
      <c r="AB200" s="175"/>
      <c r="AC200" s="175"/>
      <c r="AD200" s="175"/>
      <c r="AE200" s="175"/>
      <c r="AF200" s="175"/>
      <c r="AG200" s="179"/>
      <c r="AH200" s="179"/>
      <c r="AI200" s="177"/>
      <c r="AJ200" s="179"/>
      <c r="AK200" s="183"/>
      <c r="AL200" s="177"/>
      <c r="AM200" s="177"/>
      <c r="AN200" s="263"/>
      <c r="AO200" s="175"/>
      <c r="AP200" s="175"/>
      <c r="AQ200" s="307"/>
      <c r="AR200" s="175"/>
      <c r="AS200" s="170"/>
      <c r="AT200" s="170"/>
      <c r="AU200" s="214"/>
      <c r="AV200" s="268"/>
      <c r="AW200" s="175"/>
      <c r="AX200" s="210"/>
      <c r="AY200" s="173"/>
      <c r="AZ200" s="179"/>
      <c r="BA200" s="179"/>
      <c r="BB200" s="175"/>
      <c r="BC200" s="49" t="e">
        <v>#REF!</v>
      </c>
      <c r="BD200" s="175"/>
    </row>
    <row r="201" spans="1:56" s="176" customFormat="1" x14ac:dyDescent="0.45">
      <c r="A201" s="13"/>
      <c r="B201" s="262"/>
      <c r="C201" s="262"/>
      <c r="D201" s="262"/>
      <c r="E201" s="262"/>
      <c r="F201" s="262"/>
      <c r="G201" s="262"/>
      <c r="H201" s="262"/>
      <c r="I201" s="262"/>
      <c r="J201" s="262"/>
      <c r="K201" s="262"/>
      <c r="L201" s="177"/>
      <c r="M201" s="262"/>
      <c r="N201" s="262"/>
      <c r="O201" s="262"/>
      <c r="P201" s="262"/>
      <c r="Q201" s="262"/>
      <c r="R201" s="262"/>
      <c r="S201" s="262"/>
      <c r="T201" s="262"/>
      <c r="U201" s="262"/>
      <c r="V201" s="262"/>
      <c r="W201" s="262"/>
      <c r="X201" s="175"/>
      <c r="Y201" s="175"/>
      <c r="Z201" s="175"/>
      <c r="AA201" s="175"/>
      <c r="AB201" s="175"/>
      <c r="AC201" s="175"/>
      <c r="AD201" s="175"/>
      <c r="AE201" s="175"/>
      <c r="AF201" s="175"/>
      <c r="AG201" s="179"/>
      <c r="AH201" s="179"/>
      <c r="AI201" s="177"/>
      <c r="AJ201" s="179"/>
      <c r="AK201" s="183"/>
      <c r="AL201" s="177"/>
      <c r="AM201" s="177"/>
      <c r="AN201" s="263"/>
      <c r="AO201" s="175"/>
      <c r="AP201" s="175"/>
      <c r="AQ201" s="307"/>
      <c r="AR201" s="175"/>
      <c r="AS201" s="170"/>
      <c r="AT201" s="170"/>
      <c r="AU201" s="214"/>
      <c r="AV201" s="268"/>
      <c r="AW201" s="175"/>
      <c r="AX201" s="210"/>
      <c r="AY201" s="173"/>
      <c r="AZ201" s="179"/>
      <c r="BA201" s="179"/>
      <c r="BB201" s="175"/>
      <c r="BC201" s="49" t="e">
        <v>#REF!</v>
      </c>
      <c r="BD201" s="175"/>
    </row>
    <row r="202" spans="1:56" s="176" customFormat="1" x14ac:dyDescent="0.45">
      <c r="A202" s="12"/>
      <c r="B202" s="262"/>
      <c r="C202" s="262"/>
      <c r="D202" s="262"/>
      <c r="E202" s="262"/>
      <c r="F202" s="262"/>
      <c r="G202" s="262"/>
      <c r="H202" s="262"/>
      <c r="I202" s="262"/>
      <c r="J202" s="262"/>
      <c r="K202" s="262"/>
      <c r="L202" s="177"/>
      <c r="M202" s="262"/>
      <c r="N202" s="262"/>
      <c r="O202" s="262"/>
      <c r="P202" s="262"/>
      <c r="Q202" s="262"/>
      <c r="R202" s="262"/>
      <c r="S202" s="262"/>
      <c r="T202" s="262"/>
      <c r="U202" s="262"/>
      <c r="V202" s="262"/>
      <c r="W202" s="262"/>
      <c r="X202" s="175"/>
      <c r="Y202" s="175"/>
      <c r="Z202" s="175"/>
      <c r="AA202" s="175"/>
      <c r="AB202" s="175"/>
      <c r="AC202" s="175"/>
      <c r="AD202" s="175"/>
      <c r="AE202" s="175"/>
      <c r="AF202" s="175"/>
      <c r="AG202" s="179"/>
      <c r="AH202" s="179"/>
      <c r="AI202" s="177"/>
      <c r="AJ202" s="179"/>
      <c r="AK202" s="183"/>
      <c r="AL202" s="177"/>
      <c r="AM202" s="177"/>
      <c r="AN202" s="263"/>
      <c r="AO202" s="175"/>
      <c r="AP202" s="175"/>
      <c r="AQ202" s="307"/>
      <c r="AR202" s="175"/>
      <c r="AS202" s="170"/>
      <c r="AT202" s="170"/>
      <c r="AU202" s="214"/>
      <c r="AV202" s="268"/>
      <c r="AW202" s="175"/>
      <c r="AX202" s="210"/>
      <c r="AY202" s="173"/>
      <c r="AZ202" s="179"/>
      <c r="BA202" s="179"/>
      <c r="BB202" s="175"/>
      <c r="BC202" s="49" t="e">
        <v>#REF!</v>
      </c>
      <c r="BD202" s="175"/>
    </row>
    <row r="203" spans="1:56" s="176" customFormat="1" x14ac:dyDescent="0.45">
      <c r="A203" s="13"/>
      <c r="B203" s="262"/>
      <c r="C203" s="262"/>
      <c r="D203" s="262"/>
      <c r="E203" s="262"/>
      <c r="F203" s="262"/>
      <c r="G203" s="262"/>
      <c r="H203" s="262"/>
      <c r="I203" s="262"/>
      <c r="J203" s="262"/>
      <c r="K203" s="262"/>
      <c r="L203" s="177"/>
      <c r="M203" s="262"/>
      <c r="N203" s="262"/>
      <c r="O203" s="262"/>
      <c r="P203" s="262"/>
      <c r="Q203" s="262"/>
      <c r="R203" s="262"/>
      <c r="S203" s="262"/>
      <c r="T203" s="262"/>
      <c r="U203" s="262"/>
      <c r="V203" s="262"/>
      <c r="W203" s="262"/>
      <c r="X203" s="175"/>
      <c r="Y203" s="175"/>
      <c r="Z203" s="175"/>
      <c r="AA203" s="175"/>
      <c r="AB203" s="175"/>
      <c r="AC203" s="175"/>
      <c r="AD203" s="175"/>
      <c r="AE203" s="175"/>
      <c r="AF203" s="175"/>
      <c r="AG203" s="179"/>
      <c r="AH203" s="179"/>
      <c r="AI203" s="177"/>
      <c r="AJ203" s="179"/>
      <c r="AK203" s="183"/>
      <c r="AL203" s="177"/>
      <c r="AM203" s="177"/>
      <c r="AN203" s="263"/>
      <c r="AO203" s="175"/>
      <c r="AP203" s="175"/>
      <c r="AQ203" s="307"/>
      <c r="AR203" s="175"/>
      <c r="AS203" s="170"/>
      <c r="AT203" s="170"/>
      <c r="AU203" s="214"/>
      <c r="AV203" s="268"/>
      <c r="AW203" s="175"/>
      <c r="AX203" s="210"/>
      <c r="AY203" s="173"/>
      <c r="AZ203" s="179"/>
      <c r="BA203" s="179"/>
      <c r="BB203" s="175"/>
      <c r="BC203" s="49" t="e">
        <v>#REF!</v>
      </c>
      <c r="BD203" s="175"/>
    </row>
    <row r="204" spans="1:56" s="176" customFormat="1" x14ac:dyDescent="0.45">
      <c r="A204" s="13"/>
      <c r="B204" s="262"/>
      <c r="C204" s="262"/>
      <c r="D204" s="262"/>
      <c r="E204" s="262"/>
      <c r="F204" s="262"/>
      <c r="G204" s="262"/>
      <c r="H204" s="262"/>
      <c r="I204" s="262"/>
      <c r="J204" s="262"/>
      <c r="K204" s="262"/>
      <c r="L204" s="177"/>
      <c r="M204" s="262"/>
      <c r="N204" s="262"/>
      <c r="O204" s="262"/>
      <c r="P204" s="262"/>
      <c r="Q204" s="262"/>
      <c r="R204" s="262"/>
      <c r="S204" s="262"/>
      <c r="T204" s="262"/>
      <c r="U204" s="262"/>
      <c r="V204" s="262"/>
      <c r="W204" s="262"/>
      <c r="X204" s="175"/>
      <c r="Y204" s="175"/>
      <c r="Z204" s="175"/>
      <c r="AA204" s="175"/>
      <c r="AB204" s="175"/>
      <c r="AC204" s="175"/>
      <c r="AD204" s="175"/>
      <c r="AE204" s="175"/>
      <c r="AF204" s="175"/>
      <c r="AG204" s="179"/>
      <c r="AH204" s="179"/>
      <c r="AI204" s="177"/>
      <c r="AJ204" s="179"/>
      <c r="AK204" s="183"/>
      <c r="AL204" s="177"/>
      <c r="AM204" s="177"/>
      <c r="AN204" s="263"/>
      <c r="AO204" s="175"/>
      <c r="AP204" s="175"/>
      <c r="AQ204" s="307"/>
      <c r="AR204" s="175"/>
      <c r="AS204" s="170"/>
      <c r="AT204" s="170"/>
      <c r="AU204" s="214"/>
      <c r="AV204" s="268"/>
      <c r="AW204" s="175"/>
      <c r="AX204" s="210"/>
      <c r="AY204" s="173"/>
      <c r="AZ204" s="179"/>
      <c r="BA204" s="179"/>
      <c r="BB204" s="175"/>
      <c r="BC204" s="49" t="e">
        <v>#REF!</v>
      </c>
      <c r="BD204" s="175"/>
    </row>
    <row r="205" spans="1:56" s="176" customFormat="1" x14ac:dyDescent="0.45">
      <c r="A205" s="12"/>
      <c r="B205" s="262"/>
      <c r="C205" s="262"/>
      <c r="D205" s="262"/>
      <c r="E205" s="262"/>
      <c r="F205" s="262"/>
      <c r="G205" s="262"/>
      <c r="H205" s="262"/>
      <c r="I205" s="262"/>
      <c r="J205" s="262"/>
      <c r="K205" s="262"/>
      <c r="L205" s="55"/>
      <c r="M205" s="262"/>
      <c r="N205" s="262"/>
      <c r="O205" s="262"/>
      <c r="P205" s="262"/>
      <c r="Q205" s="262"/>
      <c r="R205" s="262"/>
      <c r="S205" s="262"/>
      <c r="T205" s="262"/>
      <c r="U205" s="262"/>
      <c r="V205" s="262"/>
      <c r="W205" s="262"/>
      <c r="X205" s="132"/>
      <c r="Y205" s="133"/>
      <c r="Z205" s="134"/>
      <c r="AA205" s="132"/>
      <c r="AB205" s="133"/>
      <c r="AC205" s="134"/>
      <c r="AD205" s="132"/>
      <c r="AE205" s="133"/>
      <c r="AF205" s="134"/>
      <c r="AG205" s="65"/>
      <c r="AH205" s="65"/>
      <c r="AI205" s="134"/>
      <c r="AJ205" s="65"/>
      <c r="AK205" s="64"/>
      <c r="AL205" s="134"/>
      <c r="AM205" s="134"/>
      <c r="AN205" s="68"/>
      <c r="AO205" s="135"/>
      <c r="AP205" s="68"/>
      <c r="AQ205" s="298"/>
      <c r="AR205" s="68"/>
      <c r="AS205" s="63"/>
      <c r="AT205" s="136"/>
      <c r="AU205" s="130"/>
      <c r="AV205" s="267"/>
      <c r="AW205" s="68"/>
      <c r="AX205" s="130"/>
      <c r="AY205" s="152"/>
      <c r="AZ205" s="65"/>
      <c r="BA205" s="65"/>
      <c r="BB205" s="129"/>
      <c r="BC205" s="49" t="e">
        <f>IF(OR(#REF!="",#REF!="")=TRUE,"",NETWORKDAYS.INTL(#REF!,#REF!))</f>
        <v>#REF!</v>
      </c>
      <c r="BD205" s="6"/>
    </row>
    <row r="206" spans="1:56" s="176" customFormat="1" x14ac:dyDescent="0.45">
      <c r="A206" s="13"/>
      <c r="B206" s="262"/>
      <c r="C206" s="262"/>
      <c r="D206" s="262"/>
      <c r="E206" s="262"/>
      <c r="F206" s="262"/>
      <c r="G206" s="262"/>
      <c r="H206" s="262"/>
      <c r="I206" s="262"/>
      <c r="J206" s="262"/>
      <c r="K206" s="262"/>
      <c r="L206" s="55"/>
      <c r="M206" s="262"/>
      <c r="N206" s="262"/>
      <c r="O206" s="262"/>
      <c r="P206" s="262"/>
      <c r="Q206" s="262"/>
      <c r="R206" s="262"/>
      <c r="S206" s="262"/>
      <c r="T206" s="262"/>
      <c r="U206" s="262"/>
      <c r="V206" s="262"/>
      <c r="W206" s="262"/>
      <c r="X206" s="132"/>
      <c r="Y206" s="133"/>
      <c r="Z206" s="134"/>
      <c r="AA206" s="132"/>
      <c r="AB206" s="133"/>
      <c r="AC206" s="134"/>
      <c r="AD206" s="132"/>
      <c r="AE206" s="133"/>
      <c r="AF206" s="134"/>
      <c r="AG206" s="65"/>
      <c r="AH206" s="65"/>
      <c r="AI206" s="134"/>
      <c r="AJ206" s="65"/>
      <c r="AK206" s="64"/>
      <c r="AL206" s="134"/>
      <c r="AM206" s="134"/>
      <c r="AN206" s="68"/>
      <c r="AO206" s="135"/>
      <c r="AP206" s="68"/>
      <c r="AQ206" s="298"/>
      <c r="AR206" s="68"/>
      <c r="AS206" s="63"/>
      <c r="AT206" s="136"/>
      <c r="AU206" s="130"/>
      <c r="AV206" s="267"/>
      <c r="AW206" s="68"/>
      <c r="AX206" s="130"/>
      <c r="AY206" s="152"/>
      <c r="AZ206" s="65"/>
      <c r="BA206" s="65"/>
      <c r="BB206" s="129"/>
      <c r="BC206" s="49" t="e">
        <f>IF(OR(#REF!="",#REF!="")=TRUE,"",NETWORKDAYS.INTL(#REF!,#REF!))</f>
        <v>#REF!</v>
      </c>
      <c r="BD206" s="6"/>
    </row>
    <row r="207" spans="1:56" s="176" customFormat="1" x14ac:dyDescent="0.45">
      <c r="A207" s="13"/>
      <c r="B207" s="262"/>
      <c r="C207" s="262"/>
      <c r="D207" s="262"/>
      <c r="E207" s="262"/>
      <c r="F207" s="262"/>
      <c r="G207" s="262"/>
      <c r="H207" s="262"/>
      <c r="I207" s="262"/>
      <c r="J207" s="262"/>
      <c r="K207" s="262"/>
      <c r="L207" s="55"/>
      <c r="M207" s="262"/>
      <c r="N207" s="262"/>
      <c r="O207" s="262"/>
      <c r="P207" s="262"/>
      <c r="Q207" s="262"/>
      <c r="R207" s="262"/>
      <c r="S207" s="262"/>
      <c r="T207" s="262"/>
      <c r="U207" s="262"/>
      <c r="V207" s="262"/>
      <c r="W207" s="262"/>
      <c r="X207" s="132"/>
      <c r="Y207" s="133"/>
      <c r="Z207" s="134"/>
      <c r="AA207" s="132"/>
      <c r="AB207" s="133"/>
      <c r="AC207" s="134"/>
      <c r="AD207" s="132"/>
      <c r="AE207" s="133"/>
      <c r="AF207" s="134"/>
      <c r="AG207" s="65"/>
      <c r="AH207" s="65"/>
      <c r="AI207" s="134"/>
      <c r="AJ207" s="65"/>
      <c r="AK207" s="64"/>
      <c r="AL207" s="134"/>
      <c r="AM207" s="134"/>
      <c r="AN207" s="68"/>
      <c r="AO207" s="135"/>
      <c r="AP207" s="68"/>
      <c r="AQ207" s="298"/>
      <c r="AR207" s="68"/>
      <c r="AS207" s="63"/>
      <c r="AT207" s="136"/>
      <c r="AU207" s="130"/>
      <c r="AV207" s="267"/>
      <c r="AW207" s="68"/>
      <c r="AX207" s="130"/>
      <c r="AY207" s="152"/>
      <c r="AZ207" s="65"/>
      <c r="BA207" s="65"/>
      <c r="BB207" s="129"/>
      <c r="BC207" s="49" t="e">
        <f>IF(OR(#REF!="",#REF!="")=TRUE,"",NETWORKDAYS.INTL(#REF!,#REF!))</f>
        <v>#REF!</v>
      </c>
      <c r="BD207" s="175"/>
    </row>
    <row r="208" spans="1:56" s="176" customFormat="1" x14ac:dyDescent="0.45">
      <c r="A208" s="12"/>
      <c r="B208" s="262"/>
      <c r="C208" s="262"/>
      <c r="D208" s="262"/>
      <c r="E208" s="262"/>
      <c r="F208" s="262"/>
      <c r="G208" s="262"/>
      <c r="H208" s="262"/>
      <c r="I208" s="262"/>
      <c r="J208" s="262"/>
      <c r="K208" s="262"/>
      <c r="L208" s="55"/>
      <c r="M208" s="262"/>
      <c r="N208" s="262"/>
      <c r="O208" s="262"/>
      <c r="P208" s="262"/>
      <c r="Q208" s="262"/>
      <c r="R208" s="262"/>
      <c r="S208" s="262"/>
      <c r="T208" s="262"/>
      <c r="U208" s="262"/>
      <c r="V208" s="262"/>
      <c r="W208" s="262"/>
      <c r="X208" s="132"/>
      <c r="Y208" s="133"/>
      <c r="Z208" s="134"/>
      <c r="AA208" s="132"/>
      <c r="AB208" s="133"/>
      <c r="AC208" s="134"/>
      <c r="AD208" s="132"/>
      <c r="AE208" s="133"/>
      <c r="AF208" s="134"/>
      <c r="AG208" s="65"/>
      <c r="AH208" s="65"/>
      <c r="AI208" s="134"/>
      <c r="AJ208" s="65"/>
      <c r="AK208" s="64"/>
      <c r="AL208" s="134"/>
      <c r="AM208" s="134"/>
      <c r="AN208" s="68"/>
      <c r="AO208" s="135"/>
      <c r="AP208" s="68"/>
      <c r="AQ208" s="298"/>
      <c r="AR208" s="68"/>
      <c r="AS208" s="63"/>
      <c r="AT208" s="136"/>
      <c r="AU208" s="130"/>
      <c r="AV208" s="267"/>
      <c r="AW208" s="68"/>
      <c r="AX208" s="130"/>
      <c r="AY208" s="152"/>
      <c r="AZ208" s="65"/>
      <c r="BA208" s="65"/>
      <c r="BB208" s="129"/>
      <c r="BC208" s="49" t="e">
        <f>IF(OR(#REF!="",#REF!="")=TRUE,"",NETWORKDAYS.INTL(#REF!,#REF!))</f>
        <v>#REF!</v>
      </c>
      <c r="BD208" s="175"/>
    </row>
    <row r="209" spans="1:56" s="176" customFormat="1" x14ac:dyDescent="0.45">
      <c r="A209" s="13"/>
      <c r="B209" s="262"/>
      <c r="C209" s="262"/>
      <c r="D209" s="262"/>
      <c r="E209" s="262"/>
      <c r="F209" s="262"/>
      <c r="G209" s="262"/>
      <c r="H209" s="262"/>
      <c r="I209" s="262"/>
      <c r="J209" s="262"/>
      <c r="K209" s="262"/>
      <c r="L209" s="137"/>
      <c r="M209" s="262"/>
      <c r="N209" s="262"/>
      <c r="O209" s="262"/>
      <c r="P209" s="262"/>
      <c r="Q209" s="262"/>
      <c r="R209" s="262"/>
      <c r="S209" s="262"/>
      <c r="T209" s="262"/>
      <c r="U209" s="262"/>
      <c r="V209" s="262"/>
      <c r="W209" s="262"/>
      <c r="X209" s="138"/>
      <c r="Y209" s="138"/>
      <c r="Z209" s="131"/>
      <c r="AA209" s="138"/>
      <c r="AB209" s="138"/>
      <c r="AC209" s="131"/>
      <c r="AD209" s="138"/>
      <c r="AE209" s="138"/>
      <c r="AF209" s="131"/>
      <c r="AG209" s="65"/>
      <c r="AH209" s="65"/>
      <c r="AI209" s="134"/>
      <c r="AJ209" s="65"/>
      <c r="AK209" s="64"/>
      <c r="AL209" s="134"/>
      <c r="AM209" s="134"/>
      <c r="AN209" s="68"/>
      <c r="AO209" s="6"/>
      <c r="AP209" s="6"/>
      <c r="AQ209" s="299"/>
      <c r="AR209" s="68"/>
      <c r="AS209" s="63"/>
      <c r="AT209" s="136"/>
      <c r="AU209" s="130"/>
      <c r="AV209" s="267"/>
      <c r="AW209" s="68"/>
      <c r="AX209" s="130"/>
      <c r="AY209" s="152"/>
      <c r="AZ209" s="65"/>
      <c r="BA209" s="65"/>
      <c r="BB209" s="129"/>
      <c r="BC209" s="49" t="e">
        <f>IF(OR(#REF!="",#REF!="")=TRUE,"",NETWORKDAYS.INTL(#REF!,#REF!))</f>
        <v>#REF!</v>
      </c>
      <c r="BD209" s="6"/>
    </row>
    <row r="210" spans="1:56" s="176" customFormat="1" x14ac:dyDescent="0.45">
      <c r="A210" s="13"/>
      <c r="B210" s="262"/>
      <c r="C210" s="262"/>
      <c r="D210" s="262"/>
      <c r="E210" s="262"/>
      <c r="F210" s="262"/>
      <c r="G210" s="262"/>
      <c r="H210" s="262"/>
      <c r="I210" s="262"/>
      <c r="J210" s="262"/>
      <c r="K210" s="262"/>
      <c r="L210" s="137"/>
      <c r="M210" s="262"/>
      <c r="N210" s="262"/>
      <c r="O210" s="262"/>
      <c r="P210" s="262"/>
      <c r="Q210" s="262"/>
      <c r="R210" s="262"/>
      <c r="S210" s="262"/>
      <c r="T210" s="262"/>
      <c r="U210" s="262"/>
      <c r="V210" s="262"/>
      <c r="W210" s="262"/>
      <c r="X210" s="139"/>
      <c r="Y210" s="139"/>
      <c r="Z210" s="140"/>
      <c r="AA210" s="139"/>
      <c r="AB210" s="139"/>
      <c r="AC210" s="140"/>
      <c r="AD210" s="139"/>
      <c r="AE210" s="139"/>
      <c r="AF210" s="140"/>
      <c r="AG210" s="141"/>
      <c r="AH210" s="141"/>
      <c r="AI210" s="142"/>
      <c r="AJ210" s="141"/>
      <c r="AK210" s="143"/>
      <c r="AL210" s="142"/>
      <c r="AM210" s="142"/>
      <c r="AN210" s="144"/>
      <c r="AO210" s="145"/>
      <c r="AP210" s="145"/>
      <c r="AQ210" s="231"/>
      <c r="AR210" s="144"/>
      <c r="AS210" s="146"/>
      <c r="AT210" s="147"/>
      <c r="AU210" s="215"/>
      <c r="AV210" s="277"/>
      <c r="AW210" s="144"/>
      <c r="AX210" s="215"/>
      <c r="AY210" s="152"/>
      <c r="AZ210" s="141"/>
      <c r="BA210" s="141"/>
      <c r="BB210" s="129"/>
      <c r="BC210" s="49" t="e">
        <f>IF(OR(#REF!="",#REF!="")=TRUE,"",NETWORKDAYS.INTL(#REF!,#REF!))</f>
        <v>#REF!</v>
      </c>
      <c r="BD210" s="175"/>
    </row>
    <row r="211" spans="1:56" s="176" customFormat="1" x14ac:dyDescent="0.45">
      <c r="A211" s="12"/>
      <c r="B211" s="262"/>
      <c r="C211" s="262"/>
      <c r="D211" s="262"/>
      <c r="E211" s="262"/>
      <c r="F211" s="262"/>
      <c r="G211" s="262"/>
      <c r="H211" s="262"/>
      <c r="I211" s="262"/>
      <c r="J211" s="262"/>
      <c r="K211" s="262"/>
      <c r="L211" s="137"/>
      <c r="M211" s="262"/>
      <c r="N211" s="262"/>
      <c r="O211" s="262"/>
      <c r="P211" s="262"/>
      <c r="Q211" s="262"/>
      <c r="R211" s="262"/>
      <c r="S211" s="262"/>
      <c r="T211" s="262"/>
      <c r="U211" s="262"/>
      <c r="V211" s="262"/>
      <c r="W211" s="262"/>
      <c r="X211" s="138"/>
      <c r="Y211" s="138"/>
      <c r="Z211" s="131"/>
      <c r="AA211" s="138"/>
      <c r="AB211" s="138"/>
      <c r="AC211" s="131"/>
      <c r="AD211" s="138"/>
      <c r="AE211" s="138"/>
      <c r="AF211" s="131"/>
      <c r="AG211" s="141"/>
      <c r="AH211" s="141"/>
      <c r="AI211" s="142"/>
      <c r="AJ211" s="141"/>
      <c r="AK211" s="143"/>
      <c r="AL211" s="142"/>
      <c r="AM211" s="142"/>
      <c r="AN211" s="6"/>
      <c r="AO211" s="6"/>
      <c r="AP211" s="6"/>
      <c r="AQ211" s="299"/>
      <c r="AR211" s="6"/>
      <c r="AS211" s="63"/>
      <c r="AT211" s="136"/>
      <c r="AU211" s="215"/>
      <c r="AV211" s="277"/>
      <c r="AW211" s="144"/>
      <c r="AX211" s="215"/>
      <c r="AY211" s="152"/>
      <c r="AZ211" s="141"/>
      <c r="BA211" s="141"/>
      <c r="BB211" s="129"/>
      <c r="BC211" s="49" t="e">
        <f>IF(OR(#REF!="",#REF!="")=TRUE,"",NETWORKDAYS.INTL(#REF!,#REF!))</f>
        <v>#REF!</v>
      </c>
      <c r="BD211" s="6"/>
    </row>
    <row r="212" spans="1:56" s="176" customFormat="1" x14ac:dyDescent="0.45">
      <c r="A212" s="13"/>
      <c r="B212" s="262"/>
      <c r="C212" s="262"/>
      <c r="D212" s="262"/>
      <c r="E212" s="262"/>
      <c r="F212" s="262"/>
      <c r="G212" s="262"/>
      <c r="H212" s="262"/>
      <c r="I212" s="262"/>
      <c r="J212" s="262"/>
      <c r="K212" s="262"/>
      <c r="L212" s="137"/>
      <c r="M212" s="262"/>
      <c r="N212" s="262"/>
      <c r="O212" s="262"/>
      <c r="P212" s="262"/>
      <c r="Q212" s="262"/>
      <c r="R212" s="262"/>
      <c r="S212" s="262"/>
      <c r="T212" s="262"/>
      <c r="U212" s="262"/>
      <c r="V212" s="262"/>
      <c r="W212" s="262"/>
      <c r="X212" s="138"/>
      <c r="Y212" s="138"/>
      <c r="Z212" s="131"/>
      <c r="AA212" s="138"/>
      <c r="AB212" s="138"/>
      <c r="AC212" s="131"/>
      <c r="AD212" s="138"/>
      <c r="AE212" s="138"/>
      <c r="AF212" s="131"/>
      <c r="AG212" s="141"/>
      <c r="AH212" s="141"/>
      <c r="AI212" s="142"/>
      <c r="AJ212" s="141"/>
      <c r="AK212" s="143"/>
      <c r="AL212" s="142"/>
      <c r="AM212" s="142"/>
      <c r="AN212" s="6"/>
      <c r="AO212" s="6"/>
      <c r="AP212" s="6"/>
      <c r="AQ212" s="299"/>
      <c r="AR212" s="6"/>
      <c r="AS212" s="63"/>
      <c r="AT212" s="136"/>
      <c r="AU212" s="215"/>
      <c r="AV212" s="277"/>
      <c r="AW212" s="144"/>
      <c r="AX212" s="215"/>
      <c r="AY212" s="152"/>
      <c r="AZ212" s="141"/>
      <c r="BA212" s="141"/>
      <c r="BB212" s="129"/>
      <c r="BC212" s="49" t="e">
        <f>IF(OR(#REF!="",#REF!="")=TRUE,"",NETWORKDAYS.INTL(#REF!,#REF!))</f>
        <v>#REF!</v>
      </c>
      <c r="BD212" s="175"/>
    </row>
    <row r="213" spans="1:56" s="176" customFormat="1" x14ac:dyDescent="0.45">
      <c r="A213" s="13"/>
      <c r="B213" s="262"/>
      <c r="C213" s="262"/>
      <c r="D213" s="262"/>
      <c r="E213" s="262"/>
      <c r="F213" s="262"/>
      <c r="G213" s="262"/>
      <c r="H213" s="262"/>
      <c r="I213" s="262"/>
      <c r="J213" s="262"/>
      <c r="K213" s="262"/>
      <c r="L213" s="137"/>
      <c r="M213" s="262"/>
      <c r="N213" s="262"/>
      <c r="O213" s="262"/>
      <c r="P213" s="262"/>
      <c r="Q213" s="262"/>
      <c r="R213" s="262"/>
      <c r="S213" s="262"/>
      <c r="T213" s="262"/>
      <c r="U213" s="262"/>
      <c r="V213" s="262"/>
      <c r="W213" s="262"/>
      <c r="X213" s="138"/>
      <c r="Y213" s="138"/>
      <c r="Z213" s="131"/>
      <c r="AA213" s="138"/>
      <c r="AB213" s="138"/>
      <c r="AC213" s="131"/>
      <c r="AD213" s="138"/>
      <c r="AE213" s="138"/>
      <c r="AF213" s="131"/>
      <c r="AG213" s="141"/>
      <c r="AH213" s="141"/>
      <c r="AI213" s="142"/>
      <c r="AJ213" s="141"/>
      <c r="AK213" s="143"/>
      <c r="AL213" s="142"/>
      <c r="AM213" s="142"/>
      <c r="AN213" s="6"/>
      <c r="AO213" s="6"/>
      <c r="AP213" s="6"/>
      <c r="AQ213" s="299"/>
      <c r="AR213" s="6"/>
      <c r="AS213" s="63"/>
      <c r="AT213" s="68"/>
      <c r="AU213" s="130"/>
      <c r="AV213" s="277"/>
      <c r="AW213" s="144"/>
      <c r="AX213" s="215"/>
      <c r="AY213" s="152"/>
      <c r="AZ213" s="141"/>
      <c r="BA213" s="141"/>
      <c r="BB213" s="129"/>
      <c r="BC213" s="49" t="e">
        <f>IF(OR(#REF!="",#REF!="")=TRUE,"",NETWORKDAYS.INTL(#REF!,#REF!))</f>
        <v>#REF!</v>
      </c>
      <c r="BD213" s="6"/>
    </row>
    <row r="214" spans="1:56" s="176" customFormat="1" x14ac:dyDescent="0.45">
      <c r="A214" s="12"/>
      <c r="B214" s="262"/>
      <c r="C214" s="262"/>
      <c r="D214" s="262"/>
      <c r="E214" s="262"/>
      <c r="F214" s="262"/>
      <c r="G214" s="262"/>
      <c r="H214" s="262"/>
      <c r="I214" s="262"/>
      <c r="J214" s="262"/>
      <c r="K214" s="262"/>
      <c r="L214" s="55"/>
      <c r="M214" s="262"/>
      <c r="N214" s="262"/>
      <c r="O214" s="262"/>
      <c r="P214" s="262"/>
      <c r="Q214" s="262"/>
      <c r="R214" s="262"/>
      <c r="S214" s="262"/>
      <c r="T214" s="262"/>
      <c r="U214" s="262"/>
      <c r="V214" s="262"/>
      <c r="W214" s="262"/>
      <c r="X214" s="6"/>
      <c r="Y214" s="6"/>
      <c r="Z214" s="131"/>
      <c r="AA214" s="6"/>
      <c r="AB214" s="148"/>
      <c r="AC214" s="149"/>
      <c r="AD214" s="6"/>
      <c r="AE214" s="6"/>
      <c r="AF214" s="131"/>
      <c r="AG214" s="141"/>
      <c r="AH214" s="141"/>
      <c r="AI214" s="134"/>
      <c r="AJ214" s="141"/>
      <c r="AK214" s="143"/>
      <c r="AL214" s="142"/>
      <c r="AM214" s="142"/>
      <c r="AN214" s="6"/>
      <c r="AO214" s="6"/>
      <c r="AP214" s="6"/>
      <c r="AQ214" s="299"/>
      <c r="AR214" s="6"/>
      <c r="AS214" s="63"/>
      <c r="AT214" s="136"/>
      <c r="AU214" s="130"/>
      <c r="AV214" s="277"/>
      <c r="AW214" s="144"/>
      <c r="AX214" s="215"/>
      <c r="AY214" s="152"/>
      <c r="AZ214" s="141"/>
      <c r="BA214" s="141"/>
      <c r="BB214" s="129"/>
      <c r="BC214" s="49" t="e">
        <f>IF(OR(#REF!="",#REF!="")=TRUE,"",NETWORKDAYS.INTL(#REF!,#REF!))</f>
        <v>#REF!</v>
      </c>
      <c r="BD214" s="6"/>
    </row>
    <row r="215" spans="1:56" s="176" customFormat="1" x14ac:dyDescent="0.45">
      <c r="A215" s="13"/>
      <c r="B215" s="262"/>
      <c r="C215" s="262"/>
      <c r="D215" s="262"/>
      <c r="E215" s="262"/>
      <c r="F215" s="262"/>
      <c r="G215" s="262"/>
      <c r="H215" s="262"/>
      <c r="I215" s="262"/>
      <c r="J215" s="262"/>
      <c r="K215" s="262"/>
      <c r="L215" s="55"/>
      <c r="M215" s="262"/>
      <c r="N215" s="262"/>
      <c r="O215" s="262"/>
      <c r="P215" s="262"/>
      <c r="Q215" s="262"/>
      <c r="R215" s="262"/>
      <c r="S215" s="262"/>
      <c r="T215" s="262"/>
      <c r="U215" s="262"/>
      <c r="V215" s="262"/>
      <c r="W215" s="262"/>
      <c r="X215" s="6"/>
      <c r="Y215" s="6"/>
      <c r="Z215" s="131"/>
      <c r="AA215" s="6"/>
      <c r="AB215" s="148"/>
      <c r="AC215" s="149"/>
      <c r="AD215" s="6"/>
      <c r="AE215" s="6"/>
      <c r="AF215" s="131"/>
      <c r="AG215" s="141"/>
      <c r="AH215" s="141"/>
      <c r="AI215" s="134"/>
      <c r="AJ215" s="141"/>
      <c r="AK215" s="143"/>
      <c r="AL215" s="142"/>
      <c r="AM215" s="142"/>
      <c r="AN215" s="6"/>
      <c r="AO215" s="6"/>
      <c r="AP215" s="6"/>
      <c r="AQ215" s="299"/>
      <c r="AR215" s="6"/>
      <c r="AS215" s="136"/>
      <c r="AT215" s="136"/>
      <c r="AU215" s="130"/>
      <c r="AV215" s="277"/>
      <c r="AW215" s="144"/>
      <c r="AX215" s="215"/>
      <c r="AY215" s="152"/>
      <c r="AZ215" s="141"/>
      <c r="BA215" s="141"/>
      <c r="BB215" s="129"/>
      <c r="BC215" s="49" t="e">
        <f>IF(OR(#REF!="",#REF!="")=TRUE,"",NETWORKDAYS.INTL(#REF!,#REF!))</f>
        <v>#REF!</v>
      </c>
      <c r="BD215" s="6"/>
    </row>
    <row r="216" spans="1:56" s="176" customFormat="1" x14ac:dyDescent="0.45">
      <c r="A216" s="13"/>
      <c r="B216" s="262"/>
      <c r="C216" s="262"/>
      <c r="D216" s="262"/>
      <c r="E216" s="262"/>
      <c r="F216" s="262"/>
      <c r="G216" s="262"/>
      <c r="H216" s="262"/>
      <c r="I216" s="262"/>
      <c r="J216" s="262"/>
      <c r="K216" s="262"/>
      <c r="L216" s="137"/>
      <c r="M216" s="262"/>
      <c r="N216" s="262"/>
      <c r="O216" s="262"/>
      <c r="P216" s="262"/>
      <c r="Q216" s="262"/>
      <c r="R216" s="262"/>
      <c r="S216" s="262"/>
      <c r="T216" s="262"/>
      <c r="U216" s="262"/>
      <c r="V216" s="262"/>
      <c r="W216" s="262"/>
      <c r="X216" s="68"/>
      <c r="Y216" s="68"/>
      <c r="Z216" s="68"/>
      <c r="AA216" s="135"/>
      <c r="AB216" s="151"/>
      <c r="AC216" s="151"/>
      <c r="AD216" s="135"/>
      <c r="AE216" s="151"/>
      <c r="AF216" s="151"/>
      <c r="AG216" s="65"/>
      <c r="AH216" s="65"/>
      <c r="AI216" s="68"/>
      <c r="AJ216" s="65"/>
      <c r="AK216" s="152"/>
      <c r="AL216" s="142"/>
      <c r="AM216" s="68"/>
      <c r="AN216" s="68"/>
      <c r="AO216" s="68"/>
      <c r="AP216" s="68"/>
      <c r="AQ216" s="298"/>
      <c r="AR216" s="6"/>
      <c r="AS216" s="63"/>
      <c r="AT216" s="68"/>
      <c r="AU216" s="130"/>
      <c r="AV216" s="277"/>
      <c r="AW216" s="144"/>
      <c r="AX216" s="130"/>
      <c r="AY216" s="152"/>
      <c r="AZ216" s="65"/>
      <c r="BA216" s="65"/>
      <c r="BB216" s="129"/>
      <c r="BC216" s="49" t="e">
        <f>IF(OR(#REF!="",#REF!="")=TRUE,"",NETWORKDAYS.INTL(#REF!,#REF!))</f>
        <v>#REF!</v>
      </c>
      <c r="BD216" s="6"/>
    </row>
    <row r="217" spans="1:56" s="176" customFormat="1" x14ac:dyDescent="0.45">
      <c r="A217" s="12"/>
      <c r="B217" s="262"/>
      <c r="C217" s="262"/>
      <c r="D217" s="262"/>
      <c r="E217" s="262"/>
      <c r="F217" s="262"/>
      <c r="G217" s="262"/>
      <c r="H217" s="262"/>
      <c r="I217" s="262"/>
      <c r="J217" s="262"/>
      <c r="K217" s="262"/>
      <c r="L217" s="137"/>
      <c r="M217" s="262"/>
      <c r="N217" s="262"/>
      <c r="O217" s="262"/>
      <c r="P217" s="262"/>
      <c r="Q217" s="262"/>
      <c r="R217" s="262"/>
      <c r="S217" s="262"/>
      <c r="T217" s="262"/>
      <c r="U217" s="262"/>
      <c r="V217" s="262"/>
      <c r="W217" s="262"/>
      <c r="X217" s="6"/>
      <c r="Y217" s="6"/>
      <c r="Z217" s="6"/>
      <c r="AA217" s="6"/>
      <c r="AB217" s="6"/>
      <c r="AC217" s="6"/>
      <c r="AD217" s="6"/>
      <c r="AE217" s="6"/>
      <c r="AF217" s="6"/>
      <c r="AG217" s="66"/>
      <c r="AH217" s="66"/>
      <c r="AI217" s="68"/>
      <c r="AJ217" s="66"/>
      <c r="AK217" s="152"/>
      <c r="AL217" s="142"/>
      <c r="AM217" s="154"/>
      <c r="AN217" s="6"/>
      <c r="AO217" s="6"/>
      <c r="AP217" s="6"/>
      <c r="AQ217" s="299"/>
      <c r="AR217" s="6"/>
      <c r="AS217" s="63"/>
      <c r="AT217" s="68"/>
      <c r="AU217" s="130"/>
      <c r="AV217" s="277"/>
      <c r="AW217" s="144"/>
      <c r="AX217" s="153"/>
      <c r="AY217" s="152"/>
      <c r="AZ217" s="66"/>
      <c r="BA217" s="65"/>
      <c r="BB217" s="129"/>
      <c r="BC217" s="49" t="e">
        <f>IF(OR(#REF!="",#REF!="")=TRUE,"",NETWORKDAYS.INTL(#REF!,#REF!))</f>
        <v>#REF!</v>
      </c>
      <c r="BD217" s="6"/>
    </row>
    <row r="218" spans="1:56" s="176" customFormat="1" x14ac:dyDescent="0.45">
      <c r="A218" s="13"/>
      <c r="B218" s="262"/>
      <c r="C218" s="262"/>
      <c r="D218" s="262"/>
      <c r="E218" s="262"/>
      <c r="F218" s="262"/>
      <c r="G218" s="262"/>
      <c r="H218" s="262"/>
      <c r="I218" s="262"/>
      <c r="J218" s="262"/>
      <c r="K218" s="262"/>
      <c r="L218" s="137"/>
      <c r="M218" s="262"/>
      <c r="N218" s="262"/>
      <c r="O218" s="262"/>
      <c r="P218" s="262"/>
      <c r="Q218" s="262"/>
      <c r="R218" s="262"/>
      <c r="S218" s="262"/>
      <c r="T218" s="262"/>
      <c r="U218" s="262"/>
      <c r="V218" s="262"/>
      <c r="W218" s="262"/>
      <c r="X218" s="6"/>
      <c r="Y218" s="6"/>
      <c r="Z218" s="6"/>
      <c r="AA218" s="6"/>
      <c r="AB218" s="6"/>
      <c r="AC218" s="6"/>
      <c r="AD218" s="6"/>
      <c r="AE218" s="6"/>
      <c r="AF218" s="6"/>
      <c r="AG218" s="66"/>
      <c r="AH218" s="66"/>
      <c r="AI218" s="68"/>
      <c r="AJ218" s="66"/>
      <c r="AK218" s="152"/>
      <c r="AL218" s="142"/>
      <c r="AM218" s="154"/>
      <c r="AN218" s="6"/>
      <c r="AO218" s="6"/>
      <c r="AP218" s="6"/>
      <c r="AQ218" s="299"/>
      <c r="AR218" s="6"/>
      <c r="AS218" s="63"/>
      <c r="AT218" s="68"/>
      <c r="AU218" s="130"/>
      <c r="AV218" s="277"/>
      <c r="AW218" s="144"/>
      <c r="AX218" s="153"/>
      <c r="AY218" s="152"/>
      <c r="AZ218" s="66"/>
      <c r="BA218" s="66"/>
      <c r="BB218" s="129"/>
      <c r="BC218" s="49" t="e">
        <f>IF(OR(#REF!="",#REF!="")=TRUE,"",NETWORKDAYS.INTL(#REF!,#REF!))</f>
        <v>#REF!</v>
      </c>
      <c r="BD218" s="6"/>
    </row>
    <row r="219" spans="1:56" s="176" customFormat="1" x14ac:dyDescent="0.45">
      <c r="A219" s="13"/>
      <c r="B219" s="262"/>
      <c r="C219" s="262"/>
      <c r="D219" s="262"/>
      <c r="E219" s="262"/>
      <c r="F219" s="262"/>
      <c r="G219" s="262"/>
      <c r="H219" s="262"/>
      <c r="I219" s="262"/>
      <c r="J219" s="262"/>
      <c r="K219" s="262"/>
      <c r="L219" s="137"/>
      <c r="M219" s="262"/>
      <c r="N219" s="262"/>
      <c r="O219" s="262"/>
      <c r="P219" s="262"/>
      <c r="Q219" s="262"/>
      <c r="R219" s="262"/>
      <c r="S219" s="262"/>
      <c r="T219" s="262"/>
      <c r="U219" s="262"/>
      <c r="V219" s="262"/>
      <c r="W219" s="262"/>
      <c r="X219" s="6"/>
      <c r="Y219" s="6"/>
      <c r="Z219" s="6"/>
      <c r="AA219" s="6"/>
      <c r="AB219" s="6"/>
      <c r="AC219" s="6"/>
      <c r="AD219" s="6"/>
      <c r="AE219" s="6"/>
      <c r="AF219" s="6"/>
      <c r="AG219" s="66"/>
      <c r="AH219" s="66"/>
      <c r="AI219" s="68"/>
      <c r="AJ219" s="66"/>
      <c r="AK219" s="152"/>
      <c r="AL219" s="142"/>
      <c r="AM219" s="6"/>
      <c r="AN219" s="6"/>
      <c r="AO219" s="6"/>
      <c r="AP219" s="6"/>
      <c r="AQ219" s="299"/>
      <c r="AR219" s="6"/>
      <c r="AS219" s="63"/>
      <c r="AT219" s="68"/>
      <c r="AU219" s="130"/>
      <c r="AV219" s="277"/>
      <c r="AW219" s="144"/>
      <c r="AX219" s="153"/>
      <c r="AY219" s="152"/>
      <c r="AZ219" s="66"/>
      <c r="BA219" s="66"/>
      <c r="BB219" s="129"/>
      <c r="BC219" s="49" t="e">
        <f>IF(OR(#REF!="",#REF!="")=TRUE,"",NETWORKDAYS.INTL(#REF!,#REF!))</f>
        <v>#REF!</v>
      </c>
      <c r="BD219" s="6"/>
    </row>
    <row r="220" spans="1:56" s="176" customFormat="1" x14ac:dyDescent="0.45">
      <c r="A220" s="12"/>
      <c r="B220" s="262"/>
      <c r="C220" s="262"/>
      <c r="D220" s="262"/>
      <c r="E220" s="262"/>
      <c r="F220" s="262"/>
      <c r="G220" s="262"/>
      <c r="H220" s="262"/>
      <c r="I220" s="262"/>
      <c r="J220" s="262"/>
      <c r="K220" s="262"/>
      <c r="L220" s="137"/>
      <c r="M220" s="262"/>
      <c r="N220" s="262"/>
      <c r="O220" s="262"/>
      <c r="P220" s="262"/>
      <c r="Q220" s="262"/>
      <c r="R220" s="262"/>
      <c r="S220" s="262"/>
      <c r="T220" s="262"/>
      <c r="U220" s="262"/>
      <c r="V220" s="262"/>
      <c r="W220" s="262"/>
      <c r="X220" s="6"/>
      <c r="Y220" s="6"/>
      <c r="Z220" s="6"/>
      <c r="AA220" s="6"/>
      <c r="AB220" s="6"/>
      <c r="AC220" s="6"/>
      <c r="AD220" s="6"/>
      <c r="AE220" s="6"/>
      <c r="AF220" s="6"/>
      <c r="AG220" s="66"/>
      <c r="AH220" s="66"/>
      <c r="AI220" s="68"/>
      <c r="AJ220" s="66"/>
      <c r="AK220" s="152"/>
      <c r="AL220" s="142"/>
      <c r="AM220" s="6"/>
      <c r="AN220" s="6"/>
      <c r="AO220" s="6"/>
      <c r="AP220" s="6"/>
      <c r="AQ220" s="299"/>
      <c r="AR220" s="6"/>
      <c r="AS220" s="63"/>
      <c r="AT220" s="68"/>
      <c r="AU220" s="130"/>
      <c r="AV220" s="277"/>
      <c r="AW220" s="144"/>
      <c r="AX220" s="153"/>
      <c r="AY220" s="152"/>
      <c r="AZ220" s="66"/>
      <c r="BA220" s="66"/>
      <c r="BB220" s="129"/>
      <c r="BC220" s="49" t="e">
        <f>IF(OR(#REF!="",#REF!="")=TRUE,"",NETWORKDAYS.INTL(#REF!,#REF!))</f>
        <v>#REF!</v>
      </c>
      <c r="BD220" s="6"/>
    </row>
    <row r="221" spans="1:56" s="176" customFormat="1" x14ac:dyDescent="0.45">
      <c r="A221" s="13"/>
      <c r="B221" s="262"/>
      <c r="C221" s="262"/>
      <c r="D221" s="262"/>
      <c r="E221" s="262"/>
      <c r="F221" s="262"/>
      <c r="G221" s="262"/>
      <c r="H221" s="262"/>
      <c r="I221" s="262"/>
      <c r="J221" s="262"/>
      <c r="K221" s="262"/>
      <c r="L221" s="136"/>
      <c r="M221" s="262"/>
      <c r="N221" s="262"/>
      <c r="O221" s="262"/>
      <c r="P221" s="262"/>
      <c r="Q221" s="262"/>
      <c r="R221" s="262"/>
      <c r="S221" s="262"/>
      <c r="T221" s="262"/>
      <c r="U221" s="262"/>
      <c r="V221" s="262"/>
      <c r="W221" s="262"/>
      <c r="X221" s="135"/>
      <c r="Y221" s="151"/>
      <c r="Z221" s="134"/>
      <c r="AA221" s="135"/>
      <c r="AB221" s="151"/>
      <c r="AC221" s="134"/>
      <c r="AD221" s="135"/>
      <c r="AE221" s="151"/>
      <c r="AF221" s="134"/>
      <c r="AG221" s="65"/>
      <c r="AH221" s="65"/>
      <c r="AI221" s="68"/>
      <c r="AJ221" s="65"/>
      <c r="AK221" s="152"/>
      <c r="AL221" s="152"/>
      <c r="AM221" s="152"/>
      <c r="AN221" s="68"/>
      <c r="AO221" s="135"/>
      <c r="AP221" s="151"/>
      <c r="AQ221" s="300"/>
      <c r="AR221" s="68"/>
      <c r="AS221" s="136"/>
      <c r="AT221" s="129"/>
      <c r="AU221" s="130"/>
      <c r="AV221" s="267"/>
      <c r="AW221" s="68"/>
      <c r="AX221" s="130"/>
      <c r="AY221" s="152"/>
      <c r="AZ221" s="65"/>
      <c r="BA221" s="65"/>
      <c r="BB221" s="194"/>
      <c r="BC221" s="49" t="e">
        <f>IF(OR(#REF!="",#REF!="")=TRUE,"",NETWORKDAYS.INTL(#REF!,#REF!))</f>
        <v>#REF!</v>
      </c>
      <c r="BD221" s="175"/>
    </row>
    <row r="222" spans="1:56" s="176" customFormat="1" x14ac:dyDescent="0.45">
      <c r="A222" s="13"/>
      <c r="B222" s="262"/>
      <c r="C222" s="262"/>
      <c r="D222" s="262"/>
      <c r="E222" s="262"/>
      <c r="F222" s="262"/>
      <c r="G222" s="262"/>
      <c r="H222" s="262"/>
      <c r="I222" s="262"/>
      <c r="J222" s="262"/>
      <c r="K222" s="262"/>
      <c r="L222" s="136"/>
      <c r="M222" s="262"/>
      <c r="N222" s="262"/>
      <c r="O222" s="262"/>
      <c r="P222" s="262"/>
      <c r="Q222" s="262"/>
      <c r="R222" s="262"/>
      <c r="S222" s="262"/>
      <c r="T222" s="262"/>
      <c r="U222" s="262"/>
      <c r="V222" s="262"/>
      <c r="W222" s="262"/>
      <c r="X222" s="6"/>
      <c r="Y222" s="6"/>
      <c r="Z222" s="131"/>
      <c r="AA222" s="135"/>
      <c r="AB222" s="151"/>
      <c r="AC222" s="131"/>
      <c r="AD222" s="135"/>
      <c r="AE222" s="151"/>
      <c r="AF222" s="131"/>
      <c r="AG222" s="65"/>
      <c r="AH222" s="65"/>
      <c r="AI222" s="68"/>
      <c r="AJ222" s="65"/>
      <c r="AK222" s="152"/>
      <c r="AL222" s="152"/>
      <c r="AM222" s="152"/>
      <c r="AN222" s="6"/>
      <c r="AO222" s="6"/>
      <c r="AP222" s="6"/>
      <c r="AQ222" s="299"/>
      <c r="AR222" s="6"/>
      <c r="AS222" s="195"/>
      <c r="AT222" s="136"/>
      <c r="AU222" s="130"/>
      <c r="AV222" s="267"/>
      <c r="AW222" s="68"/>
      <c r="AX222" s="130"/>
      <c r="AY222" s="152"/>
      <c r="AZ222" s="65"/>
      <c r="BA222" s="65"/>
      <c r="BB222" s="194"/>
      <c r="BC222" s="49" t="e">
        <f>IF(OR(#REF!="",#REF!="")=TRUE,"",NETWORKDAYS.INTL(#REF!,#REF!))</f>
        <v>#REF!</v>
      </c>
      <c r="BD222" s="175"/>
    </row>
    <row r="223" spans="1:56" s="176" customFormat="1" x14ac:dyDescent="0.45">
      <c r="A223" s="12"/>
      <c r="B223" s="262"/>
      <c r="C223" s="262"/>
      <c r="D223" s="262"/>
      <c r="E223" s="262"/>
      <c r="F223" s="262"/>
      <c r="G223" s="262"/>
      <c r="H223" s="262"/>
      <c r="I223" s="262"/>
      <c r="J223" s="262"/>
      <c r="K223" s="262"/>
      <c r="L223" s="136"/>
      <c r="M223" s="262"/>
      <c r="N223" s="262"/>
      <c r="O223" s="262"/>
      <c r="P223" s="262"/>
      <c r="Q223" s="262"/>
      <c r="R223" s="262"/>
      <c r="S223" s="262"/>
      <c r="T223" s="262"/>
      <c r="U223" s="262"/>
      <c r="V223" s="262"/>
      <c r="W223" s="262"/>
      <c r="X223" s="135"/>
      <c r="Y223" s="151"/>
      <c r="Z223" s="131"/>
      <c r="AA223" s="6"/>
      <c r="AB223" s="6"/>
      <c r="AC223" s="131"/>
      <c r="AD223" s="135"/>
      <c r="AE223" s="151"/>
      <c r="AF223" s="131"/>
      <c r="AG223" s="65"/>
      <c r="AH223" s="65"/>
      <c r="AI223" s="68"/>
      <c r="AJ223" s="65"/>
      <c r="AK223" s="152"/>
      <c r="AL223" s="152"/>
      <c r="AM223" s="152"/>
      <c r="AN223" s="6"/>
      <c r="AO223" s="135"/>
      <c r="AP223" s="151"/>
      <c r="AQ223" s="300"/>
      <c r="AR223" s="6"/>
      <c r="AS223" s="195"/>
      <c r="AT223" s="136"/>
      <c r="AU223" s="130"/>
      <c r="AV223" s="267"/>
      <c r="AW223" s="68"/>
      <c r="AX223" s="130"/>
      <c r="AY223" s="152"/>
      <c r="AZ223" s="65"/>
      <c r="BA223" s="65"/>
      <c r="BB223" s="194"/>
      <c r="BC223" s="49" t="e">
        <f>IF(OR(#REF!="",#REF!="")=TRUE,"",NETWORKDAYS.INTL(#REF!,#REF!))</f>
        <v>#REF!</v>
      </c>
      <c r="BD223" s="175"/>
    </row>
    <row r="224" spans="1:56" s="176" customFormat="1" x14ac:dyDescent="0.45">
      <c r="A224" s="13"/>
      <c r="B224" s="262"/>
      <c r="C224" s="262"/>
      <c r="D224" s="262"/>
      <c r="E224" s="262"/>
      <c r="F224" s="262"/>
      <c r="G224" s="262"/>
      <c r="H224" s="262"/>
      <c r="I224" s="262"/>
      <c r="J224" s="262"/>
      <c r="K224" s="262"/>
      <c r="L224" s="136"/>
      <c r="M224" s="262"/>
      <c r="N224" s="262"/>
      <c r="O224" s="262"/>
      <c r="P224" s="262"/>
      <c r="Q224" s="262"/>
      <c r="R224" s="262"/>
      <c r="S224" s="262"/>
      <c r="T224" s="262"/>
      <c r="U224" s="262"/>
      <c r="V224" s="262"/>
      <c r="W224" s="262"/>
      <c r="X224" s="196"/>
      <c r="Y224" s="156"/>
      <c r="Z224" s="156"/>
      <c r="AA224" s="196"/>
      <c r="AB224" s="156"/>
      <c r="AC224" s="156"/>
      <c r="AD224" s="196"/>
      <c r="AE224" s="156"/>
      <c r="AF224" s="156"/>
      <c r="AG224" s="141"/>
      <c r="AH224" s="141"/>
      <c r="AI224" s="146"/>
      <c r="AJ224" s="141"/>
      <c r="AK224" s="157"/>
      <c r="AL224" s="144"/>
      <c r="AM224" s="146"/>
      <c r="AN224" s="144"/>
      <c r="AO224" s="196"/>
      <c r="AP224" s="156"/>
      <c r="AQ224" s="301"/>
      <c r="AR224" s="144"/>
      <c r="AS224" s="146"/>
      <c r="AT224" s="144"/>
      <c r="AU224" s="215"/>
      <c r="AV224" s="277"/>
      <c r="AW224" s="68"/>
      <c r="AX224" s="215"/>
      <c r="AY224" s="152"/>
      <c r="AZ224" s="141"/>
      <c r="BA224" s="141"/>
      <c r="BB224" s="194"/>
      <c r="BC224" s="158" t="e">
        <v>#REF!</v>
      </c>
      <c r="BD224" s="175"/>
    </row>
    <row r="225" spans="1:56" s="176" customFormat="1" x14ac:dyDescent="0.45">
      <c r="A225" s="13"/>
      <c r="B225" s="262"/>
      <c r="C225" s="262"/>
      <c r="D225" s="262"/>
      <c r="E225" s="262"/>
      <c r="F225" s="262"/>
      <c r="G225" s="262"/>
      <c r="H225" s="262"/>
      <c r="I225" s="262"/>
      <c r="J225" s="262"/>
      <c r="K225" s="262"/>
      <c r="L225" s="136"/>
      <c r="M225" s="262"/>
      <c r="N225" s="262"/>
      <c r="O225" s="262"/>
      <c r="P225" s="262"/>
      <c r="Q225" s="262"/>
      <c r="R225" s="262"/>
      <c r="S225" s="262"/>
      <c r="T225" s="262"/>
      <c r="U225" s="262"/>
      <c r="V225" s="262"/>
      <c r="W225" s="262"/>
      <c r="X225" s="196"/>
      <c r="Y225" s="156"/>
      <c r="Z225" s="156"/>
      <c r="AA225" s="196"/>
      <c r="AB225" s="156"/>
      <c r="AC225" s="156"/>
      <c r="AD225" s="196"/>
      <c r="AE225" s="156"/>
      <c r="AF225" s="156"/>
      <c r="AG225" s="141"/>
      <c r="AH225" s="141"/>
      <c r="AI225" s="146"/>
      <c r="AJ225" s="141"/>
      <c r="AK225" s="157"/>
      <c r="AL225" s="144"/>
      <c r="AM225" s="146"/>
      <c r="AN225" s="144"/>
      <c r="AO225" s="144"/>
      <c r="AP225" s="144"/>
      <c r="AQ225" s="301"/>
      <c r="AR225" s="144"/>
      <c r="AS225" s="159"/>
      <c r="AT225" s="144"/>
      <c r="AU225" s="215"/>
      <c r="AV225" s="277"/>
      <c r="AW225" s="68"/>
      <c r="AX225" s="215"/>
      <c r="AY225" s="152"/>
      <c r="AZ225" s="141"/>
      <c r="BA225" s="141"/>
      <c r="BB225" s="194"/>
      <c r="BC225" s="158" t="e">
        <v>#REF!</v>
      </c>
      <c r="BD225" s="175"/>
    </row>
    <row r="226" spans="1:56" s="176" customFormat="1" x14ac:dyDescent="0.45">
      <c r="A226" s="12"/>
      <c r="B226" s="262"/>
      <c r="C226" s="262"/>
      <c r="D226" s="262"/>
      <c r="E226" s="262"/>
      <c r="F226" s="262"/>
      <c r="G226" s="262"/>
      <c r="H226" s="262"/>
      <c r="I226" s="262"/>
      <c r="J226" s="262"/>
      <c r="K226" s="262"/>
      <c r="L226" s="136"/>
      <c r="M226" s="262"/>
      <c r="N226" s="262"/>
      <c r="O226" s="262"/>
      <c r="P226" s="262"/>
      <c r="Q226" s="262"/>
      <c r="R226" s="262"/>
      <c r="S226" s="262"/>
      <c r="T226" s="262"/>
      <c r="U226" s="262"/>
      <c r="V226" s="262"/>
      <c r="W226" s="262"/>
      <c r="X226" s="196"/>
      <c r="Y226" s="156"/>
      <c r="Z226" s="156"/>
      <c r="AA226" s="196"/>
      <c r="AB226" s="156"/>
      <c r="AC226" s="156"/>
      <c r="AD226" s="196"/>
      <c r="AE226" s="156"/>
      <c r="AF226" s="156"/>
      <c r="AG226" s="141"/>
      <c r="AH226" s="141"/>
      <c r="AI226" s="146"/>
      <c r="AJ226" s="141"/>
      <c r="AK226" s="157"/>
      <c r="AL226" s="144"/>
      <c r="AM226" s="146"/>
      <c r="AN226" s="144"/>
      <c r="AO226" s="144"/>
      <c r="AP226" s="144"/>
      <c r="AQ226" s="301"/>
      <c r="AR226" s="144"/>
      <c r="AS226" s="146"/>
      <c r="AT226" s="144"/>
      <c r="AU226" s="215"/>
      <c r="AV226" s="277"/>
      <c r="AW226" s="68"/>
      <c r="AX226" s="215"/>
      <c r="AY226" s="152"/>
      <c r="AZ226" s="141"/>
      <c r="BA226" s="141"/>
      <c r="BB226" s="194"/>
      <c r="BC226" s="158" t="e">
        <v>#REF!</v>
      </c>
      <c r="BD226" s="175"/>
    </row>
    <row r="227" spans="1:56" s="176" customFormat="1" x14ac:dyDescent="0.45">
      <c r="A227" s="13"/>
      <c r="B227" s="262"/>
      <c r="C227" s="262"/>
      <c r="D227" s="262"/>
      <c r="E227" s="262"/>
      <c r="F227" s="262"/>
      <c r="G227" s="262"/>
      <c r="H227" s="262"/>
      <c r="I227" s="262"/>
      <c r="J227" s="262"/>
      <c r="K227" s="262"/>
      <c r="L227" s="136"/>
      <c r="M227" s="262"/>
      <c r="N227" s="262"/>
      <c r="O227" s="262"/>
      <c r="P227" s="262"/>
      <c r="Q227" s="262"/>
      <c r="R227" s="262"/>
      <c r="S227" s="262"/>
      <c r="T227" s="262"/>
      <c r="U227" s="262"/>
      <c r="V227" s="262"/>
      <c r="W227" s="262"/>
      <c r="X227" s="196"/>
      <c r="Y227" s="156"/>
      <c r="Z227" s="156"/>
      <c r="AA227" s="196"/>
      <c r="AB227" s="156"/>
      <c r="AC227" s="156"/>
      <c r="AD227" s="196"/>
      <c r="AE227" s="156"/>
      <c r="AF227" s="156"/>
      <c r="AG227" s="141"/>
      <c r="AH227" s="141"/>
      <c r="AI227" s="146"/>
      <c r="AJ227" s="141"/>
      <c r="AK227" s="157"/>
      <c r="AL227" s="144"/>
      <c r="AM227" s="146"/>
      <c r="AN227" s="144"/>
      <c r="AO227" s="144"/>
      <c r="AP227" s="144"/>
      <c r="AQ227" s="301"/>
      <c r="AR227" s="144"/>
      <c r="AS227" s="146"/>
      <c r="AT227" s="144"/>
      <c r="AU227" s="215"/>
      <c r="AV227" s="277"/>
      <c r="AW227" s="68"/>
      <c r="AX227" s="215"/>
      <c r="AY227" s="152"/>
      <c r="AZ227" s="141"/>
      <c r="BA227" s="141"/>
      <c r="BB227" s="194"/>
      <c r="BC227" s="158" t="e">
        <v>#REF!</v>
      </c>
      <c r="BD227" s="175"/>
    </row>
    <row r="228" spans="1:56" s="176" customFormat="1" x14ac:dyDescent="0.45">
      <c r="A228" s="13"/>
      <c r="B228" s="262"/>
      <c r="C228" s="262"/>
      <c r="D228" s="262"/>
      <c r="E228" s="262"/>
      <c r="F228" s="262"/>
      <c r="G228" s="262"/>
      <c r="H228" s="262"/>
      <c r="I228" s="262"/>
      <c r="J228" s="262"/>
      <c r="K228" s="262"/>
      <c r="L228" s="136"/>
      <c r="M228" s="262"/>
      <c r="N228" s="262"/>
      <c r="O228" s="262"/>
      <c r="P228" s="262"/>
      <c r="Q228" s="262"/>
      <c r="R228" s="262"/>
      <c r="S228" s="262"/>
      <c r="T228" s="262"/>
      <c r="U228" s="262"/>
      <c r="V228" s="262"/>
      <c r="W228" s="262"/>
      <c r="X228" s="6"/>
      <c r="Y228" s="6"/>
      <c r="Z228" s="131"/>
      <c r="AA228" s="6"/>
      <c r="AB228" s="6"/>
      <c r="AC228" s="131"/>
      <c r="AD228" s="6"/>
      <c r="AE228" s="6"/>
      <c r="AF228" s="131"/>
      <c r="AG228" s="65"/>
      <c r="AH228" s="65"/>
      <c r="AI228" s="68"/>
      <c r="AJ228" s="65"/>
      <c r="AK228" s="152"/>
      <c r="AL228" s="152"/>
      <c r="AM228" s="152"/>
      <c r="AN228" s="6"/>
      <c r="AO228" s="6"/>
      <c r="AP228" s="6"/>
      <c r="AQ228" s="231"/>
      <c r="AR228" s="6"/>
      <c r="AS228" s="136"/>
      <c r="AT228" s="68"/>
      <c r="AU228" s="130"/>
      <c r="AV228" s="267"/>
      <c r="AW228" s="68"/>
      <c r="AX228" s="130"/>
      <c r="AY228" s="152"/>
      <c r="AZ228" s="65"/>
      <c r="BA228" s="65"/>
      <c r="BB228" s="194"/>
      <c r="BC228" s="49" t="e">
        <f>IF(OR(#REF!="",#REF!="")=TRUE,"",NETWORKDAYS.INTL(#REF!,#REF!))</f>
        <v>#REF!</v>
      </c>
      <c r="BD228" s="175"/>
    </row>
    <row r="229" spans="1:56" s="176" customFormat="1" x14ac:dyDescent="0.45">
      <c r="A229" s="12"/>
      <c r="B229" s="262"/>
      <c r="C229" s="262"/>
      <c r="D229" s="262"/>
      <c r="E229" s="262"/>
      <c r="F229" s="262"/>
      <c r="G229" s="262"/>
      <c r="H229" s="262"/>
      <c r="I229" s="262"/>
      <c r="J229" s="262"/>
      <c r="K229" s="262"/>
      <c r="L229" s="136"/>
      <c r="M229" s="262"/>
      <c r="N229" s="262"/>
      <c r="O229" s="262"/>
      <c r="P229" s="262"/>
      <c r="Q229" s="262"/>
      <c r="R229" s="262"/>
      <c r="S229" s="262"/>
      <c r="T229" s="262"/>
      <c r="U229" s="262"/>
      <c r="V229" s="262"/>
      <c r="W229" s="262"/>
      <c r="X229" s="6"/>
      <c r="Y229" s="6"/>
      <c r="Z229" s="131"/>
      <c r="AA229" s="6"/>
      <c r="AB229" s="6"/>
      <c r="AC229" s="131"/>
      <c r="AD229" s="6"/>
      <c r="AE229" s="6"/>
      <c r="AF229" s="131"/>
      <c r="AG229" s="65"/>
      <c r="AH229" s="65"/>
      <c r="AI229" s="68"/>
      <c r="AJ229" s="65"/>
      <c r="AK229" s="152"/>
      <c r="AL229" s="152"/>
      <c r="AM229" s="152"/>
      <c r="AN229" s="6"/>
      <c r="AO229" s="6"/>
      <c r="AP229" s="6"/>
      <c r="AQ229" s="299"/>
      <c r="AR229" s="6"/>
      <c r="AS229" s="68"/>
      <c r="AT229" s="68"/>
      <c r="AU229" s="130"/>
      <c r="AV229" s="267"/>
      <c r="AW229" s="68"/>
      <c r="AX229" s="130"/>
      <c r="AY229" s="152"/>
      <c r="AZ229" s="65"/>
      <c r="BA229" s="65"/>
      <c r="BB229" s="194"/>
      <c r="BC229" s="49" t="e">
        <f>IF(OR(#REF!="",#REF!="")=TRUE,"",NETWORKDAYS.INTL(#REF!,#REF!))</f>
        <v>#REF!</v>
      </c>
      <c r="BD229" s="175"/>
    </row>
    <row r="230" spans="1:56" s="176" customFormat="1" x14ac:dyDescent="0.45">
      <c r="A230" s="13"/>
      <c r="B230" s="262"/>
      <c r="C230" s="262"/>
      <c r="D230" s="262"/>
      <c r="E230" s="262"/>
      <c r="F230" s="262"/>
      <c r="G230" s="262"/>
      <c r="H230" s="262"/>
      <c r="I230" s="262"/>
      <c r="J230" s="262"/>
      <c r="K230" s="262"/>
      <c r="L230" s="147"/>
      <c r="M230" s="262"/>
      <c r="N230" s="262"/>
      <c r="O230" s="262"/>
      <c r="P230" s="262"/>
      <c r="Q230" s="262"/>
      <c r="R230" s="262"/>
      <c r="S230" s="262"/>
      <c r="T230" s="262"/>
      <c r="U230" s="262"/>
      <c r="V230" s="262"/>
      <c r="W230" s="262"/>
      <c r="X230" s="145"/>
      <c r="Y230" s="145"/>
      <c r="Z230" s="140"/>
      <c r="AA230" s="145"/>
      <c r="AB230" s="145"/>
      <c r="AC230" s="140"/>
      <c r="AD230" s="145"/>
      <c r="AE230" s="145"/>
      <c r="AF230" s="140"/>
      <c r="AG230" s="65"/>
      <c r="AH230" s="65"/>
      <c r="AI230" s="68"/>
      <c r="AJ230" s="65"/>
      <c r="AK230" s="152"/>
      <c r="AL230" s="152"/>
      <c r="AM230" s="152"/>
      <c r="AN230" s="6"/>
      <c r="AO230" s="145"/>
      <c r="AP230" s="145"/>
      <c r="AQ230" s="231"/>
      <c r="AR230" s="6"/>
      <c r="AS230" s="144"/>
      <c r="AT230" s="144"/>
      <c r="AU230" s="130"/>
      <c r="AV230" s="267"/>
      <c r="AW230" s="68"/>
      <c r="AX230" s="130"/>
      <c r="AY230" s="152"/>
      <c r="AZ230" s="65"/>
      <c r="BA230" s="65"/>
      <c r="BB230" s="194"/>
      <c r="BC230" s="158" t="e">
        <f>IF(OR(#REF!="",#REF!="")=TRUE,"",NETWORKDAYS.INTL(#REF!,#REF!))</f>
        <v>#REF!</v>
      </c>
      <c r="BD230" s="175"/>
    </row>
    <row r="231" spans="1:56" s="176" customFormat="1" x14ac:dyDescent="0.45">
      <c r="A231" s="13"/>
      <c r="B231" s="262"/>
      <c r="C231" s="262"/>
      <c r="D231" s="262"/>
      <c r="E231" s="262"/>
      <c r="F231" s="262"/>
      <c r="G231" s="262"/>
      <c r="H231" s="262"/>
      <c r="I231" s="262"/>
      <c r="J231" s="262"/>
      <c r="K231" s="262"/>
      <c r="L231" s="147"/>
      <c r="M231" s="262"/>
      <c r="N231" s="262"/>
      <c r="O231" s="262"/>
      <c r="P231" s="262"/>
      <c r="Q231" s="262"/>
      <c r="R231" s="262"/>
      <c r="S231" s="262"/>
      <c r="T231" s="262"/>
      <c r="U231" s="262"/>
      <c r="V231" s="262"/>
      <c r="W231" s="262"/>
      <c r="X231" s="145"/>
      <c r="Y231" s="145"/>
      <c r="Z231" s="140"/>
      <c r="AA231" s="145"/>
      <c r="AB231" s="145"/>
      <c r="AC231" s="140"/>
      <c r="AD231" s="145"/>
      <c r="AE231" s="145"/>
      <c r="AF231" s="140"/>
      <c r="AG231" s="65"/>
      <c r="AH231" s="65"/>
      <c r="AI231" s="68"/>
      <c r="AJ231" s="65"/>
      <c r="AK231" s="152"/>
      <c r="AL231" s="152"/>
      <c r="AM231" s="152"/>
      <c r="AN231" s="6"/>
      <c r="AO231" s="145"/>
      <c r="AP231" s="145"/>
      <c r="AQ231" s="231"/>
      <c r="AR231" s="6"/>
      <c r="AS231" s="144"/>
      <c r="AT231" s="144"/>
      <c r="AU231" s="130"/>
      <c r="AV231" s="267"/>
      <c r="AW231" s="68"/>
      <c r="AX231" s="130"/>
      <c r="AY231" s="152"/>
      <c r="AZ231" s="65"/>
      <c r="BA231" s="65"/>
      <c r="BB231" s="194"/>
      <c r="BC231" s="158" t="e">
        <f>IF(OR(#REF!="",#REF!="")=TRUE,"",NETWORKDAYS.INTL(#REF!,#REF!))</f>
        <v>#REF!</v>
      </c>
      <c r="BD231" s="175"/>
    </row>
    <row r="232" spans="1:56" s="176" customFormat="1" x14ac:dyDescent="0.45">
      <c r="A232" s="12"/>
      <c r="B232" s="262"/>
      <c r="C232" s="262"/>
      <c r="D232" s="262"/>
      <c r="E232" s="262"/>
      <c r="F232" s="262"/>
      <c r="G232" s="262"/>
      <c r="H232" s="262"/>
      <c r="I232" s="262"/>
      <c r="J232" s="262"/>
      <c r="K232" s="262"/>
      <c r="L232" s="147"/>
      <c r="M232" s="262"/>
      <c r="N232" s="262"/>
      <c r="O232" s="262"/>
      <c r="P232" s="262"/>
      <c r="Q232" s="262"/>
      <c r="R232" s="262"/>
      <c r="S232" s="262"/>
      <c r="T232" s="262"/>
      <c r="U232" s="262"/>
      <c r="V232" s="262"/>
      <c r="W232" s="262"/>
      <c r="X232" s="196"/>
      <c r="Y232" s="156"/>
      <c r="Z232" s="156"/>
      <c r="AA232" s="196"/>
      <c r="AB232" s="156"/>
      <c r="AC232" s="156"/>
      <c r="AD232" s="196"/>
      <c r="AE232" s="156"/>
      <c r="AF232" s="156"/>
      <c r="AG232" s="141"/>
      <c r="AH232" s="141"/>
      <c r="AI232" s="146"/>
      <c r="AJ232" s="141"/>
      <c r="AK232" s="157"/>
      <c r="AL232" s="144"/>
      <c r="AM232" s="146"/>
      <c r="AN232" s="144"/>
      <c r="AO232" s="196"/>
      <c r="AP232" s="156"/>
      <c r="AQ232" s="301"/>
      <c r="AR232" s="144"/>
      <c r="AS232" s="146"/>
      <c r="AT232" s="144"/>
      <c r="AU232" s="215"/>
      <c r="AV232" s="277"/>
      <c r="AW232" s="68"/>
      <c r="AX232" s="215"/>
      <c r="AY232" s="152"/>
      <c r="AZ232" s="141"/>
      <c r="BA232" s="141"/>
      <c r="BB232" s="194"/>
      <c r="BC232" s="158" t="e">
        <v>#REF!</v>
      </c>
      <c r="BD232" s="175"/>
    </row>
    <row r="233" spans="1:56" s="176" customFormat="1" x14ac:dyDescent="0.45">
      <c r="A233" s="13"/>
      <c r="B233" s="262"/>
      <c r="C233" s="262"/>
      <c r="D233" s="262"/>
      <c r="E233" s="262"/>
      <c r="F233" s="262"/>
      <c r="G233" s="262"/>
      <c r="H233" s="262"/>
      <c r="I233" s="262"/>
      <c r="J233" s="262"/>
      <c r="K233" s="262"/>
      <c r="L233" s="147"/>
      <c r="M233" s="262"/>
      <c r="N233" s="262"/>
      <c r="O233" s="262"/>
      <c r="P233" s="262"/>
      <c r="Q233" s="262"/>
      <c r="R233" s="262"/>
      <c r="S233" s="262"/>
      <c r="T233" s="262"/>
      <c r="U233" s="262"/>
      <c r="V233" s="262"/>
      <c r="W233" s="262"/>
      <c r="X233" s="175"/>
      <c r="Y233" s="175"/>
      <c r="Z233" s="175"/>
      <c r="AA233" s="175"/>
      <c r="AB233" s="175"/>
      <c r="AC233" s="175"/>
      <c r="AD233" s="175"/>
      <c r="AE233" s="175"/>
      <c r="AF233" s="175"/>
      <c r="AG233" s="179"/>
      <c r="AH233" s="179"/>
      <c r="AI233" s="177"/>
      <c r="AJ233" s="179"/>
      <c r="AK233" s="183"/>
      <c r="AL233" s="177"/>
      <c r="AM233" s="177"/>
      <c r="AN233" s="263"/>
      <c r="AO233" s="175"/>
      <c r="AP233" s="175"/>
      <c r="AQ233" s="307"/>
      <c r="AR233" s="175"/>
      <c r="AS233" s="253"/>
      <c r="AT233" s="253"/>
      <c r="AU233" s="214"/>
      <c r="AV233" s="268"/>
      <c r="AW233" s="175"/>
      <c r="AX233" s="210"/>
      <c r="AY233" s="173"/>
      <c r="AZ233" s="179"/>
      <c r="BA233" s="179"/>
      <c r="BB233" s="175"/>
      <c r="BC233" s="49" t="e">
        <v>#REF!</v>
      </c>
      <c r="BD233" s="175"/>
    </row>
    <row r="234" spans="1:56" s="176" customFormat="1" x14ac:dyDescent="0.45">
      <c r="A234" s="13"/>
      <c r="B234" s="262"/>
      <c r="C234" s="262"/>
      <c r="D234" s="262"/>
      <c r="E234" s="262"/>
      <c r="F234" s="262"/>
      <c r="G234" s="262"/>
      <c r="H234" s="262"/>
      <c r="I234" s="262"/>
      <c r="J234" s="262"/>
      <c r="K234" s="262"/>
      <c r="L234" s="147"/>
      <c r="M234" s="262"/>
      <c r="N234" s="262"/>
      <c r="O234" s="262"/>
      <c r="P234" s="262"/>
      <c r="Q234" s="262"/>
      <c r="R234" s="262"/>
      <c r="S234" s="262"/>
      <c r="T234" s="262"/>
      <c r="U234" s="262"/>
      <c r="V234" s="262"/>
      <c r="W234" s="262"/>
      <c r="X234" s="175"/>
      <c r="Y234" s="175"/>
      <c r="Z234" s="175"/>
      <c r="AA234" s="175"/>
      <c r="AB234" s="175"/>
      <c r="AC234" s="175"/>
      <c r="AD234" s="175"/>
      <c r="AE234" s="175"/>
      <c r="AF234" s="175"/>
      <c r="AG234" s="179"/>
      <c r="AH234" s="179"/>
      <c r="AI234" s="177"/>
      <c r="AJ234" s="179"/>
      <c r="AK234" s="183"/>
      <c r="AL234" s="177"/>
      <c r="AM234" s="177"/>
      <c r="AN234" s="263"/>
      <c r="AO234" s="175"/>
      <c r="AP234" s="175"/>
      <c r="AQ234" s="307"/>
      <c r="AR234" s="175"/>
      <c r="AS234" s="253"/>
      <c r="AT234" s="253"/>
      <c r="AU234" s="214"/>
      <c r="AV234" s="268"/>
      <c r="AW234" s="175"/>
      <c r="AX234" s="210"/>
      <c r="AY234" s="173"/>
      <c r="AZ234" s="179"/>
      <c r="BA234" s="179"/>
      <c r="BB234" s="175"/>
      <c r="BC234" s="49" t="e">
        <v>#REF!</v>
      </c>
      <c r="BD234" s="175"/>
    </row>
    <row r="235" spans="1:56" s="176" customFormat="1" x14ac:dyDescent="0.45">
      <c r="A235" s="12"/>
      <c r="B235" s="262"/>
      <c r="C235" s="262"/>
      <c r="D235" s="262"/>
      <c r="E235" s="262"/>
      <c r="F235" s="262"/>
      <c r="G235" s="262"/>
      <c r="H235" s="262"/>
      <c r="I235" s="262"/>
      <c r="J235" s="262"/>
      <c r="K235" s="262"/>
      <c r="L235" s="147"/>
      <c r="M235" s="262"/>
      <c r="N235" s="262"/>
      <c r="O235" s="262"/>
      <c r="P235" s="262"/>
      <c r="Q235" s="262"/>
      <c r="R235" s="262"/>
      <c r="S235" s="262"/>
      <c r="T235" s="262"/>
      <c r="U235" s="262"/>
      <c r="V235" s="262"/>
      <c r="W235" s="262"/>
      <c r="X235" s="175"/>
      <c r="Y235" s="175"/>
      <c r="Z235" s="175"/>
      <c r="AA235" s="175"/>
      <c r="AB235" s="175"/>
      <c r="AC235" s="175"/>
      <c r="AD235" s="175"/>
      <c r="AE235" s="175"/>
      <c r="AF235" s="175"/>
      <c r="AG235" s="179"/>
      <c r="AH235" s="179"/>
      <c r="AI235" s="177"/>
      <c r="AJ235" s="179"/>
      <c r="AK235" s="183"/>
      <c r="AL235" s="177"/>
      <c r="AM235" s="177"/>
      <c r="AN235" s="263"/>
      <c r="AO235" s="175"/>
      <c r="AP235" s="175"/>
      <c r="AQ235" s="307"/>
      <c r="AR235" s="175"/>
      <c r="AS235" s="253"/>
      <c r="AT235" s="253"/>
      <c r="AU235" s="214"/>
      <c r="AV235" s="268"/>
      <c r="AW235" s="175"/>
      <c r="AX235" s="210"/>
      <c r="AY235" s="173"/>
      <c r="AZ235" s="179"/>
      <c r="BA235" s="179"/>
      <c r="BB235" s="175"/>
      <c r="BC235" s="49" t="e">
        <v>#REF!</v>
      </c>
      <c r="BD235" s="175"/>
    </row>
    <row r="236" spans="1:56" s="176" customFormat="1" x14ac:dyDescent="0.45">
      <c r="A236" s="13"/>
      <c r="B236" s="262"/>
      <c r="C236" s="262"/>
      <c r="D236" s="262"/>
      <c r="E236" s="262"/>
      <c r="F236" s="262"/>
      <c r="G236" s="262"/>
      <c r="H236" s="262"/>
      <c r="I236" s="262"/>
      <c r="J236" s="262"/>
      <c r="K236" s="262"/>
      <c r="L236" s="147"/>
      <c r="M236" s="262"/>
      <c r="N236" s="262"/>
      <c r="O236" s="262"/>
      <c r="P236" s="262"/>
      <c r="Q236" s="262"/>
      <c r="R236" s="262"/>
      <c r="S236" s="262"/>
      <c r="T236" s="262"/>
      <c r="U236" s="262"/>
      <c r="V236" s="262"/>
      <c r="W236" s="262"/>
      <c r="X236" s="175"/>
      <c r="Y236" s="175"/>
      <c r="Z236" s="175"/>
      <c r="AA236" s="175"/>
      <c r="AB236" s="175"/>
      <c r="AC236" s="175"/>
      <c r="AD236" s="175"/>
      <c r="AE236" s="175"/>
      <c r="AF236" s="175"/>
      <c r="AG236" s="179"/>
      <c r="AH236" s="179"/>
      <c r="AI236" s="177"/>
      <c r="AJ236" s="179"/>
      <c r="AK236" s="183"/>
      <c r="AL236" s="177"/>
      <c r="AM236" s="177"/>
      <c r="AN236" s="263"/>
      <c r="AO236" s="175"/>
      <c r="AP236" s="175"/>
      <c r="AQ236" s="307"/>
      <c r="AR236" s="175"/>
      <c r="AS236" s="253"/>
      <c r="AT236" s="253"/>
      <c r="AU236" s="214"/>
      <c r="AV236" s="268"/>
      <c r="AW236" s="175"/>
      <c r="AX236" s="210"/>
      <c r="AY236" s="173"/>
      <c r="AZ236" s="179"/>
      <c r="BA236" s="179"/>
      <c r="BB236" s="175"/>
      <c r="BC236" s="49" t="e">
        <v>#REF!</v>
      </c>
      <c r="BD236" s="175"/>
    </row>
    <row r="237" spans="1:56" s="176" customFormat="1" x14ac:dyDescent="0.45">
      <c r="A237" s="13"/>
      <c r="B237" s="262"/>
      <c r="C237" s="262"/>
      <c r="D237" s="262"/>
      <c r="E237" s="262"/>
      <c r="F237" s="262"/>
      <c r="G237" s="262"/>
      <c r="H237" s="262"/>
      <c r="I237" s="262"/>
      <c r="J237" s="262"/>
      <c r="K237" s="262"/>
      <c r="L237" s="147"/>
      <c r="M237" s="262"/>
      <c r="N237" s="262"/>
      <c r="O237" s="262"/>
      <c r="P237" s="262"/>
      <c r="Q237" s="262"/>
      <c r="R237" s="262"/>
      <c r="S237" s="262"/>
      <c r="T237" s="262"/>
      <c r="U237" s="262"/>
      <c r="V237" s="262"/>
      <c r="W237" s="262"/>
      <c r="X237" s="175"/>
      <c r="Y237" s="175"/>
      <c r="Z237" s="175"/>
      <c r="AA237" s="175"/>
      <c r="AB237" s="175"/>
      <c r="AC237" s="175"/>
      <c r="AD237" s="175"/>
      <c r="AE237" s="175"/>
      <c r="AF237" s="175"/>
      <c r="AG237" s="179"/>
      <c r="AH237" s="179"/>
      <c r="AI237" s="177"/>
      <c r="AJ237" s="179"/>
      <c r="AK237" s="183"/>
      <c r="AL237" s="177"/>
      <c r="AM237" s="177"/>
      <c r="AN237" s="263"/>
      <c r="AO237" s="175"/>
      <c r="AP237" s="175"/>
      <c r="AQ237" s="307"/>
      <c r="AR237" s="175"/>
      <c r="AS237" s="253"/>
      <c r="AT237" s="253"/>
      <c r="AU237" s="214"/>
      <c r="AV237" s="268"/>
      <c r="AW237" s="175"/>
      <c r="AX237" s="210"/>
      <c r="AY237" s="173"/>
      <c r="AZ237" s="179"/>
      <c r="BA237" s="179"/>
      <c r="BB237" s="175"/>
      <c r="BC237" s="49" t="e">
        <v>#REF!</v>
      </c>
      <c r="BD237" s="175"/>
    </row>
    <row r="238" spans="1:56" s="176" customFormat="1" x14ac:dyDescent="0.45">
      <c r="A238" s="12"/>
      <c r="B238" s="262"/>
      <c r="C238" s="262"/>
      <c r="D238" s="262"/>
      <c r="E238" s="262"/>
      <c r="F238" s="262"/>
      <c r="G238" s="262"/>
      <c r="H238" s="262"/>
      <c r="I238" s="262"/>
      <c r="J238" s="262"/>
      <c r="K238" s="262"/>
      <c r="L238" s="147"/>
      <c r="M238" s="262"/>
      <c r="N238" s="262"/>
      <c r="O238" s="262"/>
      <c r="P238" s="262"/>
      <c r="Q238" s="262"/>
      <c r="R238" s="262"/>
      <c r="S238" s="262"/>
      <c r="T238" s="262"/>
      <c r="U238" s="262"/>
      <c r="V238" s="262"/>
      <c r="W238" s="262"/>
      <c r="X238" s="175"/>
      <c r="Y238" s="175"/>
      <c r="Z238" s="175"/>
      <c r="AA238" s="175"/>
      <c r="AB238" s="175"/>
      <c r="AC238" s="175"/>
      <c r="AD238" s="175"/>
      <c r="AE238" s="175"/>
      <c r="AF238" s="175"/>
      <c r="AG238" s="179"/>
      <c r="AH238" s="179"/>
      <c r="AI238" s="177"/>
      <c r="AJ238" s="179"/>
      <c r="AK238" s="183"/>
      <c r="AL238" s="177"/>
      <c r="AM238" s="177"/>
      <c r="AN238" s="263"/>
      <c r="AO238" s="175"/>
      <c r="AP238" s="175"/>
      <c r="AQ238" s="307"/>
      <c r="AR238" s="175"/>
      <c r="AS238" s="253"/>
      <c r="AT238" s="253"/>
      <c r="AU238" s="214"/>
      <c r="AV238" s="268"/>
      <c r="AW238" s="175"/>
      <c r="AX238" s="210"/>
      <c r="AY238" s="173"/>
      <c r="AZ238" s="179"/>
      <c r="BA238" s="179"/>
      <c r="BB238" s="175"/>
      <c r="BC238" s="49" t="e">
        <v>#REF!</v>
      </c>
      <c r="BD238" s="175"/>
    </row>
    <row r="239" spans="1:56" s="176" customFormat="1" x14ac:dyDescent="0.45">
      <c r="A239" s="13"/>
      <c r="B239" s="262"/>
      <c r="C239" s="262"/>
      <c r="D239" s="262"/>
      <c r="E239" s="262"/>
      <c r="F239" s="262"/>
      <c r="G239" s="262"/>
      <c r="H239" s="262"/>
      <c r="I239" s="262"/>
      <c r="J239" s="262"/>
      <c r="K239" s="262"/>
      <c r="L239" s="147"/>
      <c r="M239" s="262"/>
      <c r="N239" s="262"/>
      <c r="O239" s="262"/>
      <c r="P239" s="262"/>
      <c r="Q239" s="262"/>
      <c r="R239" s="262"/>
      <c r="S239" s="262"/>
      <c r="T239" s="262"/>
      <c r="U239" s="262"/>
      <c r="V239" s="262"/>
      <c r="W239" s="262"/>
      <c r="X239" s="175"/>
      <c r="Y239" s="175"/>
      <c r="Z239" s="175"/>
      <c r="AA239" s="175"/>
      <c r="AB239" s="175"/>
      <c r="AC239" s="175"/>
      <c r="AD239" s="175"/>
      <c r="AE239" s="175"/>
      <c r="AF239" s="175"/>
      <c r="AG239" s="179"/>
      <c r="AH239" s="179"/>
      <c r="AI239" s="177"/>
      <c r="AJ239" s="179"/>
      <c r="AK239" s="183"/>
      <c r="AL239" s="177"/>
      <c r="AM239" s="177"/>
      <c r="AN239" s="263"/>
      <c r="AO239" s="175"/>
      <c r="AP239" s="175"/>
      <c r="AQ239" s="307"/>
      <c r="AR239" s="175"/>
      <c r="AS239" s="253"/>
      <c r="AT239" s="253"/>
      <c r="AU239" s="214"/>
      <c r="AV239" s="268"/>
      <c r="AW239" s="175"/>
      <c r="AX239" s="210"/>
      <c r="AY239" s="173"/>
      <c r="AZ239" s="179"/>
      <c r="BA239" s="179"/>
      <c r="BB239" s="175"/>
      <c r="BC239" s="49" t="e">
        <v>#REF!</v>
      </c>
      <c r="BD239" s="175"/>
    </row>
    <row r="240" spans="1:56" s="176" customFormat="1" x14ac:dyDescent="0.45">
      <c r="A240" s="13"/>
      <c r="B240" s="262"/>
      <c r="C240" s="262"/>
      <c r="D240" s="262"/>
      <c r="E240" s="262"/>
      <c r="F240" s="262"/>
      <c r="G240" s="262"/>
      <c r="H240" s="262"/>
      <c r="I240" s="262"/>
      <c r="J240" s="262"/>
      <c r="K240" s="262"/>
      <c r="L240" s="147"/>
      <c r="M240" s="262"/>
      <c r="N240" s="262"/>
      <c r="O240" s="262"/>
      <c r="P240" s="262"/>
      <c r="Q240" s="262"/>
      <c r="R240" s="262"/>
      <c r="S240" s="262"/>
      <c r="T240" s="262"/>
      <c r="U240" s="262"/>
      <c r="V240" s="262"/>
      <c r="W240" s="262"/>
      <c r="X240" s="175"/>
      <c r="Y240" s="175"/>
      <c r="Z240" s="175"/>
      <c r="AA240" s="175"/>
      <c r="AB240" s="175"/>
      <c r="AC240" s="175"/>
      <c r="AD240" s="175"/>
      <c r="AE240" s="175"/>
      <c r="AF240" s="175"/>
      <c r="AG240" s="179"/>
      <c r="AH240" s="179"/>
      <c r="AI240" s="177"/>
      <c r="AJ240" s="179"/>
      <c r="AK240" s="183"/>
      <c r="AL240" s="177"/>
      <c r="AM240" s="177"/>
      <c r="AN240" s="263"/>
      <c r="AO240" s="175"/>
      <c r="AP240" s="175"/>
      <c r="AQ240" s="307"/>
      <c r="AR240" s="175"/>
      <c r="AS240" s="253"/>
      <c r="AT240" s="253"/>
      <c r="AU240" s="214"/>
      <c r="AV240" s="268"/>
      <c r="AW240" s="175"/>
      <c r="AX240" s="210"/>
      <c r="AY240" s="173"/>
      <c r="AZ240" s="179"/>
      <c r="BA240" s="179"/>
      <c r="BB240" s="175"/>
      <c r="BC240" s="49" t="e">
        <v>#REF!</v>
      </c>
      <c r="BD240" s="175"/>
    </row>
    <row r="241" spans="1:56" s="176" customFormat="1" x14ac:dyDescent="0.45">
      <c r="A241" s="12"/>
      <c r="B241" s="262"/>
      <c r="C241" s="262"/>
      <c r="D241" s="262"/>
      <c r="E241" s="262"/>
      <c r="F241" s="262"/>
      <c r="G241" s="262"/>
      <c r="H241" s="262"/>
      <c r="I241" s="262"/>
      <c r="J241" s="262"/>
      <c r="K241" s="262"/>
      <c r="L241" s="147"/>
      <c r="M241" s="262"/>
      <c r="N241" s="262"/>
      <c r="O241" s="262"/>
      <c r="P241" s="262"/>
      <c r="Q241" s="262"/>
      <c r="R241" s="262"/>
      <c r="S241" s="262"/>
      <c r="T241" s="262"/>
      <c r="U241" s="262"/>
      <c r="V241" s="262"/>
      <c r="W241" s="262"/>
      <c r="X241" s="175"/>
      <c r="Y241" s="175"/>
      <c r="Z241" s="175"/>
      <c r="AA241" s="175"/>
      <c r="AB241" s="175"/>
      <c r="AC241" s="175"/>
      <c r="AD241" s="175"/>
      <c r="AE241" s="175"/>
      <c r="AF241" s="175"/>
      <c r="AG241" s="179"/>
      <c r="AH241" s="179"/>
      <c r="AI241" s="177"/>
      <c r="AJ241" s="179"/>
      <c r="AK241" s="183"/>
      <c r="AL241" s="177"/>
      <c r="AM241" s="177"/>
      <c r="AN241" s="263"/>
      <c r="AO241" s="175"/>
      <c r="AP241" s="175"/>
      <c r="AQ241" s="307"/>
      <c r="AR241" s="175"/>
      <c r="AS241" s="253"/>
      <c r="AT241" s="253"/>
      <c r="AU241" s="214"/>
      <c r="AV241" s="268"/>
      <c r="AW241" s="175"/>
      <c r="AX241" s="210"/>
      <c r="AY241" s="173"/>
      <c r="AZ241" s="179"/>
      <c r="BA241" s="179"/>
      <c r="BB241" s="175"/>
      <c r="BC241" s="49" t="e">
        <v>#REF!</v>
      </c>
      <c r="BD241" s="175"/>
    </row>
    <row r="242" spans="1:56" s="176" customFormat="1" x14ac:dyDescent="0.45">
      <c r="A242" s="13"/>
      <c r="B242" s="262"/>
      <c r="C242" s="262"/>
      <c r="D242" s="262"/>
      <c r="E242" s="262"/>
      <c r="F242" s="262"/>
      <c r="G242" s="262"/>
      <c r="H242" s="262"/>
      <c r="I242" s="262"/>
      <c r="J242" s="262"/>
      <c r="K242" s="262"/>
      <c r="L242" s="147"/>
      <c r="M242" s="262"/>
      <c r="N242" s="262"/>
      <c r="O242" s="262"/>
      <c r="P242" s="262"/>
      <c r="Q242" s="262"/>
      <c r="R242" s="262"/>
      <c r="S242" s="262"/>
      <c r="T242" s="262"/>
      <c r="U242" s="262"/>
      <c r="V242" s="262"/>
      <c r="W242" s="262"/>
      <c r="X242" s="175"/>
      <c r="Y242" s="175"/>
      <c r="Z242" s="175"/>
      <c r="AA242" s="175"/>
      <c r="AB242" s="175"/>
      <c r="AC242" s="175"/>
      <c r="AD242" s="175"/>
      <c r="AE242" s="175"/>
      <c r="AF242" s="175"/>
      <c r="AG242" s="179"/>
      <c r="AH242" s="179"/>
      <c r="AI242" s="177"/>
      <c r="AJ242" s="179"/>
      <c r="AK242" s="183"/>
      <c r="AL242" s="177"/>
      <c r="AM242" s="177"/>
      <c r="AN242" s="263"/>
      <c r="AO242" s="175"/>
      <c r="AP242" s="175"/>
      <c r="AQ242" s="307"/>
      <c r="AR242" s="175"/>
      <c r="AS242" s="253"/>
      <c r="AT242" s="253"/>
      <c r="AU242" s="214"/>
      <c r="AV242" s="268"/>
      <c r="AW242" s="175"/>
      <c r="AX242" s="210"/>
      <c r="AY242" s="173"/>
      <c r="AZ242" s="179"/>
      <c r="BA242" s="179"/>
      <c r="BB242" s="175"/>
      <c r="BC242" s="49" t="e">
        <v>#REF!</v>
      </c>
      <c r="BD242" s="175"/>
    </row>
    <row r="243" spans="1:56" s="176" customFormat="1" x14ac:dyDescent="0.45">
      <c r="A243" s="13"/>
      <c r="B243" s="262"/>
      <c r="C243" s="262"/>
      <c r="D243" s="262"/>
      <c r="E243" s="262"/>
      <c r="F243" s="262"/>
      <c r="G243" s="262"/>
      <c r="H243" s="262"/>
      <c r="I243" s="262"/>
      <c r="J243" s="262"/>
      <c r="K243" s="262"/>
      <c r="L243" s="147"/>
      <c r="M243" s="262"/>
      <c r="N243" s="262"/>
      <c r="O243" s="262"/>
      <c r="P243" s="262"/>
      <c r="Q243" s="262"/>
      <c r="R243" s="262"/>
      <c r="S243" s="262"/>
      <c r="T243" s="262"/>
      <c r="U243" s="262"/>
      <c r="V243" s="262"/>
      <c r="W243" s="262"/>
      <c r="X243" s="175"/>
      <c r="Y243" s="175"/>
      <c r="Z243" s="175"/>
      <c r="AA243" s="175"/>
      <c r="AB243" s="175"/>
      <c r="AC243" s="175"/>
      <c r="AD243" s="175"/>
      <c r="AE243" s="175"/>
      <c r="AF243" s="175"/>
      <c r="AG243" s="179"/>
      <c r="AH243" s="179"/>
      <c r="AI243" s="177"/>
      <c r="AJ243" s="179"/>
      <c r="AK243" s="183"/>
      <c r="AL243" s="177"/>
      <c r="AM243" s="177"/>
      <c r="AN243" s="263"/>
      <c r="AO243" s="175"/>
      <c r="AP243" s="175"/>
      <c r="AQ243" s="307"/>
      <c r="AR243" s="175"/>
      <c r="AS243" s="253"/>
      <c r="AT243" s="253"/>
      <c r="AU243" s="214"/>
      <c r="AV243" s="268"/>
      <c r="AW243" s="175"/>
      <c r="AX243" s="210"/>
      <c r="AY243" s="173"/>
      <c r="AZ243" s="179"/>
      <c r="BA243" s="179"/>
      <c r="BB243" s="175"/>
      <c r="BC243" s="49" t="e">
        <v>#REF!</v>
      </c>
      <c r="BD243" s="175"/>
    </row>
    <row r="244" spans="1:56" s="176" customFormat="1" x14ac:dyDescent="0.45">
      <c r="A244" s="12"/>
      <c r="B244" s="262"/>
      <c r="C244" s="262"/>
      <c r="D244" s="262"/>
      <c r="E244" s="262"/>
      <c r="F244" s="262"/>
      <c r="G244" s="262"/>
      <c r="H244" s="262"/>
      <c r="I244" s="262"/>
      <c r="J244" s="262"/>
      <c r="K244" s="262"/>
      <c r="L244" s="147"/>
      <c r="M244" s="262"/>
      <c r="N244" s="262"/>
      <c r="O244" s="262"/>
      <c r="P244" s="262"/>
      <c r="Q244" s="262"/>
      <c r="R244" s="262"/>
      <c r="S244" s="262"/>
      <c r="T244" s="262"/>
      <c r="U244" s="262"/>
      <c r="V244" s="262"/>
      <c r="W244" s="262"/>
      <c r="X244" s="175"/>
      <c r="Y244" s="175"/>
      <c r="Z244" s="175"/>
      <c r="AA244" s="175"/>
      <c r="AB244" s="175"/>
      <c r="AC244" s="175"/>
      <c r="AD244" s="175"/>
      <c r="AE244" s="175"/>
      <c r="AF244" s="175"/>
      <c r="AG244" s="179"/>
      <c r="AH244" s="179"/>
      <c r="AI244" s="177"/>
      <c r="AJ244" s="179"/>
      <c r="AK244" s="183"/>
      <c r="AL244" s="177"/>
      <c r="AM244" s="177"/>
      <c r="AN244" s="263"/>
      <c r="AO244" s="175"/>
      <c r="AP244" s="175"/>
      <c r="AQ244" s="307"/>
      <c r="AR244" s="175"/>
      <c r="AS244" s="253"/>
      <c r="AT244" s="253"/>
      <c r="AU244" s="214"/>
      <c r="AV244" s="268"/>
      <c r="AW244" s="175"/>
      <c r="AX244" s="210"/>
      <c r="AY244" s="173"/>
      <c r="AZ244" s="179"/>
      <c r="BA244" s="179"/>
      <c r="BB244" s="175"/>
      <c r="BC244" s="49" t="e">
        <v>#REF!</v>
      </c>
      <c r="BD244" s="175"/>
    </row>
    <row r="245" spans="1:56" s="176" customFormat="1" x14ac:dyDescent="0.45">
      <c r="A245" s="13"/>
      <c r="B245" s="262"/>
      <c r="C245" s="262"/>
      <c r="D245" s="262"/>
      <c r="E245" s="262"/>
      <c r="F245" s="262"/>
      <c r="G245" s="262"/>
      <c r="H245" s="262"/>
      <c r="I245" s="262"/>
      <c r="J245" s="262"/>
      <c r="K245" s="262"/>
      <c r="L245" s="147"/>
      <c r="M245" s="262"/>
      <c r="N245" s="262"/>
      <c r="O245" s="262"/>
      <c r="P245" s="262"/>
      <c r="Q245" s="262"/>
      <c r="R245" s="262"/>
      <c r="S245" s="262"/>
      <c r="T245" s="262"/>
      <c r="U245" s="262"/>
      <c r="V245" s="262"/>
      <c r="W245" s="262"/>
      <c r="X245" s="175"/>
      <c r="Y245" s="175"/>
      <c r="Z245" s="175"/>
      <c r="AA245" s="175"/>
      <c r="AB245" s="175"/>
      <c r="AC245" s="175"/>
      <c r="AD245" s="175"/>
      <c r="AE245" s="175"/>
      <c r="AF245" s="175"/>
      <c r="AG245" s="179"/>
      <c r="AH245" s="179"/>
      <c r="AI245" s="177"/>
      <c r="AJ245" s="179"/>
      <c r="AK245" s="183"/>
      <c r="AL245" s="177"/>
      <c r="AM245" s="177"/>
      <c r="AN245" s="263"/>
      <c r="AO245" s="175"/>
      <c r="AP245" s="175"/>
      <c r="AQ245" s="307"/>
      <c r="AR245" s="175"/>
      <c r="AS245" s="253"/>
      <c r="AT245" s="253"/>
      <c r="AU245" s="214"/>
      <c r="AV245" s="268"/>
      <c r="AW245" s="175"/>
      <c r="AX245" s="210"/>
      <c r="AY245" s="173"/>
      <c r="AZ245" s="179"/>
      <c r="BA245" s="179"/>
      <c r="BB245" s="175"/>
      <c r="BC245" s="49" t="e">
        <v>#REF!</v>
      </c>
      <c r="BD245" s="175"/>
    </row>
    <row r="246" spans="1:56" s="176" customFormat="1" x14ac:dyDescent="0.45">
      <c r="A246" s="13"/>
      <c r="B246" s="262"/>
      <c r="C246" s="262"/>
      <c r="D246" s="262"/>
      <c r="E246" s="262"/>
      <c r="F246" s="262"/>
      <c r="G246" s="262"/>
      <c r="H246" s="262"/>
      <c r="I246" s="262"/>
      <c r="J246" s="262"/>
      <c r="K246" s="262"/>
      <c r="L246" s="147"/>
      <c r="M246" s="262"/>
      <c r="N246" s="262"/>
      <c r="O246" s="262"/>
      <c r="P246" s="262"/>
      <c r="Q246" s="262"/>
      <c r="R246" s="262"/>
      <c r="S246" s="262"/>
      <c r="T246" s="262"/>
      <c r="U246" s="262"/>
      <c r="V246" s="262"/>
      <c r="W246" s="262"/>
      <c r="X246" s="175"/>
      <c r="Y246" s="175"/>
      <c r="Z246" s="175"/>
      <c r="AA246" s="175"/>
      <c r="AB246" s="175"/>
      <c r="AC246" s="175"/>
      <c r="AD246" s="175"/>
      <c r="AE246" s="175"/>
      <c r="AF246" s="175"/>
      <c r="AG246" s="179"/>
      <c r="AH246" s="179"/>
      <c r="AI246" s="177"/>
      <c r="AJ246" s="179"/>
      <c r="AK246" s="183"/>
      <c r="AL246" s="177"/>
      <c r="AM246" s="177"/>
      <c r="AN246" s="263"/>
      <c r="AO246" s="175"/>
      <c r="AP246" s="175"/>
      <c r="AQ246" s="307"/>
      <c r="AR246" s="175"/>
      <c r="AS246" s="253"/>
      <c r="AT246" s="253"/>
      <c r="AU246" s="214"/>
      <c r="AV246" s="268"/>
      <c r="AW246" s="175"/>
      <c r="AX246" s="210"/>
      <c r="AY246" s="173"/>
      <c r="AZ246" s="179"/>
      <c r="BA246" s="179"/>
      <c r="BB246" s="175"/>
      <c r="BC246" s="49" t="e">
        <v>#REF!</v>
      </c>
      <c r="BD246" s="175"/>
    </row>
    <row r="247" spans="1:56" s="176" customFormat="1" x14ac:dyDescent="0.45">
      <c r="A247" s="12"/>
      <c r="B247" s="262"/>
      <c r="C247" s="262"/>
      <c r="D247" s="262"/>
      <c r="E247" s="262"/>
      <c r="F247" s="262"/>
      <c r="G247" s="262"/>
      <c r="H247" s="262"/>
      <c r="I247" s="262"/>
      <c r="J247" s="262"/>
      <c r="K247" s="262"/>
      <c r="L247" s="147"/>
      <c r="M247" s="262"/>
      <c r="N247" s="262"/>
      <c r="O247" s="262"/>
      <c r="P247" s="262"/>
      <c r="Q247" s="262"/>
      <c r="R247" s="262"/>
      <c r="S247" s="262"/>
      <c r="T247" s="262"/>
      <c r="U247" s="262"/>
      <c r="V247" s="262"/>
      <c r="W247" s="262"/>
      <c r="X247" s="175"/>
      <c r="Y247" s="175"/>
      <c r="Z247" s="175"/>
      <c r="AA247" s="175"/>
      <c r="AB247" s="175"/>
      <c r="AC247" s="175"/>
      <c r="AD247" s="175"/>
      <c r="AE247" s="175"/>
      <c r="AF247" s="175"/>
      <c r="AG247" s="179"/>
      <c r="AH247" s="179"/>
      <c r="AI247" s="177"/>
      <c r="AJ247" s="179"/>
      <c r="AK247" s="183"/>
      <c r="AL247" s="177"/>
      <c r="AM247" s="177"/>
      <c r="AN247" s="263"/>
      <c r="AO247" s="175"/>
      <c r="AP247" s="175"/>
      <c r="AQ247" s="307"/>
      <c r="AR247" s="175"/>
      <c r="AS247" s="253"/>
      <c r="AT247" s="253"/>
      <c r="AU247" s="214"/>
      <c r="AV247" s="268"/>
      <c r="AW247" s="175"/>
      <c r="AX247" s="210"/>
      <c r="AY247" s="173"/>
      <c r="AZ247" s="179"/>
      <c r="BA247" s="179"/>
      <c r="BB247" s="175"/>
      <c r="BC247" s="49" t="e">
        <v>#REF!</v>
      </c>
      <c r="BD247" s="175"/>
    </row>
    <row r="248" spans="1:56" s="176" customFormat="1" x14ac:dyDescent="0.45">
      <c r="A248" s="13"/>
      <c r="B248" s="262"/>
      <c r="C248" s="262"/>
      <c r="D248" s="262"/>
      <c r="E248" s="262"/>
      <c r="F248" s="262"/>
      <c r="G248" s="262"/>
      <c r="H248" s="262"/>
      <c r="I248" s="262"/>
      <c r="J248" s="262"/>
      <c r="K248" s="262"/>
      <c r="L248" s="147"/>
      <c r="M248" s="262"/>
      <c r="N248" s="262"/>
      <c r="O248" s="262"/>
      <c r="P248" s="262"/>
      <c r="Q248" s="262"/>
      <c r="R248" s="262"/>
      <c r="S248" s="262"/>
      <c r="T248" s="262"/>
      <c r="U248" s="262"/>
      <c r="V248" s="262"/>
      <c r="W248" s="262"/>
      <c r="X248" s="175"/>
      <c r="Y248" s="175"/>
      <c r="Z248" s="175"/>
      <c r="AA248" s="175"/>
      <c r="AB248" s="175"/>
      <c r="AC248" s="175"/>
      <c r="AD248" s="175"/>
      <c r="AE248" s="175"/>
      <c r="AF248" s="175"/>
      <c r="AG248" s="179"/>
      <c r="AH248" s="179"/>
      <c r="AI248" s="177"/>
      <c r="AJ248" s="179"/>
      <c r="AK248" s="183"/>
      <c r="AL248" s="177"/>
      <c r="AM248" s="177"/>
      <c r="AN248" s="263"/>
      <c r="AO248" s="175"/>
      <c r="AP248" s="175"/>
      <c r="AQ248" s="307"/>
      <c r="AR248" s="175"/>
      <c r="AS248" s="253"/>
      <c r="AT248" s="253"/>
      <c r="AU248" s="214"/>
      <c r="AV248" s="268"/>
      <c r="AW248" s="175"/>
      <c r="AX248" s="210"/>
      <c r="AY248" s="173"/>
      <c r="AZ248" s="179"/>
      <c r="BA248" s="179"/>
      <c r="BB248" s="175"/>
      <c r="BC248" s="49" t="e">
        <v>#REF!</v>
      </c>
      <c r="BD248" s="175"/>
    </row>
    <row r="249" spans="1:56" s="176" customFormat="1" x14ac:dyDescent="0.45">
      <c r="A249" s="13"/>
      <c r="B249" s="262"/>
      <c r="C249" s="262"/>
      <c r="D249" s="262"/>
      <c r="E249" s="262"/>
      <c r="F249" s="262"/>
      <c r="G249" s="262"/>
      <c r="H249" s="262"/>
      <c r="I249" s="262"/>
      <c r="J249" s="262"/>
      <c r="K249" s="262"/>
      <c r="L249" s="147"/>
      <c r="M249" s="262"/>
      <c r="N249" s="262"/>
      <c r="O249" s="262"/>
      <c r="P249" s="262"/>
      <c r="Q249" s="262"/>
      <c r="R249" s="262"/>
      <c r="S249" s="262"/>
      <c r="T249" s="262"/>
      <c r="U249" s="262"/>
      <c r="V249" s="262"/>
      <c r="W249" s="262"/>
      <c r="X249" s="175"/>
      <c r="Y249" s="175"/>
      <c r="Z249" s="175"/>
      <c r="AA249" s="175"/>
      <c r="AB249" s="175"/>
      <c r="AC249" s="175"/>
      <c r="AD249" s="175"/>
      <c r="AE249" s="175"/>
      <c r="AF249" s="175"/>
      <c r="AG249" s="179"/>
      <c r="AH249" s="179"/>
      <c r="AI249" s="177"/>
      <c r="AJ249" s="179"/>
      <c r="AK249" s="183"/>
      <c r="AL249" s="177"/>
      <c r="AM249" s="177"/>
      <c r="AN249" s="263"/>
      <c r="AO249" s="175"/>
      <c r="AP249" s="175"/>
      <c r="AQ249" s="307"/>
      <c r="AR249" s="175"/>
      <c r="AS249" s="253"/>
      <c r="AT249" s="253"/>
      <c r="AU249" s="214"/>
      <c r="AV249" s="268"/>
      <c r="AW249" s="175"/>
      <c r="AX249" s="210"/>
      <c r="AY249" s="173"/>
      <c r="AZ249" s="179"/>
      <c r="BA249" s="179"/>
      <c r="BB249" s="175"/>
      <c r="BC249" s="49" t="e">
        <v>#REF!</v>
      </c>
      <c r="BD249" s="175"/>
    </row>
    <row r="250" spans="1:56" s="176" customFormat="1" x14ac:dyDescent="0.45">
      <c r="A250" s="12"/>
      <c r="B250" s="262"/>
      <c r="C250" s="262"/>
      <c r="D250" s="262"/>
      <c r="E250" s="262"/>
      <c r="F250" s="262"/>
      <c r="G250" s="262"/>
      <c r="H250" s="262"/>
      <c r="I250" s="262"/>
      <c r="J250" s="262"/>
      <c r="K250" s="262"/>
      <c r="L250" s="147"/>
      <c r="M250" s="262"/>
      <c r="N250" s="262"/>
      <c r="O250" s="262"/>
      <c r="P250" s="262"/>
      <c r="Q250" s="262"/>
      <c r="R250" s="262"/>
      <c r="S250" s="262"/>
      <c r="T250" s="262"/>
      <c r="U250" s="262"/>
      <c r="V250" s="262"/>
      <c r="W250" s="262"/>
      <c r="X250" s="175"/>
      <c r="Y250" s="175"/>
      <c r="Z250" s="175"/>
      <c r="AA250" s="175"/>
      <c r="AB250" s="175"/>
      <c r="AC250" s="175"/>
      <c r="AD250" s="175"/>
      <c r="AE250" s="175"/>
      <c r="AF250" s="175"/>
      <c r="AG250" s="179"/>
      <c r="AH250" s="179"/>
      <c r="AI250" s="177"/>
      <c r="AJ250" s="179"/>
      <c r="AK250" s="183"/>
      <c r="AL250" s="177"/>
      <c r="AM250" s="177"/>
      <c r="AN250" s="263"/>
      <c r="AO250" s="175"/>
      <c r="AP250" s="175"/>
      <c r="AQ250" s="307"/>
      <c r="AR250" s="175"/>
      <c r="AS250" s="253"/>
      <c r="AT250" s="253"/>
      <c r="AU250" s="214"/>
      <c r="AV250" s="268"/>
      <c r="AW250" s="175"/>
      <c r="AX250" s="210"/>
      <c r="AY250" s="173"/>
      <c r="AZ250" s="179"/>
      <c r="BA250" s="179"/>
      <c r="BB250" s="175"/>
      <c r="BC250" s="49" t="e">
        <v>#REF!</v>
      </c>
      <c r="BD250" s="175"/>
    </row>
    <row r="251" spans="1:56" s="176" customFormat="1" x14ac:dyDescent="0.45">
      <c r="A251" s="13"/>
      <c r="B251" s="262"/>
      <c r="C251" s="262"/>
      <c r="D251" s="262"/>
      <c r="E251" s="262"/>
      <c r="F251" s="262"/>
      <c r="G251" s="262"/>
      <c r="H251" s="262"/>
      <c r="I251" s="262"/>
      <c r="J251" s="262"/>
      <c r="K251" s="262"/>
      <c r="L251" s="147"/>
      <c r="M251" s="262"/>
      <c r="N251" s="262"/>
      <c r="O251" s="262"/>
      <c r="P251" s="262"/>
      <c r="Q251" s="262"/>
      <c r="R251" s="262"/>
      <c r="S251" s="262"/>
      <c r="T251" s="262"/>
      <c r="U251" s="262"/>
      <c r="V251" s="262"/>
      <c r="W251" s="262"/>
      <c r="X251" s="175"/>
      <c r="Y251" s="175"/>
      <c r="Z251" s="175"/>
      <c r="AA251" s="175"/>
      <c r="AB251" s="175"/>
      <c r="AC251" s="175"/>
      <c r="AD251" s="175"/>
      <c r="AE251" s="175"/>
      <c r="AF251" s="175"/>
      <c r="AG251" s="179"/>
      <c r="AH251" s="179"/>
      <c r="AI251" s="177"/>
      <c r="AJ251" s="179"/>
      <c r="AK251" s="183"/>
      <c r="AL251" s="177"/>
      <c r="AM251" s="177"/>
      <c r="AN251" s="263"/>
      <c r="AO251" s="175"/>
      <c r="AP251" s="175"/>
      <c r="AQ251" s="307"/>
      <c r="AR251" s="175"/>
      <c r="AS251" s="253"/>
      <c r="AT251" s="253"/>
      <c r="AU251" s="214"/>
      <c r="AV251" s="268"/>
      <c r="AW251" s="175"/>
      <c r="AX251" s="210"/>
      <c r="AY251" s="173"/>
      <c r="AZ251" s="179"/>
      <c r="BA251" s="179"/>
      <c r="BB251" s="175"/>
      <c r="BC251" s="49" t="e">
        <v>#REF!</v>
      </c>
      <c r="BD251" s="175"/>
    </row>
    <row r="252" spans="1:56" s="176" customFormat="1" x14ac:dyDescent="0.45">
      <c r="A252" s="13"/>
      <c r="B252" s="262"/>
      <c r="C252" s="262"/>
      <c r="D252" s="262"/>
      <c r="E252" s="262"/>
      <c r="F252" s="262"/>
      <c r="G252" s="262"/>
      <c r="H252" s="262"/>
      <c r="I252" s="262"/>
      <c r="J252" s="262"/>
      <c r="K252" s="262"/>
      <c r="L252" s="147"/>
      <c r="M252" s="262"/>
      <c r="N252" s="262"/>
      <c r="O252" s="262"/>
      <c r="P252" s="262"/>
      <c r="Q252" s="262"/>
      <c r="R252" s="262"/>
      <c r="S252" s="262"/>
      <c r="T252" s="262"/>
      <c r="U252" s="262"/>
      <c r="V252" s="262"/>
      <c r="W252" s="262"/>
      <c r="X252" s="175"/>
      <c r="Y252" s="175"/>
      <c r="Z252" s="175"/>
      <c r="AA252" s="175"/>
      <c r="AB252" s="175"/>
      <c r="AC252" s="175"/>
      <c r="AD252" s="175"/>
      <c r="AE252" s="175"/>
      <c r="AF252" s="175"/>
      <c r="AG252" s="179"/>
      <c r="AH252" s="179"/>
      <c r="AI252" s="177"/>
      <c r="AJ252" s="179"/>
      <c r="AK252" s="183"/>
      <c r="AL252" s="177"/>
      <c r="AM252" s="177"/>
      <c r="AN252" s="263"/>
      <c r="AO252" s="175"/>
      <c r="AP252" s="175"/>
      <c r="AQ252" s="307"/>
      <c r="AR252" s="175"/>
      <c r="AS252" s="253"/>
      <c r="AT252" s="253"/>
      <c r="AU252" s="214"/>
      <c r="AV252" s="268"/>
      <c r="AW252" s="175"/>
      <c r="AX252" s="210"/>
      <c r="AY252" s="173"/>
      <c r="AZ252" s="179"/>
      <c r="BA252" s="179"/>
      <c r="BB252" s="175"/>
      <c r="BC252" s="49" t="e">
        <v>#REF!</v>
      </c>
      <c r="BD252" s="175"/>
    </row>
    <row r="253" spans="1:56" s="176" customFormat="1" x14ac:dyDescent="0.45">
      <c r="A253" s="12"/>
      <c r="B253" s="262"/>
      <c r="C253" s="262"/>
      <c r="D253" s="262"/>
      <c r="E253" s="262"/>
      <c r="F253" s="262"/>
      <c r="G253" s="262"/>
      <c r="H253" s="262"/>
      <c r="I253" s="262"/>
      <c r="J253" s="262"/>
      <c r="K253" s="262"/>
      <c r="L253" s="147"/>
      <c r="M253" s="262"/>
      <c r="N253" s="262"/>
      <c r="O253" s="262"/>
      <c r="P253" s="262"/>
      <c r="Q253" s="262"/>
      <c r="R253" s="262"/>
      <c r="S253" s="262"/>
      <c r="T253" s="262"/>
      <c r="U253" s="262"/>
      <c r="V253" s="262"/>
      <c r="W253" s="262"/>
      <c r="X253" s="175"/>
      <c r="Y253" s="175"/>
      <c r="Z253" s="175"/>
      <c r="AA253" s="175"/>
      <c r="AB253" s="175"/>
      <c r="AC253" s="175"/>
      <c r="AD253" s="175"/>
      <c r="AE253" s="175"/>
      <c r="AF253" s="175"/>
      <c r="AG253" s="179"/>
      <c r="AH253" s="179"/>
      <c r="AI253" s="177"/>
      <c r="AJ253" s="179"/>
      <c r="AK253" s="183"/>
      <c r="AL253" s="177"/>
      <c r="AM253" s="177"/>
      <c r="AN253" s="263"/>
      <c r="AO253" s="175"/>
      <c r="AP253" s="175"/>
      <c r="AQ253" s="307"/>
      <c r="AR253" s="175"/>
      <c r="AS253" s="253"/>
      <c r="AT253" s="253"/>
      <c r="AU253" s="214"/>
      <c r="AV253" s="268"/>
      <c r="AW253" s="175"/>
      <c r="AX253" s="210"/>
      <c r="AY253" s="173"/>
      <c r="AZ253" s="179"/>
      <c r="BA253" s="179"/>
      <c r="BB253" s="175"/>
      <c r="BC253" s="49" t="e">
        <v>#REF!</v>
      </c>
      <c r="BD253" s="175"/>
    </row>
    <row r="254" spans="1:56" s="176" customFormat="1" x14ac:dyDescent="0.45">
      <c r="A254" s="13"/>
      <c r="B254" s="262"/>
      <c r="C254" s="262"/>
      <c r="D254" s="262"/>
      <c r="E254" s="262"/>
      <c r="F254" s="262"/>
      <c r="G254" s="262"/>
      <c r="H254" s="262"/>
      <c r="I254" s="262"/>
      <c r="J254" s="262"/>
      <c r="K254" s="262"/>
      <c r="L254" s="147"/>
      <c r="M254" s="262"/>
      <c r="N254" s="262"/>
      <c r="O254" s="262"/>
      <c r="P254" s="262"/>
      <c r="Q254" s="262"/>
      <c r="R254" s="262"/>
      <c r="S254" s="262"/>
      <c r="T254" s="262"/>
      <c r="U254" s="262"/>
      <c r="V254" s="262"/>
      <c r="W254" s="262"/>
      <c r="X254" s="175"/>
      <c r="Y254" s="175"/>
      <c r="Z254" s="175"/>
      <c r="AA254" s="175"/>
      <c r="AB254" s="175"/>
      <c r="AC254" s="175"/>
      <c r="AD254" s="175"/>
      <c r="AE254" s="175"/>
      <c r="AF254" s="175"/>
      <c r="AG254" s="179"/>
      <c r="AH254" s="179"/>
      <c r="AI254" s="177"/>
      <c r="AJ254" s="179"/>
      <c r="AK254" s="183"/>
      <c r="AL254" s="177"/>
      <c r="AM254" s="177"/>
      <c r="AN254" s="263"/>
      <c r="AO254" s="175"/>
      <c r="AP254" s="175"/>
      <c r="AQ254" s="307"/>
      <c r="AR254" s="175"/>
      <c r="AS254" s="253"/>
      <c r="AT254" s="253"/>
      <c r="AU254" s="214"/>
      <c r="AV254" s="268"/>
      <c r="AW254" s="175"/>
      <c r="AX254" s="210"/>
      <c r="AY254" s="173"/>
      <c r="AZ254" s="179"/>
      <c r="BA254" s="179"/>
      <c r="BB254" s="175"/>
      <c r="BC254" s="49" t="e">
        <v>#REF!</v>
      </c>
      <c r="BD254" s="175"/>
    </row>
    <row r="255" spans="1:56" s="176" customFormat="1" x14ac:dyDescent="0.45">
      <c r="A255" s="13"/>
      <c r="B255" s="262"/>
      <c r="C255" s="262"/>
      <c r="D255" s="262"/>
      <c r="E255" s="262"/>
      <c r="F255" s="262"/>
      <c r="G255" s="262"/>
      <c r="H255" s="262"/>
      <c r="I255" s="262"/>
      <c r="J255" s="262"/>
      <c r="K255" s="262"/>
      <c r="L255" s="147"/>
      <c r="M255" s="262"/>
      <c r="N255" s="262"/>
      <c r="O255" s="262"/>
      <c r="P255" s="262"/>
      <c r="Q255" s="262"/>
      <c r="R255" s="262"/>
      <c r="S255" s="262"/>
      <c r="T255" s="262"/>
      <c r="U255" s="262"/>
      <c r="V255" s="262"/>
      <c r="W255" s="262"/>
      <c r="X255" s="175"/>
      <c r="Y255" s="175"/>
      <c r="Z255" s="175"/>
      <c r="AA255" s="175"/>
      <c r="AB255" s="175"/>
      <c r="AC255" s="175"/>
      <c r="AD255" s="175"/>
      <c r="AE255" s="175"/>
      <c r="AF255" s="175"/>
      <c r="AG255" s="179"/>
      <c r="AH255" s="179"/>
      <c r="AI255" s="177"/>
      <c r="AJ255" s="179"/>
      <c r="AK255" s="183"/>
      <c r="AL255" s="177"/>
      <c r="AM255" s="177"/>
      <c r="AN255" s="263"/>
      <c r="AO255" s="175"/>
      <c r="AP255" s="175"/>
      <c r="AQ255" s="307"/>
      <c r="AR255" s="175"/>
      <c r="AS255" s="253"/>
      <c r="AT255" s="253"/>
      <c r="AU255" s="214"/>
      <c r="AV255" s="268"/>
      <c r="AW255" s="175"/>
      <c r="AX255" s="210"/>
      <c r="AY255" s="173"/>
      <c r="AZ255" s="179"/>
      <c r="BA255" s="179"/>
      <c r="BB255" s="175"/>
      <c r="BC255" s="49" t="e">
        <v>#REF!</v>
      </c>
      <c r="BD255" s="175"/>
    </row>
    <row r="256" spans="1:56" s="176" customFormat="1" x14ac:dyDescent="0.45">
      <c r="A256" s="12"/>
      <c r="B256" s="262"/>
      <c r="C256" s="262"/>
      <c r="D256" s="262"/>
      <c r="E256" s="262"/>
      <c r="F256" s="262"/>
      <c r="G256" s="262"/>
      <c r="H256" s="262"/>
      <c r="I256" s="262"/>
      <c r="J256" s="262"/>
      <c r="K256" s="262"/>
      <c r="L256" s="147"/>
      <c r="M256" s="262"/>
      <c r="N256" s="262"/>
      <c r="O256" s="262"/>
      <c r="P256" s="262"/>
      <c r="Q256" s="262"/>
      <c r="R256" s="262"/>
      <c r="S256" s="262"/>
      <c r="T256" s="262"/>
      <c r="U256" s="262"/>
      <c r="V256" s="262"/>
      <c r="W256" s="262"/>
      <c r="X256" s="175"/>
      <c r="Y256" s="175"/>
      <c r="Z256" s="175"/>
      <c r="AA256" s="175"/>
      <c r="AB256" s="175"/>
      <c r="AC256" s="175"/>
      <c r="AD256" s="175"/>
      <c r="AE256" s="175"/>
      <c r="AF256" s="175"/>
      <c r="AG256" s="179"/>
      <c r="AH256" s="179"/>
      <c r="AI256" s="177"/>
      <c r="AJ256" s="179"/>
      <c r="AK256" s="183"/>
      <c r="AL256" s="177"/>
      <c r="AM256" s="177"/>
      <c r="AN256" s="263"/>
      <c r="AO256" s="175"/>
      <c r="AP256" s="175"/>
      <c r="AQ256" s="307"/>
      <c r="AR256" s="175"/>
      <c r="AS256" s="253"/>
      <c r="AT256" s="253"/>
      <c r="AU256" s="214"/>
      <c r="AV256" s="268"/>
      <c r="AW256" s="175"/>
      <c r="AX256" s="210"/>
      <c r="AY256" s="173"/>
      <c r="AZ256" s="179"/>
      <c r="BA256" s="179"/>
      <c r="BB256" s="175"/>
      <c r="BC256" s="49" t="e">
        <v>#REF!</v>
      </c>
      <c r="BD256" s="175"/>
    </row>
    <row r="257" spans="1:56" s="176" customFormat="1" x14ac:dyDescent="0.45">
      <c r="A257" s="13"/>
      <c r="B257" s="262"/>
      <c r="C257" s="262"/>
      <c r="D257" s="262"/>
      <c r="E257" s="262"/>
      <c r="F257" s="262"/>
      <c r="G257" s="262"/>
      <c r="H257" s="262"/>
      <c r="I257" s="262"/>
      <c r="J257" s="262"/>
      <c r="K257" s="262"/>
      <c r="L257" s="147"/>
      <c r="M257" s="262"/>
      <c r="N257" s="262"/>
      <c r="O257" s="262"/>
      <c r="P257" s="262"/>
      <c r="Q257" s="262"/>
      <c r="R257" s="262"/>
      <c r="S257" s="262"/>
      <c r="T257" s="262"/>
      <c r="U257" s="262"/>
      <c r="V257" s="262"/>
      <c r="W257" s="262"/>
      <c r="X257" s="175"/>
      <c r="Y257" s="175"/>
      <c r="Z257" s="175"/>
      <c r="AA257" s="175"/>
      <c r="AB257" s="175"/>
      <c r="AC257" s="175"/>
      <c r="AD257" s="175"/>
      <c r="AE257" s="175"/>
      <c r="AF257" s="175"/>
      <c r="AG257" s="179"/>
      <c r="AH257" s="179"/>
      <c r="AI257" s="177"/>
      <c r="AJ257" s="179"/>
      <c r="AK257" s="183"/>
      <c r="AL257" s="177"/>
      <c r="AM257" s="177"/>
      <c r="AN257" s="263"/>
      <c r="AO257" s="175"/>
      <c r="AP257" s="175"/>
      <c r="AQ257" s="307"/>
      <c r="AR257" s="175"/>
      <c r="AS257" s="253"/>
      <c r="AT257" s="253"/>
      <c r="AU257" s="214"/>
      <c r="AV257" s="268"/>
      <c r="AW257" s="175"/>
      <c r="AX257" s="210"/>
      <c r="AY257" s="173"/>
      <c r="AZ257" s="179"/>
      <c r="BA257" s="179"/>
      <c r="BB257" s="175"/>
      <c r="BC257" s="49" t="e">
        <v>#REF!</v>
      </c>
      <c r="BD257" s="175"/>
    </row>
    <row r="258" spans="1:56" s="176" customFormat="1" x14ac:dyDescent="0.45">
      <c r="A258" s="13"/>
      <c r="B258" s="262"/>
      <c r="C258" s="262"/>
      <c r="D258" s="262"/>
      <c r="E258" s="262"/>
      <c r="F258" s="262"/>
      <c r="G258" s="262"/>
      <c r="H258" s="262"/>
      <c r="I258" s="262"/>
      <c r="J258" s="262"/>
      <c r="K258" s="262"/>
      <c r="L258" s="147"/>
      <c r="M258" s="262"/>
      <c r="N258" s="262"/>
      <c r="O258" s="262"/>
      <c r="P258" s="262"/>
      <c r="Q258" s="262"/>
      <c r="R258" s="262"/>
      <c r="S258" s="262"/>
      <c r="T258" s="262"/>
      <c r="U258" s="262"/>
      <c r="V258" s="262"/>
      <c r="W258" s="262"/>
      <c r="X258" s="175"/>
      <c r="Y258" s="175"/>
      <c r="Z258" s="175"/>
      <c r="AA258" s="175"/>
      <c r="AB258" s="175"/>
      <c r="AC258" s="175"/>
      <c r="AD258" s="175"/>
      <c r="AE258" s="175"/>
      <c r="AF258" s="175"/>
      <c r="AG258" s="179"/>
      <c r="AH258" s="179"/>
      <c r="AI258" s="177"/>
      <c r="AJ258" s="179"/>
      <c r="AK258" s="183"/>
      <c r="AL258" s="177"/>
      <c r="AM258" s="177"/>
      <c r="AN258" s="263"/>
      <c r="AO258" s="175"/>
      <c r="AP258" s="175"/>
      <c r="AQ258" s="307"/>
      <c r="AR258" s="175"/>
      <c r="AS258" s="253"/>
      <c r="AT258" s="253"/>
      <c r="AU258" s="214"/>
      <c r="AV258" s="268"/>
      <c r="AW258" s="175"/>
      <c r="AX258" s="210"/>
      <c r="AY258" s="173"/>
      <c r="AZ258" s="179"/>
      <c r="BA258" s="179"/>
      <c r="BB258" s="175"/>
      <c r="BC258" s="49" t="e">
        <v>#REF!</v>
      </c>
      <c r="BD258" s="175"/>
    </row>
    <row r="259" spans="1:56" s="176" customFormat="1" ht="14.65" thickBot="1" x14ac:dyDescent="0.5">
      <c r="A259" s="12"/>
      <c r="B259" s="262"/>
      <c r="C259" s="262"/>
      <c r="D259" s="262"/>
      <c r="E259" s="262"/>
      <c r="F259" s="262"/>
      <c r="G259" s="262"/>
      <c r="H259" s="262"/>
      <c r="I259" s="262"/>
      <c r="J259" s="262"/>
      <c r="K259" s="262"/>
      <c r="L259" s="147"/>
      <c r="M259" s="262"/>
      <c r="N259" s="262"/>
      <c r="O259" s="262"/>
      <c r="P259" s="262"/>
      <c r="Q259" s="262"/>
      <c r="R259" s="262"/>
      <c r="S259" s="262"/>
      <c r="T259" s="262"/>
      <c r="U259" s="262"/>
      <c r="V259" s="262"/>
      <c r="W259" s="262"/>
      <c r="X259" s="175"/>
      <c r="Y259" s="175"/>
      <c r="Z259" s="175"/>
      <c r="AA259" s="175"/>
      <c r="AB259" s="175"/>
      <c r="AC259" s="175"/>
      <c r="AD259" s="175"/>
      <c r="AE259" s="175"/>
      <c r="AF259" s="175"/>
      <c r="AG259" s="179"/>
      <c r="AH259" s="179"/>
      <c r="AI259" s="177"/>
      <c r="AJ259" s="179"/>
      <c r="AK259" s="183"/>
      <c r="AL259" s="177"/>
      <c r="AM259" s="177"/>
      <c r="AN259" s="263"/>
      <c r="AO259" s="175"/>
      <c r="AP259" s="175"/>
      <c r="AQ259" s="307"/>
      <c r="AR259" s="175"/>
      <c r="AS259" s="253"/>
      <c r="AT259" s="253"/>
      <c r="AU259" s="214"/>
      <c r="AV259" s="268"/>
      <c r="AW259" s="175"/>
      <c r="AX259" s="210"/>
      <c r="AY259" s="173"/>
      <c r="AZ259" s="179"/>
      <c r="BA259" s="179"/>
      <c r="BB259" s="175"/>
      <c r="BC259" s="49" t="e">
        <v>#REF!</v>
      </c>
      <c r="BD259" s="175"/>
    </row>
    <row r="260" spans="1:56" s="176" customFormat="1" ht="14.65" thickBot="1" x14ac:dyDescent="0.5">
      <c r="A260" s="13"/>
      <c r="B260" s="262"/>
      <c r="C260" s="262"/>
      <c r="D260" s="262"/>
      <c r="E260" s="262"/>
      <c r="F260" s="262"/>
      <c r="G260" s="262"/>
      <c r="H260" s="262"/>
      <c r="I260" s="262"/>
      <c r="J260" s="262"/>
      <c r="K260" s="262"/>
      <c r="L260" s="147"/>
      <c r="M260" s="262"/>
      <c r="N260" s="262"/>
      <c r="O260" s="262"/>
      <c r="P260" s="262"/>
      <c r="Q260" s="262"/>
      <c r="R260" s="262"/>
      <c r="S260" s="262"/>
      <c r="T260" s="262"/>
      <c r="U260" s="262"/>
      <c r="V260" s="262"/>
      <c r="W260" s="262"/>
      <c r="X260" s="92"/>
      <c r="Y260" s="93"/>
      <c r="Z260" s="93"/>
      <c r="AA260" s="92"/>
      <c r="AB260" s="93"/>
      <c r="AC260" s="93"/>
      <c r="AD260" s="161"/>
      <c r="AE260" s="162"/>
      <c r="AF260" s="93"/>
      <c r="AG260" s="88"/>
      <c r="AH260" s="88"/>
      <c r="AI260" s="92"/>
      <c r="AJ260" s="88"/>
      <c r="AK260" s="166"/>
      <c r="AL260" s="92"/>
      <c r="AM260" s="92"/>
      <c r="AN260" s="144"/>
      <c r="AO260" s="87"/>
      <c r="AP260" s="87"/>
      <c r="AQ260" s="218"/>
      <c r="AR260" s="87"/>
      <c r="AS260" s="92"/>
      <c r="AT260" s="87"/>
      <c r="AU260" s="211"/>
      <c r="AV260" s="278"/>
      <c r="AW260" s="160"/>
      <c r="AX260" s="211"/>
      <c r="AY260" s="168"/>
      <c r="AZ260" s="90"/>
      <c r="BA260" s="90"/>
      <c r="BB260" s="160"/>
      <c r="BC260" s="163" t="e">
        <f>IF(OR(#REF!="",#REF!="")=TRUE,"",NETWORKDAYS.INTL(#REF!,#REF!))</f>
        <v>#REF!</v>
      </c>
      <c r="BD260" s="175"/>
    </row>
    <row r="261" spans="1:56" s="176" customFormat="1" ht="14.65" thickBot="1" x14ac:dyDescent="0.5">
      <c r="A261" s="13"/>
      <c r="B261" s="262"/>
      <c r="C261" s="262"/>
      <c r="D261" s="262"/>
      <c r="E261" s="262"/>
      <c r="F261" s="262"/>
      <c r="G261" s="262"/>
      <c r="H261" s="262"/>
      <c r="I261" s="262"/>
      <c r="J261" s="262"/>
      <c r="K261" s="262"/>
      <c r="L261" s="147"/>
      <c r="M261" s="262"/>
      <c r="N261" s="262"/>
      <c r="O261" s="262"/>
      <c r="P261" s="262"/>
      <c r="Q261" s="262"/>
      <c r="R261" s="262"/>
      <c r="S261" s="262"/>
      <c r="T261" s="262"/>
      <c r="U261" s="262"/>
      <c r="V261" s="262"/>
      <c r="W261" s="262"/>
      <c r="X261" s="197"/>
      <c r="Y261" s="197"/>
      <c r="Z261" s="197"/>
      <c r="AA261" s="197"/>
      <c r="AB261" s="197"/>
      <c r="AC261" s="197"/>
      <c r="AD261" s="197"/>
      <c r="AE261" s="197"/>
      <c r="AF261" s="197"/>
      <c r="AG261" s="198"/>
      <c r="AH261" s="198"/>
      <c r="AI261" s="200"/>
      <c r="AJ261" s="198"/>
      <c r="AK261" s="199"/>
      <c r="AL261" s="201"/>
      <c r="AM261" s="200"/>
      <c r="AN261" s="144"/>
      <c r="AO261" s="197"/>
      <c r="AP261" s="197"/>
      <c r="AQ261" s="232"/>
      <c r="AR261" s="87"/>
      <c r="AS261" s="202"/>
      <c r="AT261" s="203"/>
      <c r="AU261" s="211"/>
      <c r="AV261" s="278"/>
      <c r="AW261" s="160"/>
      <c r="AX261" s="211"/>
      <c r="AY261" s="168"/>
      <c r="AZ261" s="90"/>
      <c r="BA261" s="90"/>
      <c r="BB261" s="160"/>
      <c r="BC261" s="163" t="e">
        <f>IF(OR(#REF!="",#REF!="")=TRUE,"",NETWORKDAYS.INTL(#REF!,#REF!))</f>
        <v>#REF!</v>
      </c>
      <c r="BD261" s="175"/>
    </row>
    <row r="262" spans="1:56" s="176" customFormat="1" ht="14.65" thickBot="1" x14ac:dyDescent="0.5">
      <c r="A262" s="12"/>
      <c r="B262" s="262"/>
      <c r="C262" s="262"/>
      <c r="D262" s="262"/>
      <c r="E262" s="262"/>
      <c r="F262" s="262"/>
      <c r="G262" s="262"/>
      <c r="H262" s="262"/>
      <c r="I262" s="262"/>
      <c r="J262" s="262"/>
      <c r="K262" s="262"/>
      <c r="L262" s="147"/>
      <c r="M262" s="262"/>
      <c r="N262" s="262"/>
      <c r="O262" s="262"/>
      <c r="P262" s="262"/>
      <c r="Q262" s="262"/>
      <c r="R262" s="262"/>
      <c r="S262" s="262"/>
      <c r="T262" s="262"/>
      <c r="U262" s="262"/>
      <c r="V262" s="262"/>
      <c r="W262" s="262"/>
      <c r="X262" s="197"/>
      <c r="Y262" s="197"/>
      <c r="Z262" s="197"/>
      <c r="AA262" s="197"/>
      <c r="AB262" s="197"/>
      <c r="AC262" s="197"/>
      <c r="AD262" s="197"/>
      <c r="AE262" s="197"/>
      <c r="AF262" s="197"/>
      <c r="AG262" s="198"/>
      <c r="AH262" s="198"/>
      <c r="AI262" s="200"/>
      <c r="AJ262" s="198"/>
      <c r="AK262" s="199"/>
      <c r="AL262" s="201"/>
      <c r="AM262" s="200"/>
      <c r="AN262" s="144"/>
      <c r="AO262" s="197"/>
      <c r="AP262" s="197"/>
      <c r="AQ262" s="232"/>
      <c r="AR262" s="87"/>
      <c r="AS262" s="202"/>
      <c r="AT262" s="203"/>
      <c r="AU262" s="211"/>
      <c r="AV262" s="278"/>
      <c r="AW262" s="160"/>
      <c r="AX262" s="211"/>
      <c r="AY262" s="168"/>
      <c r="AZ262" s="90"/>
      <c r="BA262" s="90"/>
      <c r="BB262" s="160"/>
      <c r="BC262" s="163" t="e">
        <f>IF(OR(#REF!="",#REF!="")=TRUE,"",NETWORKDAYS.INTL(#REF!,#REF!))</f>
        <v>#REF!</v>
      </c>
      <c r="BD262" s="175"/>
    </row>
    <row r="263" spans="1:56" s="176" customFormat="1" ht="14.65" thickBot="1" x14ac:dyDescent="0.5">
      <c r="A263" s="13"/>
      <c r="B263" s="262"/>
      <c r="C263" s="262"/>
      <c r="D263" s="262"/>
      <c r="E263" s="262"/>
      <c r="F263" s="262"/>
      <c r="G263" s="262"/>
      <c r="H263" s="262"/>
      <c r="I263" s="262"/>
      <c r="J263" s="262"/>
      <c r="K263" s="262"/>
      <c r="L263" s="147"/>
      <c r="M263" s="262"/>
      <c r="N263" s="262"/>
      <c r="O263" s="262"/>
      <c r="P263" s="262"/>
      <c r="Q263" s="262"/>
      <c r="R263" s="262"/>
      <c r="S263" s="262"/>
      <c r="T263" s="262"/>
      <c r="U263" s="262"/>
      <c r="V263" s="262"/>
      <c r="W263" s="262"/>
      <c r="X263" s="197"/>
      <c r="Y263" s="197"/>
      <c r="Z263" s="197"/>
      <c r="AA263" s="197"/>
      <c r="AB263" s="197"/>
      <c r="AC263" s="197"/>
      <c r="AD263" s="197"/>
      <c r="AE263" s="197"/>
      <c r="AF263" s="197"/>
      <c r="AG263" s="198"/>
      <c r="AH263" s="198"/>
      <c r="AI263" s="200"/>
      <c r="AJ263" s="198"/>
      <c r="AK263" s="199"/>
      <c r="AL263" s="201"/>
      <c r="AM263" s="200"/>
      <c r="AN263" s="144"/>
      <c r="AO263" s="197"/>
      <c r="AP263" s="197"/>
      <c r="AQ263" s="232"/>
      <c r="AR263" s="87"/>
      <c r="AS263" s="202"/>
      <c r="AT263" s="203"/>
      <c r="AU263" s="211"/>
      <c r="AV263" s="278"/>
      <c r="AW263" s="160"/>
      <c r="AX263" s="211"/>
      <c r="AY263" s="168"/>
      <c r="AZ263" s="90"/>
      <c r="BA263" s="90"/>
      <c r="BB263" s="160"/>
      <c r="BC263" s="163" t="e">
        <f>IF(OR(#REF!="",#REF!="")=TRUE,"",NETWORKDAYS.INTL(#REF!,#REF!))</f>
        <v>#REF!</v>
      </c>
      <c r="BD263" s="175"/>
    </row>
    <row r="264" spans="1:56" s="176" customFormat="1" ht="14.65" thickBot="1" x14ac:dyDescent="0.5">
      <c r="A264" s="13"/>
      <c r="B264" s="262"/>
      <c r="C264" s="262"/>
      <c r="D264" s="262"/>
      <c r="E264" s="262"/>
      <c r="F264" s="262"/>
      <c r="G264" s="262"/>
      <c r="H264" s="262"/>
      <c r="I264" s="262"/>
      <c r="J264" s="262"/>
      <c r="K264" s="262"/>
      <c r="L264" s="147"/>
      <c r="M264" s="262"/>
      <c r="N264" s="262"/>
      <c r="O264" s="262"/>
      <c r="P264" s="262"/>
      <c r="Q264" s="262"/>
      <c r="R264" s="262"/>
      <c r="S264" s="262"/>
      <c r="T264" s="262"/>
      <c r="U264" s="262"/>
      <c r="V264" s="262"/>
      <c r="W264" s="262"/>
      <c r="X264" s="197"/>
      <c r="Y264" s="197"/>
      <c r="Z264" s="197"/>
      <c r="AA264" s="197"/>
      <c r="AB264" s="197"/>
      <c r="AC264" s="197"/>
      <c r="AD264" s="197"/>
      <c r="AE264" s="197"/>
      <c r="AF264" s="197"/>
      <c r="AG264" s="198"/>
      <c r="AH264" s="198"/>
      <c r="AI264" s="200"/>
      <c r="AJ264" s="198"/>
      <c r="AK264" s="199"/>
      <c r="AL264" s="201"/>
      <c r="AM264" s="200"/>
      <c r="AN264" s="144"/>
      <c r="AO264" s="197"/>
      <c r="AP264" s="197"/>
      <c r="AQ264" s="232"/>
      <c r="AR264" s="87"/>
      <c r="AS264" s="202"/>
      <c r="AT264" s="203"/>
      <c r="AU264" s="211"/>
      <c r="AV264" s="278"/>
      <c r="AW264" s="160"/>
      <c r="AX264" s="211"/>
      <c r="AY264" s="168"/>
      <c r="AZ264" s="90"/>
      <c r="BA264" s="90"/>
      <c r="BB264" s="160"/>
      <c r="BC264" s="163" t="e">
        <f>IF(OR(#REF!="",#REF!="")=TRUE,"",NETWORKDAYS.INTL(#REF!,#REF!))</f>
        <v>#REF!</v>
      </c>
      <c r="BD264" s="175"/>
    </row>
    <row r="265" spans="1:56" s="176" customFormat="1" ht="14.65" thickBot="1" x14ac:dyDescent="0.5">
      <c r="A265" s="12"/>
      <c r="B265" s="262"/>
      <c r="C265" s="262"/>
      <c r="D265" s="262"/>
      <c r="E265" s="262"/>
      <c r="F265" s="262"/>
      <c r="G265" s="262"/>
      <c r="H265" s="262"/>
      <c r="I265" s="262"/>
      <c r="J265" s="262"/>
      <c r="K265" s="262"/>
      <c r="L265" s="147"/>
      <c r="M265" s="262"/>
      <c r="N265" s="262"/>
      <c r="O265" s="262"/>
      <c r="P265" s="262"/>
      <c r="Q265" s="262"/>
      <c r="R265" s="262"/>
      <c r="S265" s="262"/>
      <c r="T265" s="262"/>
      <c r="U265" s="262"/>
      <c r="V265" s="262"/>
      <c r="W265" s="262"/>
      <c r="X265" s="197"/>
      <c r="Y265" s="197"/>
      <c r="Z265" s="197"/>
      <c r="AA265" s="197"/>
      <c r="AB265" s="197"/>
      <c r="AC265" s="197"/>
      <c r="AD265" s="197"/>
      <c r="AE265" s="197"/>
      <c r="AF265" s="197"/>
      <c r="AG265" s="198"/>
      <c r="AH265" s="198"/>
      <c r="AI265" s="200"/>
      <c r="AJ265" s="198"/>
      <c r="AK265" s="199"/>
      <c r="AL265" s="201"/>
      <c r="AM265" s="200"/>
      <c r="AN265" s="144"/>
      <c r="AO265" s="197"/>
      <c r="AP265" s="197"/>
      <c r="AQ265" s="232"/>
      <c r="AR265" s="87"/>
      <c r="AS265" s="202"/>
      <c r="AT265" s="203"/>
      <c r="AU265" s="211"/>
      <c r="AV265" s="278"/>
      <c r="AW265" s="160"/>
      <c r="AX265" s="211"/>
      <c r="AY265" s="168"/>
      <c r="AZ265" s="90"/>
      <c r="BA265" s="90"/>
      <c r="BB265" s="160"/>
      <c r="BC265" s="163" t="e">
        <f>IF(OR(#REF!="",#REF!="")=TRUE,"",NETWORKDAYS.INTL(#REF!,#REF!))</f>
        <v>#REF!</v>
      </c>
      <c r="BD265" s="175"/>
    </row>
    <row r="266" spans="1:56" s="176" customFormat="1" ht="14.65" thickBot="1" x14ac:dyDescent="0.5">
      <c r="A266" s="13"/>
      <c r="B266" s="262"/>
      <c r="C266" s="262"/>
      <c r="D266" s="262"/>
      <c r="E266" s="262"/>
      <c r="F266" s="262"/>
      <c r="G266" s="262"/>
      <c r="H266" s="262"/>
      <c r="I266" s="262"/>
      <c r="J266" s="262"/>
      <c r="K266" s="262"/>
      <c r="L266" s="147"/>
      <c r="M266" s="262"/>
      <c r="N266" s="262"/>
      <c r="O266" s="262"/>
      <c r="P266" s="262"/>
      <c r="Q266" s="262"/>
      <c r="R266" s="262"/>
      <c r="S266" s="262"/>
      <c r="T266" s="262"/>
      <c r="U266" s="262"/>
      <c r="V266" s="262"/>
      <c r="W266" s="262"/>
      <c r="X266" s="197"/>
      <c r="Y266" s="197"/>
      <c r="Z266" s="197"/>
      <c r="AA266" s="197"/>
      <c r="AB266" s="197"/>
      <c r="AC266" s="197"/>
      <c r="AD266" s="197"/>
      <c r="AE266" s="197"/>
      <c r="AF266" s="197"/>
      <c r="AG266" s="198"/>
      <c r="AH266" s="198"/>
      <c r="AI266" s="200"/>
      <c r="AJ266" s="198"/>
      <c r="AK266" s="199"/>
      <c r="AL266" s="201"/>
      <c r="AM266" s="200"/>
      <c r="AN266" s="144"/>
      <c r="AO266" s="197"/>
      <c r="AP266" s="197"/>
      <c r="AQ266" s="232"/>
      <c r="AR266" s="87"/>
      <c r="AS266" s="202"/>
      <c r="AT266" s="203"/>
      <c r="AU266" s="211"/>
      <c r="AV266" s="278"/>
      <c r="AW266" s="160"/>
      <c r="AX266" s="211"/>
      <c r="AY266" s="168"/>
      <c r="AZ266" s="90"/>
      <c r="BA266" s="90"/>
      <c r="BB266" s="160"/>
      <c r="BC266" s="163" t="e">
        <f>IF(OR(#REF!="",#REF!="")=TRUE,"",NETWORKDAYS.INTL(#REF!,#REF!))</f>
        <v>#REF!</v>
      </c>
      <c r="BD266" s="175"/>
    </row>
    <row r="267" spans="1:56" s="176" customFormat="1" ht="14.65" thickBot="1" x14ac:dyDescent="0.5">
      <c r="A267" s="13"/>
      <c r="B267" s="262"/>
      <c r="C267" s="262"/>
      <c r="D267" s="262"/>
      <c r="E267" s="262"/>
      <c r="F267" s="262"/>
      <c r="G267" s="262"/>
      <c r="H267" s="262"/>
      <c r="I267" s="262"/>
      <c r="J267" s="262"/>
      <c r="K267" s="262"/>
      <c r="L267" s="147"/>
      <c r="M267" s="262"/>
      <c r="N267" s="262"/>
      <c r="O267" s="262"/>
      <c r="P267" s="262"/>
      <c r="Q267" s="262"/>
      <c r="R267" s="262"/>
      <c r="S267" s="262"/>
      <c r="T267" s="262"/>
      <c r="U267" s="262"/>
      <c r="V267" s="262"/>
      <c r="W267" s="262"/>
      <c r="X267" s="197"/>
      <c r="Y267" s="197"/>
      <c r="Z267" s="197"/>
      <c r="AA267" s="197"/>
      <c r="AB267" s="197"/>
      <c r="AC267" s="197"/>
      <c r="AD267" s="197"/>
      <c r="AE267" s="197"/>
      <c r="AF267" s="197"/>
      <c r="AG267" s="198"/>
      <c r="AH267" s="198"/>
      <c r="AI267" s="200"/>
      <c r="AJ267" s="198"/>
      <c r="AK267" s="199"/>
      <c r="AL267" s="201"/>
      <c r="AM267" s="200"/>
      <c r="AN267" s="144"/>
      <c r="AO267" s="197"/>
      <c r="AP267" s="197"/>
      <c r="AQ267" s="232"/>
      <c r="AR267" s="87"/>
      <c r="AS267" s="202"/>
      <c r="AT267" s="203"/>
      <c r="AU267" s="294"/>
      <c r="AV267" s="279"/>
      <c r="AW267" s="160"/>
      <c r="AX267" s="292"/>
      <c r="AY267" s="204"/>
      <c r="AZ267" s="205"/>
      <c r="BA267" s="205"/>
      <c r="BB267" s="206"/>
      <c r="BC267" s="163" t="e">
        <f>IF(OR(#REF!="",#REF!="")=TRUE,"",NETWORKDAYS.INTL(#REF!,#REF!))</f>
        <v>#REF!</v>
      </c>
      <c r="BD267" s="175"/>
    </row>
    <row r="268" spans="1:56" s="176" customFormat="1" ht="14.65" thickBot="1" x14ac:dyDescent="0.5">
      <c r="A268" s="12"/>
      <c r="B268" s="262"/>
      <c r="C268" s="262"/>
      <c r="D268" s="262"/>
      <c r="E268" s="262"/>
      <c r="F268" s="262"/>
      <c r="G268" s="262"/>
      <c r="H268" s="262"/>
      <c r="I268" s="262"/>
      <c r="J268" s="262"/>
      <c r="K268" s="262"/>
      <c r="L268" s="147"/>
      <c r="M268" s="262"/>
      <c r="N268" s="262"/>
      <c r="O268" s="262"/>
      <c r="P268" s="262"/>
      <c r="Q268" s="262"/>
      <c r="R268" s="262"/>
      <c r="S268" s="262"/>
      <c r="T268" s="262"/>
      <c r="U268" s="262"/>
      <c r="V268" s="262"/>
      <c r="W268" s="262"/>
      <c r="X268" s="197"/>
      <c r="Y268" s="197"/>
      <c r="Z268" s="197"/>
      <c r="AA268" s="197"/>
      <c r="AB268" s="197"/>
      <c r="AC268" s="197"/>
      <c r="AD268" s="197"/>
      <c r="AE268" s="197"/>
      <c r="AF268" s="197"/>
      <c r="AG268" s="198"/>
      <c r="AH268" s="198"/>
      <c r="AI268" s="200"/>
      <c r="AJ268" s="198"/>
      <c r="AK268" s="199"/>
      <c r="AL268" s="201"/>
      <c r="AM268" s="200"/>
      <c r="AN268" s="144"/>
      <c r="AO268" s="197"/>
      <c r="AP268" s="197"/>
      <c r="AQ268" s="232"/>
      <c r="AR268" s="87"/>
      <c r="AS268" s="202"/>
      <c r="AT268" s="203"/>
      <c r="AU268" s="294"/>
      <c r="AV268" s="279"/>
      <c r="AW268" s="160"/>
      <c r="AX268" s="292"/>
      <c r="AY268" s="204"/>
      <c r="AZ268" s="205"/>
      <c r="BA268" s="205"/>
      <c r="BB268" s="206"/>
      <c r="BC268" s="163" t="e">
        <f>IF(OR(#REF!="",#REF!="")=TRUE,"",NETWORKDAYS.INTL(#REF!,#REF!))</f>
        <v>#REF!</v>
      </c>
      <c r="BD268" s="175"/>
    </row>
    <row r="269" spans="1:56" s="176" customFormat="1" ht="14.65" thickBot="1" x14ac:dyDescent="0.5">
      <c r="A269" s="13"/>
      <c r="B269" s="262"/>
      <c r="C269" s="262"/>
      <c r="D269" s="262"/>
      <c r="E269" s="262"/>
      <c r="F269" s="262"/>
      <c r="G269" s="262"/>
      <c r="H269" s="262"/>
      <c r="I269" s="262"/>
      <c r="J269" s="262"/>
      <c r="K269" s="262"/>
      <c r="L269" s="147"/>
      <c r="M269" s="262"/>
      <c r="N269" s="262"/>
      <c r="O269" s="262"/>
      <c r="P269" s="262"/>
      <c r="Q269" s="262"/>
      <c r="R269" s="262"/>
      <c r="S269" s="262"/>
      <c r="T269" s="262"/>
      <c r="U269" s="262"/>
      <c r="V269" s="262"/>
      <c r="W269" s="262"/>
      <c r="X269" s="197"/>
      <c r="Y269" s="197"/>
      <c r="Z269" s="197"/>
      <c r="AA269" s="197"/>
      <c r="AB269" s="197"/>
      <c r="AC269" s="197"/>
      <c r="AD269" s="197"/>
      <c r="AE269" s="197"/>
      <c r="AF269" s="197"/>
      <c r="AG269" s="198"/>
      <c r="AH269" s="198"/>
      <c r="AI269" s="200"/>
      <c r="AJ269" s="198"/>
      <c r="AK269" s="199"/>
      <c r="AL269" s="201"/>
      <c r="AM269" s="200"/>
      <c r="AN269" s="144"/>
      <c r="AO269" s="197"/>
      <c r="AP269" s="197"/>
      <c r="AQ269" s="232"/>
      <c r="AR269" s="87"/>
      <c r="AS269" s="202"/>
      <c r="AT269" s="203"/>
      <c r="AU269" s="295"/>
      <c r="AV269" s="280"/>
      <c r="AW269" s="160"/>
      <c r="AX269" s="216"/>
      <c r="AY269" s="207"/>
      <c r="AZ269" s="198"/>
      <c r="BA269" s="198"/>
      <c r="BB269" s="197"/>
      <c r="BC269" s="163" t="e">
        <f>IF(OR(#REF!="",#REF!="")=TRUE,"",NETWORKDAYS.INTL(#REF!,#REF!))</f>
        <v>#REF!</v>
      </c>
      <c r="BD269" s="175"/>
    </row>
    <row r="270" spans="1:56" s="176" customFormat="1" ht="14.65" thickBot="1" x14ac:dyDescent="0.5">
      <c r="A270" s="13"/>
      <c r="B270" s="262"/>
      <c r="C270" s="262"/>
      <c r="D270" s="262"/>
      <c r="E270" s="262"/>
      <c r="F270" s="262"/>
      <c r="G270" s="262"/>
      <c r="H270" s="262"/>
      <c r="I270" s="262"/>
      <c r="J270" s="262"/>
      <c r="K270" s="262"/>
      <c r="L270" s="147"/>
      <c r="M270" s="262"/>
      <c r="N270" s="262"/>
      <c r="O270" s="262"/>
      <c r="P270" s="262"/>
      <c r="Q270" s="262"/>
      <c r="R270" s="262"/>
      <c r="S270" s="262"/>
      <c r="T270" s="262"/>
      <c r="U270" s="262"/>
      <c r="V270" s="262"/>
      <c r="W270" s="262"/>
      <c r="X270" s="197"/>
      <c r="Y270" s="197"/>
      <c r="Z270" s="197"/>
      <c r="AA270" s="197"/>
      <c r="AB270" s="197"/>
      <c r="AC270" s="197"/>
      <c r="AD270" s="197"/>
      <c r="AE270" s="197"/>
      <c r="AF270" s="197"/>
      <c r="AG270" s="198"/>
      <c r="AH270" s="198"/>
      <c r="AI270" s="200"/>
      <c r="AJ270" s="198"/>
      <c r="AK270" s="199"/>
      <c r="AL270" s="201"/>
      <c r="AM270" s="200"/>
      <c r="AN270" s="144"/>
      <c r="AO270" s="197"/>
      <c r="AP270" s="197"/>
      <c r="AQ270" s="232"/>
      <c r="AR270" s="87"/>
      <c r="AS270" s="202"/>
      <c r="AT270" s="203"/>
      <c r="AU270" s="295"/>
      <c r="AV270" s="280"/>
      <c r="AW270" s="160"/>
      <c r="AX270" s="216"/>
      <c r="AY270" s="207"/>
      <c r="AZ270" s="198"/>
      <c r="BA270" s="198"/>
      <c r="BB270" s="197"/>
      <c r="BC270" s="163" t="e">
        <f>IF(OR(#REF!="",#REF!="")=TRUE,"",NETWORKDAYS.INTL(#REF!,#REF!))</f>
        <v>#REF!</v>
      </c>
      <c r="BD270" s="175"/>
    </row>
    <row r="271" spans="1:56" s="176" customFormat="1" ht="14.65" thickBot="1" x14ac:dyDescent="0.5">
      <c r="A271" s="12"/>
      <c r="B271" s="262"/>
      <c r="C271" s="262"/>
      <c r="D271" s="262"/>
      <c r="E271" s="262"/>
      <c r="F271" s="262"/>
      <c r="G271" s="262"/>
      <c r="H271" s="262"/>
      <c r="I271" s="262"/>
      <c r="J271" s="262"/>
      <c r="K271" s="262"/>
      <c r="L271" s="147"/>
      <c r="M271" s="262"/>
      <c r="N271" s="262"/>
      <c r="O271" s="262"/>
      <c r="P271" s="262"/>
      <c r="Q271" s="262"/>
      <c r="R271" s="262"/>
      <c r="S271" s="262"/>
      <c r="T271" s="262"/>
      <c r="U271" s="262"/>
      <c r="V271" s="262"/>
      <c r="W271" s="262"/>
      <c r="X271" s="197"/>
      <c r="Y271" s="197"/>
      <c r="Z271" s="197"/>
      <c r="AA271" s="197"/>
      <c r="AB271" s="197"/>
      <c r="AC271" s="197"/>
      <c r="AD271" s="197"/>
      <c r="AE271" s="197"/>
      <c r="AF271" s="197"/>
      <c r="AG271" s="198"/>
      <c r="AH271" s="198"/>
      <c r="AI271" s="200"/>
      <c r="AJ271" s="198"/>
      <c r="AK271" s="199"/>
      <c r="AL271" s="201"/>
      <c r="AM271" s="200"/>
      <c r="AN271" s="144"/>
      <c r="AO271" s="197"/>
      <c r="AP271" s="197"/>
      <c r="AQ271" s="232"/>
      <c r="AR271" s="87"/>
      <c r="AS271" s="202"/>
      <c r="AT271" s="203"/>
      <c r="AU271" s="295"/>
      <c r="AV271" s="280"/>
      <c r="AW271" s="160"/>
      <c r="AX271" s="216"/>
      <c r="AY271" s="207"/>
      <c r="AZ271" s="198"/>
      <c r="BA271" s="198"/>
      <c r="BB271" s="197"/>
      <c r="BC271" s="163" t="e">
        <f>IF(OR(#REF!="",#REF!="")=TRUE,"",NETWORKDAYS.INTL(#REF!,#REF!))</f>
        <v>#REF!</v>
      </c>
      <c r="BD271" s="175"/>
    </row>
    <row r="272" spans="1:56" s="176" customFormat="1" ht="14.65" thickBot="1" x14ac:dyDescent="0.5">
      <c r="A272" s="13"/>
      <c r="B272" s="262"/>
      <c r="C272" s="262"/>
      <c r="D272" s="262"/>
      <c r="E272" s="262"/>
      <c r="F272" s="262"/>
      <c r="G272" s="262"/>
      <c r="H272" s="262"/>
      <c r="I272" s="262"/>
      <c r="J272" s="262"/>
      <c r="K272" s="262"/>
      <c r="L272" s="147"/>
      <c r="M272" s="262"/>
      <c r="N272" s="262"/>
      <c r="O272" s="262"/>
      <c r="P272" s="262"/>
      <c r="Q272" s="262"/>
      <c r="R272" s="262"/>
      <c r="S272" s="262"/>
      <c r="T272" s="262"/>
      <c r="U272" s="262"/>
      <c r="V272" s="262"/>
      <c r="W272" s="262"/>
      <c r="X272" s="197"/>
      <c r="Y272" s="197"/>
      <c r="Z272" s="197"/>
      <c r="AA272" s="197"/>
      <c r="AB272" s="197"/>
      <c r="AC272" s="197"/>
      <c r="AD272" s="197"/>
      <c r="AE272" s="197"/>
      <c r="AF272" s="197"/>
      <c r="AG272" s="198"/>
      <c r="AH272" s="198"/>
      <c r="AI272" s="200"/>
      <c r="AJ272" s="198"/>
      <c r="AK272" s="199"/>
      <c r="AL272" s="201"/>
      <c r="AM272" s="200"/>
      <c r="AN272" s="144"/>
      <c r="AO272" s="197"/>
      <c r="AP272" s="197"/>
      <c r="AQ272" s="232"/>
      <c r="AR272" s="87"/>
      <c r="AS272" s="202"/>
      <c r="AT272" s="203"/>
      <c r="AU272" s="295"/>
      <c r="AV272" s="280"/>
      <c r="AW272" s="160"/>
      <c r="AX272" s="216"/>
      <c r="AY272" s="207"/>
      <c r="AZ272" s="198"/>
      <c r="BA272" s="198"/>
      <c r="BB272" s="197"/>
      <c r="BC272" s="163" t="e">
        <f>IF(OR(#REF!="",#REF!="")=TRUE,"",NETWORKDAYS.INTL(#REF!,#REF!))</f>
        <v>#REF!</v>
      </c>
      <c r="BD272" s="175"/>
    </row>
    <row r="273" spans="1:56" s="176" customFormat="1" ht="14.65" thickBot="1" x14ac:dyDescent="0.5">
      <c r="A273" s="13"/>
      <c r="B273" s="262"/>
      <c r="C273" s="262"/>
      <c r="D273" s="262"/>
      <c r="E273" s="262"/>
      <c r="F273" s="262"/>
      <c r="G273" s="262"/>
      <c r="H273" s="262"/>
      <c r="I273" s="262"/>
      <c r="J273" s="262"/>
      <c r="K273" s="262"/>
      <c r="L273" s="147"/>
      <c r="M273" s="262"/>
      <c r="N273" s="262"/>
      <c r="O273" s="262"/>
      <c r="P273" s="262"/>
      <c r="Q273" s="262"/>
      <c r="R273" s="262"/>
      <c r="S273" s="262"/>
      <c r="T273" s="262"/>
      <c r="U273" s="262"/>
      <c r="V273" s="262"/>
      <c r="W273" s="262"/>
      <c r="X273" s="197"/>
      <c r="Y273" s="197"/>
      <c r="Z273" s="197"/>
      <c r="AA273" s="197"/>
      <c r="AB273" s="197"/>
      <c r="AC273" s="197"/>
      <c r="AD273" s="197"/>
      <c r="AE273" s="197"/>
      <c r="AF273" s="197"/>
      <c r="AG273" s="198"/>
      <c r="AH273" s="198"/>
      <c r="AI273" s="200"/>
      <c r="AJ273" s="198"/>
      <c r="AK273" s="199"/>
      <c r="AL273" s="201"/>
      <c r="AM273" s="200"/>
      <c r="AN273" s="144"/>
      <c r="AO273" s="197"/>
      <c r="AP273" s="197"/>
      <c r="AQ273" s="232"/>
      <c r="AR273" s="87"/>
      <c r="AS273" s="202"/>
      <c r="AT273" s="203"/>
      <c r="AU273" s="295"/>
      <c r="AV273" s="280"/>
      <c r="AW273" s="160"/>
      <c r="AX273" s="216"/>
      <c r="AY273" s="207"/>
      <c r="AZ273" s="198"/>
      <c r="BA273" s="198"/>
      <c r="BB273" s="197"/>
      <c r="BC273" s="163" t="e">
        <f>IF(OR(#REF!="",#REF!="")=TRUE,"",NETWORKDAYS.INTL(#REF!,#REF!))</f>
        <v>#REF!</v>
      </c>
      <c r="BD273" s="175"/>
    </row>
    <row r="274" spans="1:56" s="176" customFormat="1" ht="14.65" thickBot="1" x14ac:dyDescent="0.5">
      <c r="A274" s="12"/>
      <c r="B274" s="262"/>
      <c r="C274" s="262"/>
      <c r="D274" s="262"/>
      <c r="E274" s="262"/>
      <c r="F274" s="262"/>
      <c r="G274" s="262"/>
      <c r="H274" s="262"/>
      <c r="I274" s="262"/>
      <c r="J274" s="262"/>
      <c r="K274" s="262"/>
      <c r="L274" s="147"/>
      <c r="M274" s="262"/>
      <c r="N274" s="262"/>
      <c r="O274" s="262"/>
      <c r="P274" s="262"/>
      <c r="Q274" s="262"/>
      <c r="R274" s="262"/>
      <c r="S274" s="262"/>
      <c r="T274" s="262"/>
      <c r="U274" s="262"/>
      <c r="V274" s="262"/>
      <c r="W274" s="262"/>
      <c r="X274" s="197"/>
      <c r="Y274" s="197"/>
      <c r="Z274" s="197"/>
      <c r="AA274" s="197"/>
      <c r="AB274" s="197"/>
      <c r="AC274" s="197"/>
      <c r="AD274" s="197"/>
      <c r="AE274" s="197"/>
      <c r="AF274" s="197"/>
      <c r="AG274" s="198"/>
      <c r="AH274" s="198"/>
      <c r="AI274" s="200"/>
      <c r="AJ274" s="198"/>
      <c r="AK274" s="199"/>
      <c r="AL274" s="201"/>
      <c r="AM274" s="200"/>
      <c r="AN274" s="144"/>
      <c r="AO274" s="197"/>
      <c r="AP274" s="197"/>
      <c r="AQ274" s="232"/>
      <c r="AR274" s="87"/>
      <c r="AS274" s="202"/>
      <c r="AT274" s="203"/>
      <c r="AU274" s="295"/>
      <c r="AV274" s="280"/>
      <c r="AW274" s="160"/>
      <c r="AX274" s="216"/>
      <c r="AY274" s="207"/>
      <c r="AZ274" s="198"/>
      <c r="BA274" s="198"/>
      <c r="BB274" s="197"/>
      <c r="BC274" s="163" t="e">
        <f>IF(OR(#REF!="",#REF!="")=TRUE,"",NETWORKDAYS.INTL(#REF!,#REF!))</f>
        <v>#REF!</v>
      </c>
      <c r="BD274" s="175"/>
    </row>
    <row r="275" spans="1:56" s="176" customFormat="1" ht="14.65" thickBot="1" x14ac:dyDescent="0.5">
      <c r="A275" s="13"/>
      <c r="B275" s="262"/>
      <c r="C275" s="262"/>
      <c r="D275" s="262"/>
      <c r="E275" s="262"/>
      <c r="F275" s="262"/>
      <c r="G275" s="262"/>
      <c r="H275" s="262"/>
      <c r="I275" s="262"/>
      <c r="J275" s="262"/>
      <c r="K275" s="262"/>
      <c r="L275" s="147"/>
      <c r="M275" s="262"/>
      <c r="N275" s="262"/>
      <c r="O275" s="262"/>
      <c r="P275" s="262"/>
      <c r="Q275" s="262"/>
      <c r="R275" s="262"/>
      <c r="S275" s="262"/>
      <c r="T275" s="262"/>
      <c r="U275" s="262"/>
      <c r="V275" s="262"/>
      <c r="W275" s="262"/>
      <c r="X275" s="197"/>
      <c r="Y275" s="197"/>
      <c r="Z275" s="197"/>
      <c r="AA275" s="197"/>
      <c r="AB275" s="197"/>
      <c r="AC275" s="197"/>
      <c r="AD275" s="197"/>
      <c r="AE275" s="197"/>
      <c r="AF275" s="197"/>
      <c r="AG275" s="198"/>
      <c r="AH275" s="198"/>
      <c r="AI275" s="200"/>
      <c r="AJ275" s="198"/>
      <c r="AK275" s="199"/>
      <c r="AL275" s="201"/>
      <c r="AM275" s="200"/>
      <c r="AN275" s="144"/>
      <c r="AO275" s="197"/>
      <c r="AP275" s="197"/>
      <c r="AQ275" s="232"/>
      <c r="AR275" s="87"/>
      <c r="AS275" s="202"/>
      <c r="AT275" s="203"/>
      <c r="AU275" s="295"/>
      <c r="AV275" s="280"/>
      <c r="AW275" s="160"/>
      <c r="AX275" s="216"/>
      <c r="AY275" s="207"/>
      <c r="AZ275" s="198"/>
      <c r="BA275" s="198"/>
      <c r="BB275" s="197"/>
      <c r="BC275" s="163" t="e">
        <f>IF(OR(#REF!="",#REF!="")=TRUE,"",NETWORKDAYS.INTL(#REF!,#REF!))</f>
        <v>#REF!</v>
      </c>
      <c r="BD275" s="175"/>
    </row>
    <row r="276" spans="1:56" s="176" customFormat="1" ht="14.65" thickBot="1" x14ac:dyDescent="0.5">
      <c r="A276" s="13"/>
      <c r="B276" s="262"/>
      <c r="C276" s="262"/>
      <c r="D276" s="262"/>
      <c r="E276" s="262"/>
      <c r="F276" s="262"/>
      <c r="G276" s="262"/>
      <c r="H276" s="262"/>
      <c r="I276" s="262"/>
      <c r="J276" s="262"/>
      <c r="K276" s="262"/>
      <c r="L276" s="147"/>
      <c r="M276" s="262"/>
      <c r="N276" s="262"/>
      <c r="O276" s="262"/>
      <c r="P276" s="262"/>
      <c r="Q276" s="262"/>
      <c r="R276" s="262"/>
      <c r="S276" s="262"/>
      <c r="T276" s="262"/>
      <c r="U276" s="262"/>
      <c r="V276" s="262"/>
      <c r="W276" s="262"/>
      <c r="X276" s="197"/>
      <c r="Y276" s="197"/>
      <c r="Z276" s="197"/>
      <c r="AA276" s="197"/>
      <c r="AB276" s="197"/>
      <c r="AC276" s="197"/>
      <c r="AD276" s="197"/>
      <c r="AE276" s="197"/>
      <c r="AF276" s="197"/>
      <c r="AG276" s="198"/>
      <c r="AH276" s="198"/>
      <c r="AI276" s="200"/>
      <c r="AJ276" s="198"/>
      <c r="AK276" s="199"/>
      <c r="AL276" s="201"/>
      <c r="AM276" s="200"/>
      <c r="AN276" s="144"/>
      <c r="AO276" s="197"/>
      <c r="AP276" s="197"/>
      <c r="AQ276" s="232"/>
      <c r="AR276" s="87"/>
      <c r="AS276" s="202"/>
      <c r="AT276" s="203"/>
      <c r="AU276" s="295"/>
      <c r="AV276" s="280"/>
      <c r="AW276" s="160"/>
      <c r="AX276" s="216"/>
      <c r="AY276" s="207"/>
      <c r="AZ276" s="198"/>
      <c r="BA276" s="198"/>
      <c r="BB276" s="197"/>
      <c r="BC276" s="163" t="e">
        <f>IF(OR(#REF!="",#REF!="")=TRUE,"",NETWORKDAYS.INTL(#REF!,#REF!))</f>
        <v>#REF!</v>
      </c>
      <c r="BD276" s="175"/>
    </row>
    <row r="277" spans="1:56" s="176" customFormat="1" ht="14.65" thickBot="1" x14ac:dyDescent="0.5">
      <c r="A277" s="12"/>
      <c r="B277" s="262"/>
      <c r="C277" s="262"/>
      <c r="D277" s="262"/>
      <c r="E277" s="262"/>
      <c r="F277" s="262"/>
      <c r="G277" s="262"/>
      <c r="H277" s="262"/>
      <c r="I277" s="262"/>
      <c r="J277" s="262"/>
      <c r="K277" s="262"/>
      <c r="L277" s="147"/>
      <c r="M277" s="262"/>
      <c r="N277" s="262"/>
      <c r="O277" s="262"/>
      <c r="P277" s="262"/>
      <c r="Q277" s="262"/>
      <c r="R277" s="262"/>
      <c r="S277" s="262"/>
      <c r="T277" s="262"/>
      <c r="U277" s="262"/>
      <c r="V277" s="262"/>
      <c r="W277" s="262"/>
      <c r="X277" s="197"/>
      <c r="Y277" s="197"/>
      <c r="Z277" s="197"/>
      <c r="AA277" s="197"/>
      <c r="AB277" s="197"/>
      <c r="AC277" s="197"/>
      <c r="AD277" s="197"/>
      <c r="AE277" s="197"/>
      <c r="AF277" s="197"/>
      <c r="AG277" s="198"/>
      <c r="AH277" s="198"/>
      <c r="AI277" s="200"/>
      <c r="AJ277" s="198"/>
      <c r="AK277" s="199"/>
      <c r="AL277" s="201"/>
      <c r="AM277" s="200"/>
      <c r="AN277" s="144"/>
      <c r="AO277" s="197"/>
      <c r="AP277" s="197"/>
      <c r="AQ277" s="232"/>
      <c r="AR277" s="87"/>
      <c r="AS277" s="202"/>
      <c r="AT277" s="203"/>
      <c r="AU277" s="295"/>
      <c r="AV277" s="280"/>
      <c r="AW277" s="160"/>
      <c r="AX277" s="216"/>
      <c r="AY277" s="207"/>
      <c r="AZ277" s="198"/>
      <c r="BA277" s="198"/>
      <c r="BB277" s="197"/>
      <c r="BC277" s="163" t="e">
        <f>IF(OR(#REF!="",#REF!="")=TRUE,"",NETWORKDAYS.INTL(#REF!,#REF!))</f>
        <v>#REF!</v>
      </c>
      <c r="BD277" s="175"/>
    </row>
    <row r="278" spans="1:56" s="176" customFormat="1" ht="14.65" thickBot="1" x14ac:dyDescent="0.5">
      <c r="A278" s="13"/>
      <c r="B278" s="262"/>
      <c r="C278" s="262"/>
      <c r="D278" s="262"/>
      <c r="E278" s="262"/>
      <c r="F278" s="262"/>
      <c r="G278" s="262"/>
      <c r="H278" s="262"/>
      <c r="I278" s="262"/>
      <c r="J278" s="262"/>
      <c r="K278" s="262"/>
      <c r="L278" s="147"/>
      <c r="M278" s="262"/>
      <c r="N278" s="262"/>
      <c r="O278" s="262"/>
      <c r="P278" s="262"/>
      <c r="Q278" s="262"/>
      <c r="R278" s="262"/>
      <c r="S278" s="262"/>
      <c r="T278" s="262"/>
      <c r="U278" s="262"/>
      <c r="V278" s="262"/>
      <c r="W278" s="262"/>
      <c r="X278" s="197"/>
      <c r="Y278" s="197"/>
      <c r="Z278" s="197"/>
      <c r="AA278" s="197"/>
      <c r="AB278" s="197"/>
      <c r="AC278" s="197"/>
      <c r="AD278" s="197"/>
      <c r="AE278" s="197"/>
      <c r="AF278" s="197"/>
      <c r="AG278" s="198"/>
      <c r="AH278" s="198"/>
      <c r="AI278" s="200"/>
      <c r="AJ278" s="198"/>
      <c r="AK278" s="199"/>
      <c r="AL278" s="201"/>
      <c r="AM278" s="200"/>
      <c r="AN278" s="144"/>
      <c r="AO278" s="197"/>
      <c r="AP278" s="197"/>
      <c r="AQ278" s="232"/>
      <c r="AR278" s="87"/>
      <c r="AS278" s="202"/>
      <c r="AT278" s="203"/>
      <c r="AU278" s="295"/>
      <c r="AV278" s="280"/>
      <c r="AW278" s="160"/>
      <c r="AX278" s="216"/>
      <c r="AY278" s="207"/>
      <c r="AZ278" s="198"/>
      <c r="BA278" s="198"/>
      <c r="BB278" s="197"/>
      <c r="BC278" s="163" t="e">
        <f>IF(OR(#REF!="",#REF!="")=TRUE,"",NETWORKDAYS.INTL(#REF!,#REF!))</f>
        <v>#REF!</v>
      </c>
      <c r="BD278" s="175"/>
    </row>
    <row r="279" spans="1:56" s="176" customFormat="1" ht="14.65" thickBot="1" x14ac:dyDescent="0.5">
      <c r="A279" s="13"/>
      <c r="B279" s="262"/>
      <c r="C279" s="262"/>
      <c r="D279" s="262"/>
      <c r="E279" s="262"/>
      <c r="F279" s="262"/>
      <c r="G279" s="262"/>
      <c r="H279" s="262"/>
      <c r="I279" s="262"/>
      <c r="J279" s="262"/>
      <c r="K279" s="262"/>
      <c r="L279" s="147"/>
      <c r="M279" s="262"/>
      <c r="N279" s="262"/>
      <c r="O279" s="262"/>
      <c r="P279" s="262"/>
      <c r="Q279" s="262"/>
      <c r="R279" s="262"/>
      <c r="S279" s="262"/>
      <c r="T279" s="262"/>
      <c r="U279" s="262"/>
      <c r="V279" s="262"/>
      <c r="W279" s="262"/>
      <c r="X279" s="197"/>
      <c r="Y279" s="197"/>
      <c r="Z279" s="197"/>
      <c r="AA279" s="197"/>
      <c r="AB279" s="197"/>
      <c r="AC279" s="197"/>
      <c r="AD279" s="197"/>
      <c r="AE279" s="197"/>
      <c r="AF279" s="197"/>
      <c r="AG279" s="198"/>
      <c r="AH279" s="198"/>
      <c r="AI279" s="200"/>
      <c r="AJ279" s="198"/>
      <c r="AK279" s="199"/>
      <c r="AL279" s="201"/>
      <c r="AM279" s="200"/>
      <c r="AN279" s="144"/>
      <c r="AO279" s="197"/>
      <c r="AP279" s="197"/>
      <c r="AQ279" s="232"/>
      <c r="AR279" s="197"/>
      <c r="AS279" s="202"/>
      <c r="AT279" s="203"/>
      <c r="AU279" s="295"/>
      <c r="AV279" s="280"/>
      <c r="AW279" s="160"/>
      <c r="AX279" s="216"/>
      <c r="AY279" s="207"/>
      <c r="AZ279" s="198"/>
      <c r="BA279" s="198"/>
      <c r="BB279" s="197"/>
      <c r="BC279" s="163" t="e">
        <f>IF(OR(#REF!="",#REF!="")=TRUE,"",NETWORKDAYS.INTL(#REF!,#REF!))</f>
        <v>#REF!</v>
      </c>
      <c r="BD279" s="175"/>
    </row>
    <row r="280" spans="1:56" s="176" customFormat="1" x14ac:dyDescent="0.45">
      <c r="A280" s="12"/>
      <c r="B280" s="262"/>
      <c r="C280" s="262"/>
      <c r="D280" s="262"/>
      <c r="E280" s="262"/>
      <c r="F280" s="262"/>
      <c r="G280" s="262"/>
      <c r="H280" s="262"/>
      <c r="I280" s="262"/>
      <c r="J280" s="262"/>
      <c r="K280" s="262"/>
      <c r="L280" s="147"/>
      <c r="M280" s="262"/>
      <c r="N280" s="262"/>
      <c r="O280" s="262"/>
      <c r="P280" s="262"/>
      <c r="Q280" s="262"/>
      <c r="R280" s="262"/>
      <c r="S280" s="262"/>
      <c r="T280" s="262"/>
      <c r="U280" s="262"/>
      <c r="V280" s="262"/>
      <c r="W280" s="262"/>
      <c r="X280" s="197"/>
      <c r="Y280" s="197"/>
      <c r="Z280" s="197"/>
      <c r="AA280" s="197"/>
      <c r="AB280" s="197"/>
      <c r="AC280" s="197"/>
      <c r="AD280" s="197"/>
      <c r="AE280" s="197"/>
      <c r="AF280" s="197"/>
      <c r="AG280" s="198"/>
      <c r="AH280" s="198"/>
      <c r="AI280" s="200"/>
      <c r="AJ280" s="198"/>
      <c r="AK280" s="199"/>
      <c r="AL280" s="201"/>
      <c r="AM280" s="200"/>
      <c r="AN280" s="144"/>
      <c r="AO280" s="197"/>
      <c r="AP280" s="197"/>
      <c r="AQ280" s="232"/>
      <c r="AR280" s="197"/>
      <c r="AS280" s="202"/>
      <c r="AT280" s="203"/>
      <c r="AU280" s="295"/>
      <c r="AV280" s="280"/>
      <c r="AW280" s="160"/>
      <c r="AX280" s="216"/>
      <c r="AY280" s="207"/>
      <c r="AZ280" s="198"/>
      <c r="BA280" s="198"/>
      <c r="BB280" s="197"/>
      <c r="BC280" s="163" t="e">
        <f>IF(OR(#REF!="",#REF!="")=TRUE,"",NETWORKDAYS.INTL(#REF!,#REF!))</f>
        <v>#REF!</v>
      </c>
      <c r="BD280" s="175"/>
    </row>
    <row r="281" spans="1:56" s="176" customFormat="1" x14ac:dyDescent="0.45">
      <c r="A281" s="13"/>
      <c r="B281" s="262"/>
      <c r="C281" s="262"/>
      <c r="D281" s="262"/>
      <c r="E281" s="262"/>
      <c r="F281" s="262"/>
      <c r="G281" s="262"/>
      <c r="H281" s="262"/>
      <c r="I281" s="262"/>
      <c r="J281" s="262"/>
      <c r="K281" s="262"/>
      <c r="L281" s="147"/>
      <c r="M281" s="262"/>
      <c r="N281" s="262"/>
      <c r="O281" s="262"/>
      <c r="P281" s="262"/>
      <c r="Q281" s="262"/>
      <c r="R281" s="262"/>
      <c r="S281" s="262"/>
      <c r="T281" s="262"/>
      <c r="U281" s="262"/>
      <c r="V281" s="262"/>
      <c r="W281" s="262"/>
      <c r="X281" s="175"/>
      <c r="Y281" s="175"/>
      <c r="Z281" s="175"/>
      <c r="AA281" s="175"/>
      <c r="AB281" s="175"/>
      <c r="AC281" s="175"/>
      <c r="AD281" s="175"/>
      <c r="AE281" s="175"/>
      <c r="AF281" s="175"/>
      <c r="AG281" s="179"/>
      <c r="AH281" s="179"/>
      <c r="AI281" s="177"/>
      <c r="AJ281" s="179"/>
      <c r="AK281" s="183"/>
      <c r="AL281" s="177"/>
      <c r="AM281" s="177"/>
      <c r="AN281" s="263"/>
      <c r="AO281" s="175"/>
      <c r="AP281" s="175"/>
      <c r="AQ281" s="307"/>
      <c r="AR281" s="175"/>
      <c r="AS281" s="253"/>
      <c r="AT281" s="253"/>
      <c r="AU281" s="214"/>
      <c r="AV281" s="268"/>
      <c r="AW281" s="175"/>
      <c r="AX281" s="210"/>
      <c r="AY281" s="173"/>
      <c r="AZ281" s="179"/>
      <c r="BA281" s="179"/>
      <c r="BB281" s="175"/>
      <c r="BC281" s="49" t="e">
        <v>#REF!</v>
      </c>
      <c r="BD281" s="175"/>
    </row>
    <row r="282" spans="1:56" s="176" customFormat="1" x14ac:dyDescent="0.45">
      <c r="A282" s="13"/>
      <c r="B282" s="262"/>
      <c r="C282" s="262"/>
      <c r="D282" s="262"/>
      <c r="E282" s="262"/>
      <c r="F282" s="262"/>
      <c r="G282" s="262"/>
      <c r="H282" s="262"/>
      <c r="I282" s="262"/>
      <c r="J282" s="262"/>
      <c r="K282" s="262"/>
      <c r="L282" s="147"/>
      <c r="M282" s="262"/>
      <c r="N282" s="262"/>
      <c r="O282" s="262"/>
      <c r="P282" s="262"/>
      <c r="Q282" s="262"/>
      <c r="R282" s="262"/>
      <c r="S282" s="262"/>
      <c r="T282" s="262"/>
      <c r="U282" s="262"/>
      <c r="V282" s="262"/>
      <c r="W282" s="262"/>
      <c r="X282" s="175"/>
      <c r="Y282" s="175"/>
      <c r="Z282" s="175"/>
      <c r="AA282" s="175"/>
      <c r="AB282" s="175"/>
      <c r="AC282" s="175"/>
      <c r="AD282" s="175"/>
      <c r="AE282" s="175"/>
      <c r="AF282" s="175"/>
      <c r="AG282" s="179"/>
      <c r="AH282" s="179"/>
      <c r="AI282" s="177"/>
      <c r="AJ282" s="179"/>
      <c r="AK282" s="183"/>
      <c r="AL282" s="177"/>
      <c r="AM282" s="177"/>
      <c r="AN282" s="263"/>
      <c r="AO282" s="175"/>
      <c r="AP282" s="175"/>
      <c r="AQ282" s="307"/>
      <c r="AR282" s="175"/>
      <c r="AS282" s="253"/>
      <c r="AT282" s="253"/>
      <c r="AU282" s="214"/>
      <c r="AV282" s="268"/>
      <c r="AW282" s="175"/>
      <c r="AX282" s="210"/>
      <c r="AY282" s="173"/>
      <c r="AZ282" s="179"/>
      <c r="BA282" s="179"/>
      <c r="BB282" s="175"/>
      <c r="BC282" s="49" t="e">
        <v>#REF!</v>
      </c>
      <c r="BD282" s="175"/>
    </row>
    <row r="283" spans="1:56" s="176" customFormat="1" x14ac:dyDescent="0.45">
      <c r="A283" s="12"/>
      <c r="B283" s="262"/>
      <c r="C283" s="262"/>
      <c r="D283" s="262"/>
      <c r="E283" s="262"/>
      <c r="F283" s="262"/>
      <c r="G283" s="262"/>
      <c r="H283" s="262"/>
      <c r="I283" s="262"/>
      <c r="J283" s="262"/>
      <c r="K283" s="262"/>
      <c r="L283" s="147"/>
      <c r="M283" s="262"/>
      <c r="N283" s="262"/>
      <c r="O283" s="262"/>
      <c r="P283" s="262"/>
      <c r="Q283" s="262"/>
      <c r="R283" s="262"/>
      <c r="S283" s="262"/>
      <c r="T283" s="262"/>
      <c r="U283" s="262"/>
      <c r="V283" s="262"/>
      <c r="W283" s="262"/>
      <c r="X283" s="175"/>
      <c r="Y283" s="175"/>
      <c r="Z283" s="175"/>
      <c r="AA283" s="175"/>
      <c r="AB283" s="175"/>
      <c r="AC283" s="175"/>
      <c r="AD283" s="175"/>
      <c r="AE283" s="175"/>
      <c r="AF283" s="175"/>
      <c r="AG283" s="179"/>
      <c r="AH283" s="179"/>
      <c r="AI283" s="177"/>
      <c r="AJ283" s="179"/>
      <c r="AK283" s="183"/>
      <c r="AL283" s="177"/>
      <c r="AM283" s="177"/>
      <c r="AN283" s="263"/>
      <c r="AO283" s="175"/>
      <c r="AP283" s="175"/>
      <c r="AQ283" s="307"/>
      <c r="AR283" s="175"/>
      <c r="AS283" s="253"/>
      <c r="AT283" s="253"/>
      <c r="AU283" s="214"/>
      <c r="AV283" s="268"/>
      <c r="AW283" s="175"/>
      <c r="AX283" s="210"/>
      <c r="AY283" s="173"/>
      <c r="AZ283" s="179"/>
      <c r="BA283" s="179"/>
      <c r="BB283" s="175"/>
      <c r="BC283" s="49" t="e">
        <v>#REF!</v>
      </c>
      <c r="BD283" s="175"/>
    </row>
    <row r="284" spans="1:56" s="176" customFormat="1" x14ac:dyDescent="0.45">
      <c r="A284" s="13"/>
      <c r="B284" s="262"/>
      <c r="C284" s="262"/>
      <c r="D284" s="262"/>
      <c r="E284" s="262"/>
      <c r="F284" s="262"/>
      <c r="G284" s="262"/>
      <c r="H284" s="262"/>
      <c r="I284" s="262"/>
      <c r="J284" s="262"/>
      <c r="K284" s="262"/>
      <c r="L284" s="147"/>
      <c r="M284" s="262"/>
      <c r="N284" s="262"/>
      <c r="O284" s="262"/>
      <c r="P284" s="262"/>
      <c r="Q284" s="262"/>
      <c r="R284" s="262"/>
      <c r="S284" s="262"/>
      <c r="T284" s="262"/>
      <c r="U284" s="262"/>
      <c r="V284" s="262"/>
      <c r="W284" s="262"/>
      <c r="X284" s="175"/>
      <c r="Y284" s="175"/>
      <c r="Z284" s="175"/>
      <c r="AA284" s="175"/>
      <c r="AB284" s="175"/>
      <c r="AC284" s="175"/>
      <c r="AD284" s="175"/>
      <c r="AE284" s="175"/>
      <c r="AF284" s="175"/>
      <c r="AG284" s="179"/>
      <c r="AH284" s="179"/>
      <c r="AI284" s="177"/>
      <c r="AJ284" s="179"/>
      <c r="AK284" s="183"/>
      <c r="AL284" s="177"/>
      <c r="AM284" s="177"/>
      <c r="AN284" s="263"/>
      <c r="AO284" s="175"/>
      <c r="AP284" s="175"/>
      <c r="AQ284" s="307"/>
      <c r="AR284" s="175"/>
      <c r="AS284" s="253"/>
      <c r="AT284" s="253"/>
      <c r="AU284" s="214"/>
      <c r="AV284" s="268"/>
      <c r="AW284" s="175"/>
      <c r="AX284" s="210"/>
      <c r="AY284" s="173"/>
      <c r="AZ284" s="179"/>
      <c r="BA284" s="179"/>
      <c r="BB284" s="175"/>
      <c r="BC284" s="49" t="e">
        <v>#REF!</v>
      </c>
      <c r="BD284" s="175"/>
    </row>
    <row r="285" spans="1:56" s="176" customFormat="1" x14ac:dyDescent="0.45">
      <c r="A285" s="13"/>
      <c r="B285" s="262"/>
      <c r="C285" s="262"/>
      <c r="D285" s="262"/>
      <c r="E285" s="262"/>
      <c r="F285" s="262"/>
      <c r="G285" s="262"/>
      <c r="H285" s="262"/>
      <c r="I285" s="262"/>
      <c r="J285" s="262"/>
      <c r="K285" s="262"/>
      <c r="L285" s="147"/>
      <c r="M285" s="262"/>
      <c r="N285" s="262"/>
      <c r="O285" s="262"/>
      <c r="P285" s="262"/>
      <c r="Q285" s="262"/>
      <c r="R285" s="262"/>
      <c r="S285" s="262"/>
      <c r="T285" s="262"/>
      <c r="U285" s="262"/>
      <c r="V285" s="262"/>
      <c r="W285" s="262"/>
      <c r="X285" s="175"/>
      <c r="Y285" s="175"/>
      <c r="Z285" s="175"/>
      <c r="AA285" s="175"/>
      <c r="AB285" s="175"/>
      <c r="AC285" s="175"/>
      <c r="AD285" s="175"/>
      <c r="AE285" s="175"/>
      <c r="AF285" s="175"/>
      <c r="AG285" s="179"/>
      <c r="AH285" s="179"/>
      <c r="AI285" s="177"/>
      <c r="AJ285" s="179"/>
      <c r="AK285" s="183"/>
      <c r="AL285" s="177"/>
      <c r="AM285" s="177"/>
      <c r="AN285" s="263"/>
      <c r="AO285" s="175"/>
      <c r="AP285" s="175"/>
      <c r="AQ285" s="307"/>
      <c r="AR285" s="175"/>
      <c r="AS285" s="253"/>
      <c r="AT285" s="253"/>
      <c r="AU285" s="214"/>
      <c r="AV285" s="268"/>
      <c r="AW285" s="175"/>
      <c r="AX285" s="210"/>
      <c r="AY285" s="173"/>
      <c r="AZ285" s="179"/>
      <c r="BA285" s="179"/>
      <c r="BB285" s="175"/>
      <c r="BC285" s="49" t="e">
        <v>#REF!</v>
      </c>
      <c r="BD285" s="175"/>
    </row>
    <row r="286" spans="1:56" s="176" customFormat="1" x14ac:dyDescent="0.45">
      <c r="A286" s="12"/>
      <c r="B286" s="262"/>
      <c r="C286" s="262"/>
      <c r="D286" s="262"/>
      <c r="E286" s="262"/>
      <c r="F286" s="262"/>
      <c r="G286" s="262"/>
      <c r="H286" s="262"/>
      <c r="I286" s="262"/>
      <c r="J286" s="262"/>
      <c r="K286" s="262"/>
      <c r="L286" s="147"/>
      <c r="M286" s="262"/>
      <c r="N286" s="262"/>
      <c r="O286" s="262"/>
      <c r="P286" s="262"/>
      <c r="Q286" s="262"/>
      <c r="R286" s="262"/>
      <c r="S286" s="262"/>
      <c r="T286" s="262"/>
      <c r="U286" s="262"/>
      <c r="V286" s="262"/>
      <c r="W286" s="262"/>
      <c r="X286" s="175"/>
      <c r="Y286" s="175"/>
      <c r="Z286" s="175"/>
      <c r="AA286" s="175"/>
      <c r="AB286" s="175"/>
      <c r="AC286" s="175"/>
      <c r="AD286" s="175"/>
      <c r="AE286" s="175"/>
      <c r="AF286" s="175"/>
      <c r="AG286" s="179"/>
      <c r="AH286" s="179"/>
      <c r="AI286" s="177"/>
      <c r="AJ286" s="179"/>
      <c r="AK286" s="183"/>
      <c r="AL286" s="177"/>
      <c r="AM286" s="177"/>
      <c r="AN286" s="263"/>
      <c r="AO286" s="175"/>
      <c r="AP286" s="175"/>
      <c r="AQ286" s="307"/>
      <c r="AR286" s="175"/>
      <c r="AS286" s="253"/>
      <c r="AT286" s="253"/>
      <c r="AU286" s="214"/>
      <c r="AV286" s="268"/>
      <c r="AW286" s="175"/>
      <c r="AX286" s="210"/>
      <c r="AY286" s="173"/>
      <c r="AZ286" s="179"/>
      <c r="BA286" s="179"/>
      <c r="BB286" s="175"/>
      <c r="BC286" s="49" t="e">
        <v>#REF!</v>
      </c>
      <c r="BD286" s="175"/>
    </row>
    <row r="287" spans="1:56" s="176" customFormat="1" x14ac:dyDescent="0.45">
      <c r="A287" s="13"/>
      <c r="B287" s="262"/>
      <c r="C287" s="262"/>
      <c r="D287" s="262"/>
      <c r="E287" s="262"/>
      <c r="F287" s="262"/>
      <c r="G287" s="262"/>
      <c r="H287" s="262"/>
      <c r="I287" s="262"/>
      <c r="J287" s="262"/>
      <c r="K287" s="262"/>
      <c r="L287" s="147"/>
      <c r="M287" s="262"/>
      <c r="N287" s="262"/>
      <c r="O287" s="262"/>
      <c r="P287" s="262"/>
      <c r="Q287" s="262"/>
      <c r="R287" s="262"/>
      <c r="S287" s="262"/>
      <c r="T287" s="262"/>
      <c r="U287" s="262"/>
      <c r="V287" s="262"/>
      <c r="W287" s="262"/>
      <c r="X287" s="175"/>
      <c r="Y287" s="175"/>
      <c r="Z287" s="175"/>
      <c r="AA287" s="175"/>
      <c r="AB287" s="175"/>
      <c r="AC287" s="175"/>
      <c r="AD287" s="175"/>
      <c r="AE287" s="175"/>
      <c r="AF287" s="175"/>
      <c r="AG287" s="179"/>
      <c r="AH287" s="179"/>
      <c r="AI287" s="177"/>
      <c r="AJ287" s="179"/>
      <c r="AK287" s="183"/>
      <c r="AL287" s="177"/>
      <c r="AM287" s="177"/>
      <c r="AN287" s="263"/>
      <c r="AO287" s="175"/>
      <c r="AP287" s="175"/>
      <c r="AQ287" s="307"/>
      <c r="AR287" s="175"/>
      <c r="AS287" s="253"/>
      <c r="AT287" s="253"/>
      <c r="AU287" s="214"/>
      <c r="AV287" s="268"/>
      <c r="AW287" s="175"/>
      <c r="AX287" s="210"/>
      <c r="AY287" s="173"/>
      <c r="AZ287" s="179"/>
      <c r="BA287" s="179"/>
      <c r="BB287" s="175"/>
      <c r="BC287" s="49" t="e">
        <v>#REF!</v>
      </c>
      <c r="BD287" s="175"/>
    </row>
    <row r="288" spans="1:56" s="176" customFormat="1" x14ac:dyDescent="0.45">
      <c r="A288" s="13"/>
      <c r="B288" s="262"/>
      <c r="C288" s="262"/>
      <c r="D288" s="262"/>
      <c r="E288" s="262"/>
      <c r="F288" s="262"/>
      <c r="G288" s="262"/>
      <c r="H288" s="262"/>
      <c r="I288" s="262"/>
      <c r="J288" s="262"/>
      <c r="K288" s="262"/>
      <c r="L288" s="147"/>
      <c r="M288" s="262"/>
      <c r="N288" s="262"/>
      <c r="O288" s="262"/>
      <c r="P288" s="262"/>
      <c r="Q288" s="262"/>
      <c r="R288" s="262"/>
      <c r="S288" s="262"/>
      <c r="T288" s="262"/>
      <c r="U288" s="262"/>
      <c r="V288" s="262"/>
      <c r="W288" s="262"/>
      <c r="X288" s="175"/>
      <c r="Y288" s="175"/>
      <c r="Z288" s="175"/>
      <c r="AA288" s="175"/>
      <c r="AB288" s="175"/>
      <c r="AC288" s="175"/>
      <c r="AD288" s="175"/>
      <c r="AE288" s="175"/>
      <c r="AF288" s="175"/>
      <c r="AG288" s="179"/>
      <c r="AH288" s="179"/>
      <c r="AI288" s="177"/>
      <c r="AJ288" s="179"/>
      <c r="AK288" s="183"/>
      <c r="AL288" s="177"/>
      <c r="AM288" s="177"/>
      <c r="AN288" s="263"/>
      <c r="AO288" s="175"/>
      <c r="AP288" s="175"/>
      <c r="AQ288" s="307"/>
      <c r="AR288" s="175"/>
      <c r="AS288" s="253"/>
      <c r="AT288" s="253"/>
      <c r="AU288" s="214"/>
      <c r="AV288" s="268"/>
      <c r="AW288" s="175"/>
      <c r="AX288" s="210"/>
      <c r="AY288" s="173"/>
      <c r="AZ288" s="179"/>
      <c r="BA288" s="179"/>
      <c r="BB288" s="175"/>
      <c r="BC288" s="49" t="e">
        <v>#REF!</v>
      </c>
      <c r="BD288" s="175"/>
    </row>
    <row r="289" spans="1:56" s="176" customFormat="1" x14ac:dyDescent="0.45">
      <c r="A289" s="12"/>
      <c r="B289" s="262"/>
      <c r="C289" s="262"/>
      <c r="D289" s="262"/>
      <c r="E289" s="262"/>
      <c r="F289" s="262"/>
      <c r="G289" s="262"/>
      <c r="H289" s="262"/>
      <c r="I289" s="262"/>
      <c r="J289" s="262"/>
      <c r="K289" s="262"/>
      <c r="L289" s="147"/>
      <c r="M289" s="262"/>
      <c r="N289" s="262"/>
      <c r="O289" s="262"/>
      <c r="P289" s="262"/>
      <c r="Q289" s="262"/>
      <c r="R289" s="262"/>
      <c r="S289" s="262"/>
      <c r="T289" s="262"/>
      <c r="U289" s="262"/>
      <c r="V289" s="262"/>
      <c r="W289" s="262"/>
      <c r="X289" s="175"/>
      <c r="Y289" s="175"/>
      <c r="Z289" s="175"/>
      <c r="AA289" s="175"/>
      <c r="AB289" s="175"/>
      <c r="AC289" s="175"/>
      <c r="AD289" s="175"/>
      <c r="AE289" s="175"/>
      <c r="AF289" s="175"/>
      <c r="AG289" s="179"/>
      <c r="AH289" s="179"/>
      <c r="AI289" s="177"/>
      <c r="AJ289" s="179"/>
      <c r="AK289" s="183"/>
      <c r="AL289" s="177"/>
      <c r="AM289" s="177"/>
      <c r="AN289" s="263"/>
      <c r="AO289" s="175"/>
      <c r="AP289" s="175"/>
      <c r="AQ289" s="307"/>
      <c r="AR289" s="175"/>
      <c r="AS289" s="253"/>
      <c r="AT289" s="253"/>
      <c r="AU289" s="214"/>
      <c r="AV289" s="268"/>
      <c r="AW289" s="175"/>
      <c r="AX289" s="210"/>
      <c r="AY289" s="173"/>
      <c r="AZ289" s="179"/>
      <c r="BA289" s="179"/>
      <c r="BB289" s="175"/>
      <c r="BC289" s="49" t="e">
        <v>#REF!</v>
      </c>
      <c r="BD289" s="175"/>
    </row>
    <row r="290" spans="1:56" s="176" customFormat="1" x14ac:dyDescent="0.45">
      <c r="A290" s="13"/>
      <c r="B290" s="262"/>
      <c r="C290" s="262"/>
      <c r="D290" s="262"/>
      <c r="E290" s="262"/>
      <c r="F290" s="262"/>
      <c r="G290" s="262"/>
      <c r="H290" s="262"/>
      <c r="I290" s="262"/>
      <c r="J290" s="262"/>
      <c r="K290" s="262"/>
      <c r="L290" s="147"/>
      <c r="M290" s="262"/>
      <c r="N290" s="262"/>
      <c r="O290" s="262"/>
      <c r="P290" s="262"/>
      <c r="Q290" s="262"/>
      <c r="R290" s="262"/>
      <c r="S290" s="262"/>
      <c r="T290" s="262"/>
      <c r="U290" s="262"/>
      <c r="V290" s="262"/>
      <c r="W290" s="262"/>
      <c r="X290" s="175"/>
      <c r="Y290" s="175"/>
      <c r="Z290" s="175"/>
      <c r="AA290" s="175"/>
      <c r="AB290" s="175"/>
      <c r="AC290" s="175"/>
      <c r="AD290" s="175"/>
      <c r="AE290" s="175"/>
      <c r="AF290" s="175"/>
      <c r="AG290" s="179"/>
      <c r="AH290" s="179"/>
      <c r="AI290" s="177"/>
      <c r="AJ290" s="179"/>
      <c r="AK290" s="183"/>
      <c r="AL290" s="177"/>
      <c r="AM290" s="177"/>
      <c r="AN290" s="263"/>
      <c r="AO290" s="175"/>
      <c r="AP290" s="175"/>
      <c r="AQ290" s="307"/>
      <c r="AR290" s="175"/>
      <c r="AS290" s="253"/>
      <c r="AT290" s="253"/>
      <c r="AU290" s="214"/>
      <c r="AV290" s="268"/>
      <c r="AW290" s="175"/>
      <c r="AX290" s="210"/>
      <c r="AY290" s="173"/>
      <c r="AZ290" s="179"/>
      <c r="BA290" s="179"/>
      <c r="BB290" s="175"/>
      <c r="BC290" s="49" t="e">
        <v>#REF!</v>
      </c>
      <c r="BD290" s="175"/>
    </row>
    <row r="291" spans="1:56" s="176" customFormat="1" x14ac:dyDescent="0.45">
      <c r="A291" s="13"/>
      <c r="B291" s="262"/>
      <c r="C291" s="262"/>
      <c r="D291" s="262"/>
      <c r="E291" s="262"/>
      <c r="F291" s="262"/>
      <c r="G291" s="262"/>
      <c r="H291" s="262"/>
      <c r="I291" s="262"/>
      <c r="J291" s="262"/>
      <c r="K291" s="262"/>
      <c r="L291" s="147"/>
      <c r="M291" s="262"/>
      <c r="N291" s="262"/>
      <c r="O291" s="262"/>
      <c r="P291" s="262"/>
      <c r="Q291" s="262"/>
      <c r="R291" s="262"/>
      <c r="S291" s="262"/>
      <c r="T291" s="262"/>
      <c r="U291" s="262"/>
      <c r="V291" s="262"/>
      <c r="W291" s="262"/>
      <c r="X291" s="175"/>
      <c r="Y291" s="175"/>
      <c r="Z291" s="175"/>
      <c r="AA291" s="175"/>
      <c r="AB291" s="175"/>
      <c r="AC291" s="175"/>
      <c r="AD291" s="175"/>
      <c r="AE291" s="175"/>
      <c r="AF291" s="175"/>
      <c r="AG291" s="179"/>
      <c r="AH291" s="179"/>
      <c r="AI291" s="177"/>
      <c r="AJ291" s="179"/>
      <c r="AK291" s="183"/>
      <c r="AL291" s="177"/>
      <c r="AM291" s="177"/>
      <c r="AN291" s="263"/>
      <c r="AO291" s="175"/>
      <c r="AP291" s="175"/>
      <c r="AQ291" s="307"/>
      <c r="AR291" s="175"/>
      <c r="AS291" s="253"/>
      <c r="AT291" s="253"/>
      <c r="AU291" s="214"/>
      <c r="AV291" s="268"/>
      <c r="AW291" s="175"/>
      <c r="AX291" s="210"/>
      <c r="AY291" s="173"/>
      <c r="AZ291" s="179"/>
      <c r="BA291" s="179"/>
      <c r="BB291" s="175"/>
      <c r="BC291" s="49" t="e">
        <v>#REF!</v>
      </c>
      <c r="BD291" s="175"/>
    </row>
    <row r="292" spans="1:56" s="176" customFormat="1" x14ac:dyDescent="0.45">
      <c r="A292" s="12"/>
      <c r="B292" s="262"/>
      <c r="C292" s="262"/>
      <c r="D292" s="262"/>
      <c r="E292" s="262"/>
      <c r="F292" s="262"/>
      <c r="G292" s="262"/>
      <c r="H292" s="262"/>
      <c r="I292" s="262"/>
      <c r="J292" s="262"/>
      <c r="K292" s="262"/>
      <c r="L292" s="147"/>
      <c r="M292" s="262"/>
      <c r="N292" s="262"/>
      <c r="O292" s="262"/>
      <c r="P292" s="262"/>
      <c r="Q292" s="262"/>
      <c r="R292" s="262"/>
      <c r="S292" s="262"/>
      <c r="T292" s="262"/>
      <c r="U292" s="262"/>
      <c r="V292" s="262"/>
      <c r="W292" s="262"/>
      <c r="X292" s="175"/>
      <c r="Y292" s="175"/>
      <c r="Z292" s="175"/>
      <c r="AA292" s="175"/>
      <c r="AB292" s="175"/>
      <c r="AC292" s="175"/>
      <c r="AD292" s="175"/>
      <c r="AE292" s="175"/>
      <c r="AF292" s="175"/>
      <c r="AG292" s="179"/>
      <c r="AH292" s="179"/>
      <c r="AI292" s="177"/>
      <c r="AJ292" s="179"/>
      <c r="AK292" s="183"/>
      <c r="AL292" s="177"/>
      <c r="AM292" s="177"/>
      <c r="AN292" s="263"/>
      <c r="AO292" s="175"/>
      <c r="AP292" s="175"/>
      <c r="AQ292" s="307"/>
      <c r="AR292" s="175"/>
      <c r="AS292" s="253"/>
      <c r="AT292" s="253"/>
      <c r="AU292" s="214"/>
      <c r="AV292" s="268"/>
      <c r="AW292" s="175"/>
      <c r="AX292" s="210"/>
      <c r="AY292" s="173"/>
      <c r="AZ292" s="179"/>
      <c r="BA292" s="179"/>
      <c r="BB292" s="175"/>
      <c r="BC292" s="49" t="e">
        <v>#REF!</v>
      </c>
      <c r="BD292" s="175"/>
    </row>
    <row r="293" spans="1:56" s="176" customFormat="1" x14ac:dyDescent="0.45">
      <c r="A293" s="13"/>
      <c r="B293" s="262"/>
      <c r="C293" s="262"/>
      <c r="D293" s="262"/>
      <c r="E293" s="262"/>
      <c r="F293" s="262"/>
      <c r="G293" s="262"/>
      <c r="H293" s="262"/>
      <c r="I293" s="262"/>
      <c r="J293" s="262"/>
      <c r="K293" s="262"/>
      <c r="L293" s="147"/>
      <c r="M293" s="262"/>
      <c r="N293" s="262"/>
      <c r="O293" s="262"/>
      <c r="P293" s="262"/>
      <c r="Q293" s="262"/>
      <c r="R293" s="262"/>
      <c r="S293" s="262"/>
      <c r="T293" s="262"/>
      <c r="U293" s="262"/>
      <c r="V293" s="262"/>
      <c r="W293" s="262"/>
      <c r="X293" s="175"/>
      <c r="Y293" s="175"/>
      <c r="Z293" s="175"/>
      <c r="AA293" s="175"/>
      <c r="AB293" s="175"/>
      <c r="AC293" s="175"/>
      <c r="AD293" s="175"/>
      <c r="AE293" s="175"/>
      <c r="AF293" s="175"/>
      <c r="AG293" s="179"/>
      <c r="AH293" s="179"/>
      <c r="AI293" s="177"/>
      <c r="AJ293" s="179"/>
      <c r="AK293" s="183"/>
      <c r="AL293" s="177"/>
      <c r="AM293" s="177"/>
      <c r="AN293" s="263"/>
      <c r="AO293" s="175"/>
      <c r="AP293" s="175"/>
      <c r="AQ293" s="307"/>
      <c r="AR293" s="175"/>
      <c r="AS293" s="253"/>
      <c r="AT293" s="253"/>
      <c r="AU293" s="214"/>
      <c r="AV293" s="268"/>
      <c r="AW293" s="175"/>
      <c r="AX293" s="210"/>
      <c r="AY293" s="173"/>
      <c r="AZ293" s="179"/>
      <c r="BA293" s="179"/>
      <c r="BB293" s="175"/>
      <c r="BC293" s="49" t="e">
        <v>#REF!</v>
      </c>
      <c r="BD293" s="175"/>
    </row>
    <row r="294" spans="1:56" s="176" customFormat="1" x14ac:dyDescent="0.45">
      <c r="A294" s="13"/>
      <c r="B294" s="262"/>
      <c r="C294" s="262"/>
      <c r="D294" s="262"/>
      <c r="E294" s="262"/>
      <c r="F294" s="262"/>
      <c r="G294" s="262"/>
      <c r="H294" s="262"/>
      <c r="I294" s="262"/>
      <c r="J294" s="262"/>
      <c r="K294" s="262"/>
      <c r="L294" s="147"/>
      <c r="M294" s="262"/>
      <c r="N294" s="262"/>
      <c r="O294" s="262"/>
      <c r="P294" s="262"/>
      <c r="Q294" s="262"/>
      <c r="R294" s="262"/>
      <c r="S294" s="262"/>
      <c r="T294" s="262"/>
      <c r="U294" s="262"/>
      <c r="V294" s="262"/>
      <c r="W294" s="262"/>
      <c r="X294" s="175"/>
      <c r="Y294" s="175"/>
      <c r="Z294" s="175"/>
      <c r="AA294" s="175"/>
      <c r="AB294" s="175"/>
      <c r="AC294" s="175"/>
      <c r="AD294" s="175"/>
      <c r="AE294" s="175"/>
      <c r="AF294" s="175"/>
      <c r="AG294" s="179"/>
      <c r="AH294" s="179"/>
      <c r="AI294" s="177"/>
      <c r="AJ294" s="179"/>
      <c r="AK294" s="183"/>
      <c r="AL294" s="177"/>
      <c r="AM294" s="177"/>
      <c r="AN294" s="263"/>
      <c r="AO294" s="175"/>
      <c r="AP294" s="175"/>
      <c r="AQ294" s="307"/>
      <c r="AR294" s="175"/>
      <c r="AS294" s="253"/>
      <c r="AT294" s="253"/>
      <c r="AU294" s="214"/>
      <c r="AV294" s="268"/>
      <c r="AW294" s="175"/>
      <c r="AX294" s="210"/>
      <c r="AY294" s="173"/>
      <c r="AZ294" s="179"/>
      <c r="BA294" s="179"/>
      <c r="BB294" s="175"/>
      <c r="BC294" s="49" t="e">
        <v>#REF!</v>
      </c>
      <c r="BD294" s="175"/>
    </row>
    <row r="295" spans="1:56" s="176" customFormat="1" x14ac:dyDescent="0.45">
      <c r="A295" s="12"/>
      <c r="B295" s="262"/>
      <c r="C295" s="262"/>
      <c r="D295" s="262"/>
      <c r="E295" s="262"/>
      <c r="F295" s="262"/>
      <c r="G295" s="262"/>
      <c r="H295" s="262"/>
      <c r="I295" s="262"/>
      <c r="J295" s="262"/>
      <c r="K295" s="262"/>
      <c r="L295" s="147"/>
      <c r="M295" s="262"/>
      <c r="N295" s="262"/>
      <c r="O295" s="262"/>
      <c r="P295" s="262"/>
      <c r="Q295" s="262"/>
      <c r="R295" s="262"/>
      <c r="S295" s="262"/>
      <c r="T295" s="262"/>
      <c r="U295" s="262"/>
      <c r="V295" s="262"/>
      <c r="W295" s="262"/>
      <c r="X295" s="175"/>
      <c r="Y295" s="175"/>
      <c r="Z295" s="175"/>
      <c r="AA295" s="175"/>
      <c r="AB295" s="175"/>
      <c r="AC295" s="175"/>
      <c r="AD295" s="175"/>
      <c r="AE295" s="175"/>
      <c r="AF295" s="175"/>
      <c r="AG295" s="179"/>
      <c r="AH295" s="179"/>
      <c r="AI295" s="177"/>
      <c r="AJ295" s="179"/>
      <c r="AK295" s="183"/>
      <c r="AL295" s="177"/>
      <c r="AM295" s="177"/>
      <c r="AN295" s="263"/>
      <c r="AO295" s="175"/>
      <c r="AP295" s="175"/>
      <c r="AQ295" s="307"/>
      <c r="AR295" s="175"/>
      <c r="AS295" s="253"/>
      <c r="AT295" s="253"/>
      <c r="AU295" s="214"/>
      <c r="AV295" s="268"/>
      <c r="AW295" s="175"/>
      <c r="AX295" s="210"/>
      <c r="AY295" s="173"/>
      <c r="AZ295" s="179"/>
      <c r="BA295" s="179"/>
      <c r="BB295" s="175"/>
      <c r="BC295" s="49" t="e">
        <v>#REF!</v>
      </c>
      <c r="BD295" s="175"/>
    </row>
    <row r="296" spans="1:56" s="176" customFormat="1" x14ac:dyDescent="0.45">
      <c r="A296" s="13"/>
      <c r="B296" s="262"/>
      <c r="C296" s="262"/>
      <c r="D296" s="262"/>
      <c r="E296" s="262"/>
      <c r="F296" s="262"/>
      <c r="G296" s="262"/>
      <c r="H296" s="262"/>
      <c r="I296" s="262"/>
      <c r="J296" s="262"/>
      <c r="K296" s="262"/>
      <c r="L296" s="147"/>
      <c r="M296" s="262"/>
      <c r="N296" s="262"/>
      <c r="O296" s="262"/>
      <c r="P296" s="262"/>
      <c r="Q296" s="262"/>
      <c r="R296" s="262"/>
      <c r="S296" s="262"/>
      <c r="T296" s="262"/>
      <c r="U296" s="262"/>
      <c r="V296" s="262"/>
      <c r="W296" s="262"/>
      <c r="X296" s="175"/>
      <c r="Y296" s="175"/>
      <c r="Z296" s="175"/>
      <c r="AA296" s="175"/>
      <c r="AB296" s="175"/>
      <c r="AC296" s="175"/>
      <c r="AD296" s="175"/>
      <c r="AE296" s="175"/>
      <c r="AF296" s="175"/>
      <c r="AG296" s="179"/>
      <c r="AH296" s="179"/>
      <c r="AI296" s="177"/>
      <c r="AJ296" s="179"/>
      <c r="AK296" s="183"/>
      <c r="AL296" s="177"/>
      <c r="AM296" s="177"/>
      <c r="AN296" s="263"/>
      <c r="AO296" s="175"/>
      <c r="AP296" s="175"/>
      <c r="AQ296" s="307"/>
      <c r="AR296" s="175"/>
      <c r="AS296" s="253"/>
      <c r="AT296" s="253"/>
      <c r="AU296" s="214"/>
      <c r="AV296" s="268"/>
      <c r="AW296" s="175"/>
      <c r="AX296" s="210"/>
      <c r="AY296" s="173"/>
      <c r="AZ296" s="179"/>
      <c r="BA296" s="179"/>
      <c r="BB296" s="175"/>
      <c r="BC296" s="49" t="e">
        <v>#REF!</v>
      </c>
      <c r="BD296" s="175"/>
    </row>
    <row r="297" spans="1:56" s="176" customFormat="1" x14ac:dyDescent="0.45">
      <c r="A297" s="13"/>
      <c r="B297" s="262"/>
      <c r="C297" s="262"/>
      <c r="D297" s="262"/>
      <c r="E297" s="262"/>
      <c r="F297" s="262"/>
      <c r="G297" s="262"/>
      <c r="H297" s="262"/>
      <c r="I297" s="262"/>
      <c r="J297" s="262"/>
      <c r="K297" s="262"/>
      <c r="L297" s="147"/>
      <c r="M297" s="262"/>
      <c r="N297" s="262"/>
      <c r="O297" s="262"/>
      <c r="P297" s="262"/>
      <c r="Q297" s="262"/>
      <c r="R297" s="262"/>
      <c r="S297" s="262"/>
      <c r="T297" s="262"/>
      <c r="U297" s="262"/>
      <c r="V297" s="262"/>
      <c r="W297" s="262"/>
      <c r="X297" s="175"/>
      <c r="Y297" s="175"/>
      <c r="Z297" s="175"/>
      <c r="AA297" s="175"/>
      <c r="AB297" s="175"/>
      <c r="AC297" s="175"/>
      <c r="AD297" s="175"/>
      <c r="AE297" s="175"/>
      <c r="AF297" s="175"/>
      <c r="AG297" s="179"/>
      <c r="AH297" s="179"/>
      <c r="AI297" s="177"/>
      <c r="AJ297" s="179"/>
      <c r="AK297" s="183"/>
      <c r="AL297" s="177"/>
      <c r="AM297" s="177"/>
      <c r="AN297" s="263"/>
      <c r="AO297" s="175"/>
      <c r="AP297" s="175"/>
      <c r="AQ297" s="307"/>
      <c r="AR297" s="175"/>
      <c r="AS297" s="253"/>
      <c r="AT297" s="253"/>
      <c r="AU297" s="214"/>
      <c r="AV297" s="268"/>
      <c r="AW297" s="175"/>
      <c r="AX297" s="210"/>
      <c r="AY297" s="173"/>
      <c r="AZ297" s="179"/>
      <c r="BA297" s="179"/>
      <c r="BB297" s="175"/>
      <c r="BC297" s="49" t="e">
        <v>#REF!</v>
      </c>
      <c r="BD297" s="175"/>
    </row>
    <row r="298" spans="1:56" s="176" customFormat="1" x14ac:dyDescent="0.45">
      <c r="A298" s="12"/>
      <c r="B298" s="262"/>
      <c r="C298" s="262"/>
      <c r="D298" s="262"/>
      <c r="E298" s="262"/>
      <c r="F298" s="262"/>
      <c r="G298" s="262"/>
      <c r="H298" s="262"/>
      <c r="I298" s="262"/>
      <c r="J298" s="262"/>
      <c r="K298" s="262"/>
      <c r="L298" s="147"/>
      <c r="M298" s="262"/>
      <c r="N298" s="262"/>
      <c r="O298" s="262"/>
      <c r="P298" s="262"/>
      <c r="Q298" s="262"/>
      <c r="R298" s="262"/>
      <c r="S298" s="262"/>
      <c r="T298" s="262"/>
      <c r="U298" s="262"/>
      <c r="V298" s="262"/>
      <c r="W298" s="262"/>
      <c r="X298" s="175"/>
      <c r="Y298" s="175"/>
      <c r="Z298" s="175"/>
      <c r="AA298" s="175"/>
      <c r="AB298" s="175"/>
      <c r="AC298" s="175"/>
      <c r="AD298" s="175"/>
      <c r="AE298" s="175"/>
      <c r="AF298" s="175"/>
      <c r="AG298" s="179"/>
      <c r="AH298" s="179"/>
      <c r="AI298" s="177"/>
      <c r="AJ298" s="179"/>
      <c r="AK298" s="183"/>
      <c r="AL298" s="177"/>
      <c r="AM298" s="177"/>
      <c r="AN298" s="263"/>
      <c r="AO298" s="175"/>
      <c r="AP298" s="175"/>
      <c r="AQ298" s="307"/>
      <c r="AR298" s="175"/>
      <c r="AS298" s="253"/>
      <c r="AT298" s="253"/>
      <c r="AU298" s="214"/>
      <c r="AV298" s="268"/>
      <c r="AW298" s="175"/>
      <c r="AX298" s="210"/>
      <c r="AY298" s="173"/>
      <c r="AZ298" s="179"/>
      <c r="BA298" s="179"/>
      <c r="BB298" s="175"/>
      <c r="BC298" s="49" t="e">
        <v>#REF!</v>
      </c>
      <c r="BD298" s="175"/>
    </row>
    <row r="299" spans="1:56" s="176" customFormat="1" x14ac:dyDescent="0.45">
      <c r="A299" s="13"/>
      <c r="B299" s="262"/>
      <c r="C299" s="262"/>
      <c r="D299" s="262"/>
      <c r="E299" s="262"/>
      <c r="F299" s="262"/>
      <c r="G299" s="262"/>
      <c r="H299" s="262"/>
      <c r="I299" s="262"/>
      <c r="J299" s="262"/>
      <c r="K299" s="262"/>
      <c r="L299" s="147"/>
      <c r="M299" s="262"/>
      <c r="N299" s="262"/>
      <c r="O299" s="262"/>
      <c r="P299" s="262"/>
      <c r="Q299" s="262"/>
      <c r="R299" s="262"/>
      <c r="S299" s="262"/>
      <c r="T299" s="262"/>
      <c r="U299" s="262"/>
      <c r="V299" s="262"/>
      <c r="W299" s="262"/>
      <c r="X299" s="175"/>
      <c r="Y299" s="175"/>
      <c r="Z299" s="175"/>
      <c r="AA299" s="175"/>
      <c r="AB299" s="175"/>
      <c r="AC299" s="175"/>
      <c r="AD299" s="175"/>
      <c r="AE299" s="175"/>
      <c r="AF299" s="175"/>
      <c r="AG299" s="179"/>
      <c r="AH299" s="179"/>
      <c r="AI299" s="177"/>
      <c r="AJ299" s="179"/>
      <c r="AK299" s="183"/>
      <c r="AL299" s="177"/>
      <c r="AM299" s="177"/>
      <c r="AN299" s="263"/>
      <c r="AO299" s="175"/>
      <c r="AP299" s="175"/>
      <c r="AQ299" s="307"/>
      <c r="AR299" s="175"/>
      <c r="AS299" s="253"/>
      <c r="AT299" s="253"/>
      <c r="AU299" s="214"/>
      <c r="AV299" s="268"/>
      <c r="AW299" s="175"/>
      <c r="AX299" s="210"/>
      <c r="AY299" s="173"/>
      <c r="AZ299" s="179"/>
      <c r="BA299" s="179"/>
      <c r="BB299" s="175"/>
      <c r="BC299" s="49" t="e">
        <v>#REF!</v>
      </c>
      <c r="BD299" s="175"/>
    </row>
    <row r="300" spans="1:56" s="176" customFormat="1" x14ac:dyDescent="0.45">
      <c r="A300" s="13"/>
      <c r="B300" s="262"/>
      <c r="C300" s="262"/>
      <c r="D300" s="262"/>
      <c r="E300" s="262"/>
      <c r="F300" s="262"/>
      <c r="G300" s="262"/>
      <c r="H300" s="262"/>
      <c r="I300" s="262"/>
      <c r="J300" s="262"/>
      <c r="K300" s="262"/>
      <c r="L300" s="147"/>
      <c r="M300" s="262"/>
      <c r="N300" s="262"/>
      <c r="O300" s="262"/>
      <c r="P300" s="262"/>
      <c r="Q300" s="262"/>
      <c r="R300" s="262"/>
      <c r="S300" s="262"/>
      <c r="T300" s="262"/>
      <c r="U300" s="262"/>
      <c r="V300" s="262"/>
      <c r="W300" s="262"/>
      <c r="X300" s="175"/>
      <c r="Y300" s="175"/>
      <c r="Z300" s="175"/>
      <c r="AA300" s="175"/>
      <c r="AB300" s="175"/>
      <c r="AC300" s="175"/>
      <c r="AD300" s="175"/>
      <c r="AE300" s="175"/>
      <c r="AF300" s="175"/>
      <c r="AG300" s="179"/>
      <c r="AH300" s="179"/>
      <c r="AI300" s="177"/>
      <c r="AJ300" s="179"/>
      <c r="AK300" s="183"/>
      <c r="AL300" s="177"/>
      <c r="AM300" s="177"/>
      <c r="AN300" s="263"/>
      <c r="AO300" s="175"/>
      <c r="AP300" s="175"/>
      <c r="AQ300" s="307"/>
      <c r="AR300" s="175"/>
      <c r="AS300" s="253"/>
      <c r="AT300" s="253"/>
      <c r="AU300" s="214"/>
      <c r="AV300" s="268"/>
      <c r="AW300" s="175"/>
      <c r="AX300" s="210"/>
      <c r="AY300" s="173"/>
      <c r="AZ300" s="179"/>
      <c r="BA300" s="179"/>
      <c r="BB300" s="175"/>
      <c r="BC300" s="49" t="e">
        <v>#REF!</v>
      </c>
      <c r="BD300" s="175"/>
    </row>
    <row r="301" spans="1:56" s="176" customFormat="1" x14ac:dyDescent="0.45">
      <c r="A301" s="12"/>
      <c r="B301" s="262"/>
      <c r="C301" s="262"/>
      <c r="D301" s="262"/>
      <c r="E301" s="262"/>
      <c r="F301" s="262"/>
      <c r="G301" s="262"/>
      <c r="H301" s="262"/>
      <c r="I301" s="262"/>
      <c r="J301" s="262"/>
      <c r="K301" s="262"/>
      <c r="L301" s="147"/>
      <c r="M301" s="262"/>
      <c r="N301" s="262"/>
      <c r="O301" s="262"/>
      <c r="P301" s="262"/>
      <c r="Q301" s="262"/>
      <c r="R301" s="262"/>
      <c r="S301" s="262"/>
      <c r="T301" s="262"/>
      <c r="U301" s="262"/>
      <c r="V301" s="262"/>
      <c r="W301" s="262"/>
      <c r="X301" s="175"/>
      <c r="Y301" s="175"/>
      <c r="Z301" s="175"/>
      <c r="AA301" s="175"/>
      <c r="AB301" s="175"/>
      <c r="AC301" s="175"/>
      <c r="AD301" s="175"/>
      <c r="AE301" s="175"/>
      <c r="AF301" s="175"/>
      <c r="AG301" s="179"/>
      <c r="AH301" s="179"/>
      <c r="AI301" s="177"/>
      <c r="AJ301" s="179"/>
      <c r="AK301" s="183"/>
      <c r="AL301" s="177"/>
      <c r="AM301" s="177"/>
      <c r="AN301" s="263"/>
      <c r="AO301" s="175"/>
      <c r="AP301" s="175"/>
      <c r="AQ301" s="307"/>
      <c r="AR301" s="175"/>
      <c r="AS301" s="253"/>
      <c r="AT301" s="253"/>
      <c r="AU301" s="214"/>
      <c r="AV301" s="268"/>
      <c r="AW301" s="175"/>
      <c r="AX301" s="210"/>
      <c r="AY301" s="173"/>
      <c r="AZ301" s="179"/>
      <c r="BA301" s="179"/>
      <c r="BB301" s="175"/>
      <c r="BC301" s="49" t="e">
        <v>#REF!</v>
      </c>
      <c r="BD301" s="175"/>
    </row>
    <row r="302" spans="1:56" s="176" customFormat="1" x14ac:dyDescent="0.45">
      <c r="A302" s="13"/>
      <c r="B302" s="262"/>
      <c r="C302" s="262"/>
      <c r="D302" s="262"/>
      <c r="E302" s="262"/>
      <c r="F302" s="262"/>
      <c r="G302" s="262"/>
      <c r="H302" s="262"/>
      <c r="I302" s="262"/>
      <c r="J302" s="262"/>
      <c r="K302" s="262"/>
      <c r="L302" s="147"/>
      <c r="M302" s="262"/>
      <c r="N302" s="262"/>
      <c r="O302" s="262"/>
      <c r="P302" s="262"/>
      <c r="Q302" s="262"/>
      <c r="R302" s="262"/>
      <c r="S302" s="262"/>
      <c r="T302" s="262"/>
      <c r="U302" s="262"/>
      <c r="V302" s="262"/>
      <c r="W302" s="262"/>
      <c r="X302" s="175"/>
      <c r="Y302" s="175"/>
      <c r="Z302" s="175"/>
      <c r="AA302" s="175"/>
      <c r="AB302" s="175"/>
      <c r="AC302" s="175"/>
      <c r="AD302" s="175"/>
      <c r="AE302" s="175"/>
      <c r="AF302" s="175"/>
      <c r="AG302" s="179"/>
      <c r="AH302" s="179"/>
      <c r="AI302" s="177"/>
      <c r="AJ302" s="179"/>
      <c r="AK302" s="183"/>
      <c r="AL302" s="177"/>
      <c r="AM302" s="177"/>
      <c r="AN302" s="263"/>
      <c r="AO302" s="175"/>
      <c r="AP302" s="175"/>
      <c r="AQ302" s="307"/>
      <c r="AR302" s="175"/>
      <c r="AS302" s="253"/>
      <c r="AT302" s="253"/>
      <c r="AU302" s="214"/>
      <c r="AV302" s="268"/>
      <c r="AW302" s="175"/>
      <c r="AX302" s="210"/>
      <c r="AY302" s="173"/>
      <c r="AZ302" s="179"/>
      <c r="BA302" s="179"/>
      <c r="BB302" s="175"/>
      <c r="BC302" s="49" t="e">
        <v>#REF!</v>
      </c>
      <c r="BD302" s="175"/>
    </row>
    <row r="303" spans="1:56" s="176" customFormat="1" x14ac:dyDescent="0.45">
      <c r="A303" s="13"/>
      <c r="B303" s="262"/>
      <c r="C303" s="262"/>
      <c r="D303" s="262"/>
      <c r="E303" s="262"/>
      <c r="F303" s="262"/>
      <c r="G303" s="262"/>
      <c r="H303" s="262"/>
      <c r="I303" s="262"/>
      <c r="J303" s="262"/>
      <c r="K303" s="262"/>
      <c r="L303" s="147"/>
      <c r="M303" s="262"/>
      <c r="N303" s="262"/>
      <c r="O303" s="262"/>
      <c r="P303" s="262"/>
      <c r="Q303" s="262"/>
      <c r="R303" s="262"/>
      <c r="S303" s="262"/>
      <c r="T303" s="262"/>
      <c r="U303" s="262"/>
      <c r="V303" s="262"/>
      <c r="W303" s="262"/>
      <c r="X303" s="175"/>
      <c r="Y303" s="175"/>
      <c r="Z303" s="175"/>
      <c r="AA303" s="175"/>
      <c r="AB303" s="175"/>
      <c r="AC303" s="175"/>
      <c r="AD303" s="175"/>
      <c r="AE303" s="175"/>
      <c r="AF303" s="175"/>
      <c r="AG303" s="179"/>
      <c r="AH303" s="179"/>
      <c r="AI303" s="177"/>
      <c r="AJ303" s="179"/>
      <c r="AK303" s="183"/>
      <c r="AL303" s="177"/>
      <c r="AM303" s="177"/>
      <c r="AN303" s="263"/>
      <c r="AO303" s="175"/>
      <c r="AP303" s="175"/>
      <c r="AQ303" s="307"/>
      <c r="AR303" s="175"/>
      <c r="AS303" s="253"/>
      <c r="AT303" s="253"/>
      <c r="AU303" s="214"/>
      <c r="AV303" s="268"/>
      <c r="AW303" s="175"/>
      <c r="AX303" s="210"/>
      <c r="AY303" s="173"/>
      <c r="AZ303" s="179"/>
      <c r="BA303" s="179"/>
      <c r="BB303" s="175"/>
      <c r="BC303" s="49" t="e">
        <v>#REF!</v>
      </c>
      <c r="BD303" s="175"/>
    </row>
    <row r="304" spans="1:56" s="176" customFormat="1" x14ac:dyDescent="0.45">
      <c r="A304" s="12"/>
      <c r="B304" s="262"/>
      <c r="C304" s="262"/>
      <c r="D304" s="262"/>
      <c r="E304" s="262"/>
      <c r="F304" s="262"/>
      <c r="G304" s="262"/>
      <c r="H304" s="262"/>
      <c r="I304" s="262"/>
      <c r="J304" s="262"/>
      <c r="K304" s="262"/>
      <c r="L304" s="147"/>
      <c r="M304" s="262"/>
      <c r="N304" s="262"/>
      <c r="O304" s="262"/>
      <c r="P304" s="262"/>
      <c r="Q304" s="262"/>
      <c r="R304" s="262"/>
      <c r="S304" s="262"/>
      <c r="T304" s="262"/>
      <c r="U304" s="262"/>
      <c r="V304" s="262"/>
      <c r="W304" s="262"/>
      <c r="X304" s="175"/>
      <c r="Y304" s="175"/>
      <c r="Z304" s="175"/>
      <c r="AA304" s="175"/>
      <c r="AB304" s="175"/>
      <c r="AC304" s="175"/>
      <c r="AD304" s="175"/>
      <c r="AE304" s="175"/>
      <c r="AF304" s="175"/>
      <c r="AG304" s="179"/>
      <c r="AH304" s="179"/>
      <c r="AI304" s="177"/>
      <c r="AJ304" s="179"/>
      <c r="AK304" s="183"/>
      <c r="AL304" s="177"/>
      <c r="AM304" s="177"/>
      <c r="AN304" s="263"/>
      <c r="AO304" s="175"/>
      <c r="AP304" s="175"/>
      <c r="AQ304" s="307"/>
      <c r="AR304" s="175"/>
      <c r="AS304" s="253"/>
      <c r="AT304" s="253"/>
      <c r="AU304" s="214"/>
      <c r="AV304" s="268"/>
      <c r="AW304" s="175"/>
      <c r="AX304" s="210"/>
      <c r="AY304" s="173"/>
      <c r="AZ304" s="179"/>
      <c r="BA304" s="179"/>
      <c r="BB304" s="175"/>
      <c r="BC304" s="49" t="e">
        <v>#REF!</v>
      </c>
      <c r="BD304" s="175"/>
    </row>
    <row r="305" spans="1:56" s="176" customFormat="1" x14ac:dyDescent="0.45">
      <c r="A305" s="13"/>
      <c r="B305" s="262"/>
      <c r="C305" s="262"/>
      <c r="D305" s="262"/>
      <c r="E305" s="262"/>
      <c r="F305" s="262"/>
      <c r="G305" s="262"/>
      <c r="H305" s="262"/>
      <c r="I305" s="262"/>
      <c r="J305" s="262"/>
      <c r="K305" s="262"/>
      <c r="L305" s="147"/>
      <c r="M305" s="262"/>
      <c r="N305" s="262"/>
      <c r="O305" s="262"/>
      <c r="P305" s="262"/>
      <c r="Q305" s="262"/>
      <c r="R305" s="262"/>
      <c r="S305" s="262"/>
      <c r="T305" s="262"/>
      <c r="U305" s="262"/>
      <c r="V305" s="262"/>
      <c r="W305" s="262"/>
      <c r="X305" s="175"/>
      <c r="Y305" s="175"/>
      <c r="Z305" s="175"/>
      <c r="AA305" s="175"/>
      <c r="AB305" s="175"/>
      <c r="AC305" s="175"/>
      <c r="AD305" s="175"/>
      <c r="AE305" s="175"/>
      <c r="AF305" s="175"/>
      <c r="AG305" s="179"/>
      <c r="AH305" s="179"/>
      <c r="AI305" s="177"/>
      <c r="AJ305" s="179"/>
      <c r="AK305" s="183"/>
      <c r="AL305" s="177"/>
      <c r="AM305" s="177"/>
      <c r="AN305" s="263"/>
      <c r="AO305" s="175"/>
      <c r="AP305" s="175"/>
      <c r="AQ305" s="307"/>
      <c r="AR305" s="175"/>
      <c r="AS305" s="253"/>
      <c r="AT305" s="253"/>
      <c r="AU305" s="214"/>
      <c r="AV305" s="268"/>
      <c r="AW305" s="175"/>
      <c r="AX305" s="210"/>
      <c r="AY305" s="173"/>
      <c r="AZ305" s="179"/>
      <c r="BA305" s="179"/>
      <c r="BB305" s="175"/>
      <c r="BC305" s="49" t="e">
        <v>#REF!</v>
      </c>
      <c r="BD305" s="175"/>
    </row>
    <row r="306" spans="1:56" s="176" customFormat="1" x14ac:dyDescent="0.45">
      <c r="A306" s="13"/>
      <c r="B306" s="262"/>
      <c r="C306" s="262"/>
      <c r="D306" s="262"/>
      <c r="E306" s="262"/>
      <c r="F306" s="262"/>
      <c r="G306" s="262"/>
      <c r="H306" s="262"/>
      <c r="I306" s="262"/>
      <c r="J306" s="262"/>
      <c r="K306" s="262"/>
      <c r="L306" s="147"/>
      <c r="M306" s="262"/>
      <c r="N306" s="262"/>
      <c r="O306" s="262"/>
      <c r="P306" s="262"/>
      <c r="Q306" s="262"/>
      <c r="R306" s="262"/>
      <c r="S306" s="262"/>
      <c r="T306" s="262"/>
      <c r="U306" s="262"/>
      <c r="V306" s="262"/>
      <c r="W306" s="262"/>
      <c r="X306" s="175"/>
      <c r="Y306" s="175"/>
      <c r="Z306" s="175"/>
      <c r="AA306" s="175"/>
      <c r="AB306" s="175"/>
      <c r="AC306" s="175"/>
      <c r="AD306" s="175"/>
      <c r="AE306" s="175"/>
      <c r="AF306" s="175"/>
      <c r="AG306" s="179"/>
      <c r="AH306" s="179"/>
      <c r="AI306" s="177"/>
      <c r="AJ306" s="179"/>
      <c r="AK306" s="183"/>
      <c r="AL306" s="177"/>
      <c r="AM306" s="177"/>
      <c r="AN306" s="263"/>
      <c r="AO306" s="175"/>
      <c r="AP306" s="175"/>
      <c r="AQ306" s="307"/>
      <c r="AR306" s="175"/>
      <c r="AS306" s="253"/>
      <c r="AT306" s="253"/>
      <c r="AU306" s="214"/>
      <c r="AV306" s="268"/>
      <c r="AW306" s="175"/>
      <c r="AX306" s="210"/>
      <c r="AY306" s="173"/>
      <c r="AZ306" s="179"/>
      <c r="BA306" s="179"/>
      <c r="BB306" s="175"/>
      <c r="BC306" s="49" t="e">
        <v>#REF!</v>
      </c>
      <c r="BD306" s="175"/>
    </row>
    <row r="307" spans="1:56" s="176" customFormat="1" x14ac:dyDescent="0.45">
      <c r="A307" s="12"/>
      <c r="B307" s="262"/>
      <c r="C307" s="262"/>
      <c r="D307" s="262"/>
      <c r="E307" s="262"/>
      <c r="F307" s="262"/>
      <c r="G307" s="262"/>
      <c r="H307" s="262"/>
      <c r="I307" s="262"/>
      <c r="J307" s="262"/>
      <c r="K307" s="262"/>
      <c r="L307" s="147"/>
      <c r="M307" s="262"/>
      <c r="N307" s="262"/>
      <c r="O307" s="262"/>
      <c r="P307" s="262"/>
      <c r="Q307" s="262"/>
      <c r="R307" s="262"/>
      <c r="S307" s="262"/>
      <c r="T307" s="262"/>
      <c r="U307" s="262"/>
      <c r="V307" s="262"/>
      <c r="W307" s="262"/>
      <c r="X307" s="175"/>
      <c r="Y307" s="175"/>
      <c r="Z307" s="175"/>
      <c r="AA307" s="175"/>
      <c r="AB307" s="175"/>
      <c r="AC307" s="175"/>
      <c r="AD307" s="175"/>
      <c r="AE307" s="175"/>
      <c r="AF307" s="175"/>
      <c r="AG307" s="179"/>
      <c r="AH307" s="179"/>
      <c r="AI307" s="177"/>
      <c r="AJ307" s="179"/>
      <c r="AK307" s="183"/>
      <c r="AL307" s="177"/>
      <c r="AM307" s="177"/>
      <c r="AN307" s="263"/>
      <c r="AO307" s="175"/>
      <c r="AP307" s="175"/>
      <c r="AQ307" s="307"/>
      <c r="AR307" s="175"/>
      <c r="AS307" s="253"/>
      <c r="AT307" s="253"/>
      <c r="AU307" s="214"/>
      <c r="AV307" s="268"/>
      <c r="AW307" s="175"/>
      <c r="AX307" s="210"/>
      <c r="AY307" s="173"/>
      <c r="AZ307" s="179"/>
      <c r="BA307" s="179"/>
      <c r="BB307" s="175"/>
      <c r="BC307" s="49" t="e">
        <v>#REF!</v>
      </c>
      <c r="BD307" s="175"/>
    </row>
    <row r="308" spans="1:56" s="176" customFormat="1" x14ac:dyDescent="0.45">
      <c r="A308" s="13"/>
      <c r="B308" s="262"/>
      <c r="C308" s="262"/>
      <c r="D308" s="262"/>
      <c r="E308" s="262"/>
      <c r="F308" s="262"/>
      <c r="G308" s="262"/>
      <c r="H308" s="262"/>
      <c r="I308" s="262"/>
      <c r="J308" s="262"/>
      <c r="K308" s="262"/>
      <c r="L308" s="147"/>
      <c r="M308" s="262"/>
      <c r="N308" s="262"/>
      <c r="O308" s="262"/>
      <c r="P308" s="262"/>
      <c r="Q308" s="262"/>
      <c r="R308" s="262"/>
      <c r="S308" s="262"/>
      <c r="T308" s="262"/>
      <c r="U308" s="262"/>
      <c r="V308" s="262"/>
      <c r="W308" s="262"/>
      <c r="X308" s="175"/>
      <c r="Y308" s="175"/>
      <c r="Z308" s="175"/>
      <c r="AA308" s="175"/>
      <c r="AB308" s="175"/>
      <c r="AC308" s="175"/>
      <c r="AD308" s="175"/>
      <c r="AE308" s="175"/>
      <c r="AF308" s="175"/>
      <c r="AG308" s="179"/>
      <c r="AH308" s="179"/>
      <c r="AI308" s="177"/>
      <c r="AJ308" s="179"/>
      <c r="AK308" s="183"/>
      <c r="AL308" s="177"/>
      <c r="AM308" s="177"/>
      <c r="AN308" s="263"/>
      <c r="AO308" s="175"/>
      <c r="AP308" s="175"/>
      <c r="AQ308" s="307"/>
      <c r="AR308" s="175"/>
      <c r="AS308" s="253"/>
      <c r="AT308" s="253"/>
      <c r="AU308" s="214"/>
      <c r="AV308" s="268"/>
      <c r="AW308" s="175"/>
      <c r="AX308" s="210"/>
      <c r="AY308" s="173"/>
      <c r="AZ308" s="179"/>
      <c r="BA308" s="179"/>
      <c r="BB308" s="175"/>
      <c r="BC308" s="49" t="e">
        <v>#REF!</v>
      </c>
      <c r="BD308" s="175"/>
    </row>
    <row r="309" spans="1:56" s="176" customFormat="1" x14ac:dyDescent="0.45">
      <c r="A309" s="13"/>
      <c r="B309" s="262"/>
      <c r="C309" s="262"/>
      <c r="D309" s="262"/>
      <c r="E309" s="262"/>
      <c r="F309" s="262"/>
      <c r="G309" s="262"/>
      <c r="H309" s="262"/>
      <c r="I309" s="262"/>
      <c r="J309" s="262"/>
      <c r="K309" s="262"/>
      <c r="L309" s="147"/>
      <c r="M309" s="262"/>
      <c r="N309" s="262"/>
      <c r="O309" s="262"/>
      <c r="P309" s="262"/>
      <c r="Q309" s="262"/>
      <c r="R309" s="262"/>
      <c r="S309" s="262"/>
      <c r="T309" s="262"/>
      <c r="U309" s="262"/>
      <c r="V309" s="262"/>
      <c r="W309" s="262"/>
      <c r="X309" s="175"/>
      <c r="Y309" s="175"/>
      <c r="Z309" s="175"/>
      <c r="AA309" s="175"/>
      <c r="AB309" s="175"/>
      <c r="AC309" s="175"/>
      <c r="AD309" s="175"/>
      <c r="AE309" s="175"/>
      <c r="AF309" s="175"/>
      <c r="AG309" s="179"/>
      <c r="AH309" s="179"/>
      <c r="AI309" s="177"/>
      <c r="AJ309" s="179"/>
      <c r="AK309" s="183"/>
      <c r="AL309" s="177"/>
      <c r="AM309" s="177"/>
      <c r="AN309" s="263"/>
      <c r="AO309" s="175"/>
      <c r="AP309" s="175"/>
      <c r="AQ309" s="307"/>
      <c r="AR309" s="175"/>
      <c r="AS309" s="253"/>
      <c r="AT309" s="253"/>
      <c r="AU309" s="214"/>
      <c r="AV309" s="268"/>
      <c r="AW309" s="175"/>
      <c r="AX309" s="210"/>
      <c r="AY309" s="173"/>
      <c r="AZ309" s="179"/>
      <c r="BA309" s="179"/>
      <c r="BB309" s="175"/>
      <c r="BC309" s="49" t="e">
        <v>#REF!</v>
      </c>
      <c r="BD309" s="175"/>
    </row>
    <row r="310" spans="1:56" s="176" customFormat="1" x14ac:dyDescent="0.45">
      <c r="A310" s="12"/>
      <c r="B310" s="262"/>
      <c r="C310" s="262"/>
      <c r="D310" s="262"/>
      <c r="E310" s="262"/>
      <c r="F310" s="262"/>
      <c r="G310" s="262"/>
      <c r="H310" s="262"/>
      <c r="I310" s="262"/>
      <c r="J310" s="262"/>
      <c r="K310" s="262"/>
      <c r="L310" s="147"/>
      <c r="M310" s="262"/>
      <c r="N310" s="262"/>
      <c r="O310" s="262"/>
      <c r="P310" s="262"/>
      <c r="Q310" s="262"/>
      <c r="R310" s="262"/>
      <c r="S310" s="262"/>
      <c r="T310" s="262"/>
      <c r="U310" s="262"/>
      <c r="V310" s="262"/>
      <c r="W310" s="262"/>
      <c r="X310" s="175"/>
      <c r="Y310" s="175"/>
      <c r="Z310" s="175"/>
      <c r="AA310" s="175"/>
      <c r="AB310" s="175"/>
      <c r="AC310" s="175"/>
      <c r="AD310" s="175"/>
      <c r="AE310" s="175"/>
      <c r="AF310" s="175"/>
      <c r="AG310" s="179"/>
      <c r="AH310" s="179"/>
      <c r="AI310" s="177"/>
      <c r="AJ310" s="179"/>
      <c r="AK310" s="183"/>
      <c r="AL310" s="177"/>
      <c r="AM310" s="177"/>
      <c r="AN310" s="263"/>
      <c r="AO310" s="175"/>
      <c r="AP310" s="175"/>
      <c r="AQ310" s="307"/>
      <c r="AR310" s="175"/>
      <c r="AS310" s="253"/>
      <c r="AT310" s="253"/>
      <c r="AU310" s="214"/>
      <c r="AV310" s="268"/>
      <c r="AW310" s="175"/>
      <c r="AX310" s="210"/>
      <c r="AY310" s="173"/>
      <c r="AZ310" s="179"/>
      <c r="BA310" s="179"/>
      <c r="BB310" s="175"/>
      <c r="BC310" s="49" t="e">
        <v>#REF!</v>
      </c>
      <c r="BD310" s="175"/>
    </row>
    <row r="311" spans="1:56" s="176" customFormat="1" x14ac:dyDescent="0.45">
      <c r="A311" s="13"/>
      <c r="B311" s="262"/>
      <c r="C311" s="262"/>
      <c r="D311" s="262"/>
      <c r="E311" s="262"/>
      <c r="F311" s="262"/>
      <c r="G311" s="262"/>
      <c r="H311" s="262"/>
      <c r="I311" s="262"/>
      <c r="J311" s="262"/>
      <c r="K311" s="262"/>
      <c r="L311" s="147"/>
      <c r="M311" s="262"/>
      <c r="N311" s="262"/>
      <c r="O311" s="262"/>
      <c r="P311" s="262"/>
      <c r="Q311" s="262"/>
      <c r="R311" s="262"/>
      <c r="S311" s="262"/>
      <c r="T311" s="262"/>
      <c r="U311" s="262"/>
      <c r="V311" s="262"/>
      <c r="W311" s="262"/>
      <c r="X311" s="175"/>
      <c r="Y311" s="175"/>
      <c r="Z311" s="175"/>
      <c r="AA311" s="175"/>
      <c r="AB311" s="175"/>
      <c r="AC311" s="175"/>
      <c r="AD311" s="175"/>
      <c r="AE311" s="175"/>
      <c r="AF311" s="175"/>
      <c r="AG311" s="179"/>
      <c r="AH311" s="179"/>
      <c r="AI311" s="177"/>
      <c r="AJ311" s="179"/>
      <c r="AK311" s="183"/>
      <c r="AL311" s="177"/>
      <c r="AM311" s="177"/>
      <c r="AN311" s="263"/>
      <c r="AO311" s="175"/>
      <c r="AP311" s="175"/>
      <c r="AQ311" s="307"/>
      <c r="AR311" s="175"/>
      <c r="AS311" s="253"/>
      <c r="AT311" s="253"/>
      <c r="AU311" s="214"/>
      <c r="AV311" s="268"/>
      <c r="AW311" s="175"/>
      <c r="AX311" s="210"/>
      <c r="AY311" s="173"/>
      <c r="AZ311" s="179"/>
      <c r="BA311" s="179"/>
      <c r="BB311" s="175"/>
      <c r="BC311" s="49" t="e">
        <v>#REF!</v>
      </c>
      <c r="BD311" s="175"/>
    </row>
    <row r="312" spans="1:56" s="176" customFormat="1" x14ac:dyDescent="0.45">
      <c r="A312" s="13"/>
      <c r="B312" s="262"/>
      <c r="C312" s="262"/>
      <c r="D312" s="262"/>
      <c r="E312" s="262"/>
      <c r="F312" s="262"/>
      <c r="G312" s="262"/>
      <c r="H312" s="262"/>
      <c r="I312" s="262"/>
      <c r="J312" s="262"/>
      <c r="K312" s="262"/>
      <c r="L312" s="147"/>
      <c r="M312" s="262"/>
      <c r="N312" s="262"/>
      <c r="O312" s="262"/>
      <c r="P312" s="262"/>
      <c r="Q312" s="262"/>
      <c r="R312" s="262"/>
      <c r="S312" s="262"/>
      <c r="T312" s="262"/>
      <c r="U312" s="262"/>
      <c r="V312" s="262"/>
      <c r="W312" s="262"/>
      <c r="X312" s="175"/>
      <c r="Y312" s="175"/>
      <c r="Z312" s="175"/>
      <c r="AA312" s="175"/>
      <c r="AB312" s="175"/>
      <c r="AC312" s="175"/>
      <c r="AD312" s="175"/>
      <c r="AE312" s="175"/>
      <c r="AF312" s="175"/>
      <c r="AG312" s="179"/>
      <c r="AH312" s="179"/>
      <c r="AI312" s="177"/>
      <c r="AJ312" s="179"/>
      <c r="AK312" s="183"/>
      <c r="AL312" s="177"/>
      <c r="AM312" s="177"/>
      <c r="AN312" s="263"/>
      <c r="AO312" s="175"/>
      <c r="AP312" s="175"/>
      <c r="AQ312" s="307"/>
      <c r="AR312" s="175"/>
      <c r="AS312" s="253"/>
      <c r="AT312" s="253"/>
      <c r="AU312" s="214"/>
      <c r="AV312" s="268"/>
      <c r="AW312" s="175"/>
      <c r="AX312" s="210"/>
      <c r="AY312" s="173"/>
      <c r="AZ312" s="179"/>
      <c r="BA312" s="179"/>
      <c r="BB312" s="175"/>
      <c r="BC312" s="49" t="e">
        <v>#REF!</v>
      </c>
      <c r="BD312" s="175"/>
    </row>
    <row r="313" spans="1:56" s="176" customFormat="1" x14ac:dyDescent="0.45">
      <c r="A313" s="12"/>
      <c r="B313" s="262"/>
      <c r="C313" s="262"/>
      <c r="D313" s="262"/>
      <c r="E313" s="262"/>
      <c r="F313" s="262"/>
      <c r="G313" s="262"/>
      <c r="H313" s="262"/>
      <c r="I313" s="262"/>
      <c r="J313" s="262"/>
      <c r="K313" s="262"/>
      <c r="L313" s="147"/>
      <c r="M313" s="262"/>
      <c r="N313" s="262"/>
      <c r="O313" s="262"/>
      <c r="P313" s="262"/>
      <c r="Q313" s="262"/>
      <c r="R313" s="262"/>
      <c r="S313" s="262"/>
      <c r="T313" s="262"/>
      <c r="U313" s="262"/>
      <c r="V313" s="262"/>
      <c r="W313" s="262"/>
      <c r="X313" s="175"/>
      <c r="Y313" s="175"/>
      <c r="Z313" s="175"/>
      <c r="AA313" s="175"/>
      <c r="AB313" s="175"/>
      <c r="AC313" s="175"/>
      <c r="AD313" s="175"/>
      <c r="AE313" s="175"/>
      <c r="AF313" s="175"/>
      <c r="AG313" s="179"/>
      <c r="AH313" s="179"/>
      <c r="AI313" s="177"/>
      <c r="AJ313" s="179"/>
      <c r="AK313" s="183"/>
      <c r="AL313" s="177"/>
      <c r="AM313" s="177"/>
      <c r="AN313" s="263"/>
      <c r="AO313" s="175"/>
      <c r="AP313" s="175"/>
      <c r="AQ313" s="307"/>
      <c r="AR313" s="175"/>
      <c r="AS313" s="253"/>
      <c r="AT313" s="253"/>
      <c r="AU313" s="214"/>
      <c r="AV313" s="268"/>
      <c r="AW313" s="175"/>
      <c r="AX313" s="210"/>
      <c r="AY313" s="173"/>
      <c r="AZ313" s="179"/>
      <c r="BA313" s="179"/>
      <c r="BB313" s="175"/>
      <c r="BC313" s="49" t="e">
        <v>#REF!</v>
      </c>
      <c r="BD313" s="175"/>
    </row>
    <row r="314" spans="1:56" s="176" customFormat="1" x14ac:dyDescent="0.45">
      <c r="A314" s="13"/>
      <c r="B314" s="262"/>
      <c r="C314" s="262"/>
      <c r="D314" s="262"/>
      <c r="E314" s="262"/>
      <c r="F314" s="262"/>
      <c r="G314" s="262"/>
      <c r="H314" s="262"/>
      <c r="I314" s="262"/>
      <c r="J314" s="262"/>
      <c r="K314" s="262"/>
      <c r="L314" s="147"/>
      <c r="M314" s="262"/>
      <c r="N314" s="262"/>
      <c r="O314" s="262"/>
      <c r="P314" s="262"/>
      <c r="Q314" s="262"/>
      <c r="R314" s="262"/>
      <c r="S314" s="262"/>
      <c r="T314" s="262"/>
      <c r="U314" s="262"/>
      <c r="V314" s="262"/>
      <c r="W314" s="262"/>
      <c r="X314" s="175"/>
      <c r="Y314" s="175"/>
      <c r="Z314" s="175"/>
      <c r="AA314" s="175"/>
      <c r="AB314" s="175"/>
      <c r="AC314" s="175"/>
      <c r="AD314" s="175"/>
      <c r="AE314" s="175"/>
      <c r="AF314" s="175"/>
      <c r="AG314" s="179"/>
      <c r="AH314" s="179"/>
      <c r="AI314" s="177"/>
      <c r="AJ314" s="179"/>
      <c r="AK314" s="183"/>
      <c r="AL314" s="177"/>
      <c r="AM314" s="177"/>
      <c r="AN314" s="263"/>
      <c r="AO314" s="175"/>
      <c r="AP314" s="175"/>
      <c r="AQ314" s="307"/>
      <c r="AR314" s="175"/>
      <c r="AS314" s="253"/>
      <c r="AT314" s="253"/>
      <c r="AU314" s="214"/>
      <c r="AV314" s="268"/>
      <c r="AW314" s="175"/>
      <c r="AX314" s="210"/>
      <c r="AY314" s="173"/>
      <c r="AZ314" s="179"/>
      <c r="BA314" s="179"/>
      <c r="BB314" s="175"/>
      <c r="BC314" s="49" t="e">
        <v>#REF!</v>
      </c>
      <c r="BD314" s="175"/>
    </row>
    <row r="315" spans="1:56" s="176" customFormat="1" x14ac:dyDescent="0.45">
      <c r="A315" s="13"/>
      <c r="B315" s="262"/>
      <c r="C315" s="262"/>
      <c r="D315" s="262"/>
      <c r="E315" s="262"/>
      <c r="F315" s="262"/>
      <c r="G315" s="262"/>
      <c r="H315" s="262"/>
      <c r="I315" s="262"/>
      <c r="J315" s="262"/>
      <c r="K315" s="262"/>
      <c r="L315" s="147"/>
      <c r="M315" s="262"/>
      <c r="N315" s="262"/>
      <c r="O315" s="262"/>
      <c r="P315" s="262"/>
      <c r="Q315" s="262"/>
      <c r="R315" s="262"/>
      <c r="S315" s="262"/>
      <c r="T315" s="262"/>
      <c r="U315" s="262"/>
      <c r="V315" s="262"/>
      <c r="W315" s="262"/>
      <c r="X315" s="175"/>
      <c r="Y315" s="175"/>
      <c r="Z315" s="175"/>
      <c r="AA315" s="175"/>
      <c r="AB315" s="175"/>
      <c r="AC315" s="175"/>
      <c r="AD315" s="175"/>
      <c r="AE315" s="175"/>
      <c r="AF315" s="175"/>
      <c r="AG315" s="179"/>
      <c r="AH315" s="179"/>
      <c r="AI315" s="177"/>
      <c r="AJ315" s="179"/>
      <c r="AK315" s="183"/>
      <c r="AL315" s="177"/>
      <c r="AM315" s="177"/>
      <c r="AN315" s="263"/>
      <c r="AO315" s="175"/>
      <c r="AP315" s="175"/>
      <c r="AQ315" s="307"/>
      <c r="AR315" s="175"/>
      <c r="AS315" s="253"/>
      <c r="AT315" s="253"/>
      <c r="AU315" s="214"/>
      <c r="AV315" s="268"/>
      <c r="AW315" s="175"/>
      <c r="AX315" s="210"/>
      <c r="AY315" s="173"/>
      <c r="AZ315" s="179"/>
      <c r="BA315" s="179"/>
      <c r="BB315" s="175"/>
      <c r="BC315" s="49" t="e">
        <v>#REF!</v>
      </c>
      <c r="BD315" s="175"/>
    </row>
    <row r="316" spans="1:56" s="176" customFormat="1" x14ac:dyDescent="0.45">
      <c r="A316" s="12"/>
      <c r="B316" s="262"/>
      <c r="C316" s="262"/>
      <c r="D316" s="262"/>
      <c r="E316" s="262"/>
      <c r="F316" s="262"/>
      <c r="G316" s="262"/>
      <c r="H316" s="262"/>
      <c r="I316" s="262"/>
      <c r="J316" s="262"/>
      <c r="K316" s="262"/>
      <c r="L316" s="147"/>
      <c r="M316" s="262"/>
      <c r="N316" s="262"/>
      <c r="O316" s="262"/>
      <c r="P316" s="262"/>
      <c r="Q316" s="262"/>
      <c r="R316" s="262"/>
      <c r="S316" s="262"/>
      <c r="T316" s="262"/>
      <c r="U316" s="262"/>
      <c r="V316" s="262"/>
      <c r="W316" s="262"/>
      <c r="X316" s="175"/>
      <c r="Y316" s="175"/>
      <c r="Z316" s="175"/>
      <c r="AA316" s="175"/>
      <c r="AB316" s="175"/>
      <c r="AC316" s="175"/>
      <c r="AD316" s="175"/>
      <c r="AE316" s="175"/>
      <c r="AF316" s="175"/>
      <c r="AG316" s="179"/>
      <c r="AH316" s="179"/>
      <c r="AI316" s="177"/>
      <c r="AJ316" s="179"/>
      <c r="AK316" s="183"/>
      <c r="AL316" s="177"/>
      <c r="AM316" s="177"/>
      <c r="AN316" s="263"/>
      <c r="AO316" s="175"/>
      <c r="AP316" s="175"/>
      <c r="AQ316" s="307"/>
      <c r="AR316" s="175"/>
      <c r="AS316" s="253"/>
      <c r="AT316" s="253"/>
      <c r="AU316" s="214"/>
      <c r="AV316" s="268"/>
      <c r="AW316" s="175"/>
      <c r="AX316" s="210"/>
      <c r="AY316" s="173"/>
      <c r="AZ316" s="179"/>
      <c r="BA316" s="179"/>
      <c r="BB316" s="175"/>
      <c r="BC316" s="49" t="e">
        <v>#REF!</v>
      </c>
      <c r="BD316" s="175"/>
    </row>
    <row r="317" spans="1:56" s="176" customFormat="1" x14ac:dyDescent="0.45">
      <c r="A317" s="13"/>
      <c r="B317" s="262"/>
      <c r="C317" s="262"/>
      <c r="D317" s="262"/>
      <c r="E317" s="262"/>
      <c r="F317" s="262"/>
      <c r="G317" s="262"/>
      <c r="H317" s="262"/>
      <c r="I317" s="262"/>
      <c r="J317" s="262"/>
      <c r="K317" s="262"/>
      <c r="L317" s="147"/>
      <c r="M317" s="262"/>
      <c r="N317" s="262"/>
      <c r="O317" s="262"/>
      <c r="P317" s="262"/>
      <c r="Q317" s="262"/>
      <c r="R317" s="262"/>
      <c r="S317" s="262"/>
      <c r="T317" s="262"/>
      <c r="U317" s="262"/>
      <c r="V317" s="262"/>
      <c r="W317" s="262"/>
      <c r="X317" s="175"/>
      <c r="Y317" s="175"/>
      <c r="Z317" s="175"/>
      <c r="AA317" s="175"/>
      <c r="AB317" s="175"/>
      <c r="AC317" s="175"/>
      <c r="AD317" s="175"/>
      <c r="AE317" s="175"/>
      <c r="AF317" s="175"/>
      <c r="AG317" s="179"/>
      <c r="AH317" s="179"/>
      <c r="AI317" s="177"/>
      <c r="AJ317" s="179"/>
      <c r="AK317" s="183"/>
      <c r="AL317" s="177"/>
      <c r="AM317" s="177"/>
      <c r="AN317" s="263"/>
      <c r="AO317" s="175"/>
      <c r="AP317" s="175"/>
      <c r="AQ317" s="307"/>
      <c r="AR317" s="175"/>
      <c r="AS317" s="253"/>
      <c r="AT317" s="253"/>
      <c r="AU317" s="214"/>
      <c r="AV317" s="268"/>
      <c r="AW317" s="175"/>
      <c r="AX317" s="210"/>
      <c r="AY317" s="173"/>
      <c r="AZ317" s="179"/>
      <c r="BA317" s="179"/>
      <c r="BB317" s="175"/>
      <c r="BC317" s="49" t="e">
        <v>#REF!</v>
      </c>
      <c r="BD317" s="175"/>
    </row>
    <row r="318" spans="1:56" s="176" customFormat="1" x14ac:dyDescent="0.45">
      <c r="A318" s="13"/>
      <c r="B318" s="262"/>
      <c r="C318" s="262"/>
      <c r="D318" s="262"/>
      <c r="E318" s="262"/>
      <c r="F318" s="262"/>
      <c r="G318" s="262"/>
      <c r="H318" s="262"/>
      <c r="I318" s="262"/>
      <c r="J318" s="262"/>
      <c r="K318" s="262"/>
      <c r="L318" s="147"/>
      <c r="M318" s="262"/>
      <c r="N318" s="262"/>
      <c r="O318" s="262"/>
      <c r="P318" s="262"/>
      <c r="Q318" s="262"/>
      <c r="R318" s="262"/>
      <c r="S318" s="262"/>
      <c r="T318" s="262"/>
      <c r="U318" s="262"/>
      <c r="V318" s="262"/>
      <c r="W318" s="262"/>
      <c r="X318" s="175"/>
      <c r="Y318" s="175"/>
      <c r="Z318" s="175"/>
      <c r="AA318" s="175"/>
      <c r="AB318" s="175"/>
      <c r="AC318" s="175"/>
      <c r="AD318" s="175"/>
      <c r="AE318" s="175"/>
      <c r="AF318" s="175"/>
      <c r="AG318" s="179"/>
      <c r="AH318" s="179"/>
      <c r="AI318" s="177"/>
      <c r="AJ318" s="179"/>
      <c r="AK318" s="183"/>
      <c r="AL318" s="177"/>
      <c r="AM318" s="177"/>
      <c r="AN318" s="263"/>
      <c r="AO318" s="175"/>
      <c r="AP318" s="175"/>
      <c r="AQ318" s="307"/>
      <c r="AR318" s="175"/>
      <c r="AS318" s="253"/>
      <c r="AT318" s="253"/>
      <c r="AU318" s="214"/>
      <c r="AV318" s="268"/>
      <c r="AW318" s="175"/>
      <c r="AX318" s="210"/>
      <c r="AY318" s="173"/>
      <c r="AZ318" s="179"/>
      <c r="BA318" s="179"/>
      <c r="BB318" s="175"/>
      <c r="BC318" s="49" t="e">
        <v>#REF!</v>
      </c>
      <c r="BD318" s="175"/>
    </row>
    <row r="319" spans="1:56" s="176" customFormat="1" x14ac:dyDescent="0.45">
      <c r="A319" s="12"/>
      <c r="B319" s="262"/>
      <c r="C319" s="262"/>
      <c r="D319" s="262"/>
      <c r="E319" s="262"/>
      <c r="F319" s="262"/>
      <c r="G319" s="262"/>
      <c r="H319" s="262"/>
      <c r="I319" s="262"/>
      <c r="J319" s="262"/>
      <c r="K319" s="262"/>
      <c r="L319" s="147"/>
      <c r="M319" s="262"/>
      <c r="N319" s="262"/>
      <c r="O319" s="262"/>
      <c r="P319" s="262"/>
      <c r="Q319" s="262"/>
      <c r="R319" s="262"/>
      <c r="S319" s="262"/>
      <c r="T319" s="262"/>
      <c r="U319" s="262"/>
      <c r="V319" s="262"/>
      <c r="W319" s="262"/>
      <c r="X319" s="175"/>
      <c r="Y319" s="175"/>
      <c r="Z319" s="175"/>
      <c r="AA319" s="175"/>
      <c r="AB319" s="175"/>
      <c r="AC319" s="175"/>
      <c r="AD319" s="175"/>
      <c r="AE319" s="175"/>
      <c r="AF319" s="175"/>
      <c r="AG319" s="179"/>
      <c r="AH319" s="179"/>
      <c r="AI319" s="177"/>
      <c r="AJ319" s="179"/>
      <c r="AK319" s="183"/>
      <c r="AL319" s="177"/>
      <c r="AM319" s="177"/>
      <c r="AN319" s="263"/>
      <c r="AO319" s="175"/>
      <c r="AP319" s="175"/>
      <c r="AQ319" s="307"/>
      <c r="AR319" s="175"/>
      <c r="AS319" s="253"/>
      <c r="AT319" s="253"/>
      <c r="AU319" s="214"/>
      <c r="AV319" s="268"/>
      <c r="AW319" s="175"/>
      <c r="AX319" s="210"/>
      <c r="AY319" s="173"/>
      <c r="AZ319" s="179"/>
      <c r="BA319" s="179"/>
      <c r="BB319" s="175"/>
      <c r="BC319" s="49" t="e">
        <v>#REF!</v>
      </c>
      <c r="BD319" s="175"/>
    </row>
    <row r="320" spans="1:56" s="176" customFormat="1" x14ac:dyDescent="0.45">
      <c r="A320" s="13"/>
      <c r="B320" s="262"/>
      <c r="C320" s="262"/>
      <c r="D320" s="262"/>
      <c r="E320" s="262"/>
      <c r="F320" s="262"/>
      <c r="G320" s="262"/>
      <c r="H320" s="262"/>
      <c r="I320" s="262"/>
      <c r="J320" s="262"/>
      <c r="K320" s="262"/>
      <c r="L320" s="147"/>
      <c r="M320" s="262"/>
      <c r="N320" s="262"/>
      <c r="O320" s="262"/>
      <c r="P320" s="262"/>
      <c r="Q320" s="262"/>
      <c r="R320" s="262"/>
      <c r="S320" s="262"/>
      <c r="T320" s="262"/>
      <c r="U320" s="262"/>
      <c r="V320" s="262"/>
      <c r="W320" s="262"/>
      <c r="X320" s="175"/>
      <c r="Y320" s="175"/>
      <c r="Z320" s="175"/>
      <c r="AA320" s="175"/>
      <c r="AB320" s="175"/>
      <c r="AC320" s="175"/>
      <c r="AD320" s="175"/>
      <c r="AE320" s="175"/>
      <c r="AF320" s="175"/>
      <c r="AG320" s="179"/>
      <c r="AH320" s="179"/>
      <c r="AI320" s="177"/>
      <c r="AJ320" s="179"/>
      <c r="AK320" s="183"/>
      <c r="AL320" s="177"/>
      <c r="AM320" s="177"/>
      <c r="AN320" s="263"/>
      <c r="AO320" s="175"/>
      <c r="AP320" s="175"/>
      <c r="AQ320" s="307"/>
      <c r="AR320" s="175"/>
      <c r="AS320" s="253"/>
      <c r="AT320" s="253"/>
      <c r="AU320" s="214"/>
      <c r="AV320" s="268"/>
      <c r="AW320" s="175"/>
      <c r="AX320" s="210"/>
      <c r="AY320" s="173"/>
      <c r="AZ320" s="179"/>
      <c r="BA320" s="179"/>
      <c r="BB320" s="175"/>
      <c r="BC320" s="49" t="e">
        <v>#REF!</v>
      </c>
      <c r="BD320" s="175"/>
    </row>
    <row r="321" spans="1:56" s="176" customFormat="1" x14ac:dyDescent="0.45">
      <c r="A321" s="13"/>
      <c r="B321" s="262"/>
      <c r="C321" s="262"/>
      <c r="D321" s="262"/>
      <c r="E321" s="262"/>
      <c r="F321" s="262"/>
      <c r="G321" s="262"/>
      <c r="H321" s="262"/>
      <c r="I321" s="262"/>
      <c r="J321" s="262"/>
      <c r="K321" s="262"/>
      <c r="L321" s="147"/>
      <c r="M321" s="262"/>
      <c r="N321" s="262"/>
      <c r="O321" s="262"/>
      <c r="P321" s="262"/>
      <c r="Q321" s="262"/>
      <c r="R321" s="262"/>
      <c r="S321" s="262"/>
      <c r="T321" s="262"/>
      <c r="U321" s="262"/>
      <c r="V321" s="262"/>
      <c r="W321" s="262"/>
      <c r="X321" s="175"/>
      <c r="Y321" s="175"/>
      <c r="Z321" s="175"/>
      <c r="AA321" s="175"/>
      <c r="AB321" s="175"/>
      <c r="AC321" s="175"/>
      <c r="AD321" s="175"/>
      <c r="AE321" s="175"/>
      <c r="AF321" s="175"/>
      <c r="AG321" s="179"/>
      <c r="AH321" s="179"/>
      <c r="AI321" s="177"/>
      <c r="AJ321" s="179"/>
      <c r="AK321" s="183"/>
      <c r="AL321" s="177"/>
      <c r="AM321" s="177"/>
      <c r="AN321" s="263"/>
      <c r="AO321" s="175"/>
      <c r="AP321" s="175"/>
      <c r="AQ321" s="307"/>
      <c r="AR321" s="175"/>
      <c r="AS321" s="253"/>
      <c r="AT321" s="253"/>
      <c r="AU321" s="214"/>
      <c r="AV321" s="268"/>
      <c r="AW321" s="175"/>
      <c r="AX321" s="210"/>
      <c r="AY321" s="173"/>
      <c r="AZ321" s="179"/>
      <c r="BA321" s="179"/>
      <c r="BB321" s="175"/>
      <c r="BC321" s="49" t="e">
        <v>#REF!</v>
      </c>
      <c r="BD321" s="175"/>
    </row>
    <row r="322" spans="1:56" s="176" customFormat="1" x14ac:dyDescent="0.45">
      <c r="A322" s="12"/>
      <c r="B322" s="262"/>
      <c r="C322" s="262"/>
      <c r="D322" s="262"/>
      <c r="E322" s="262"/>
      <c r="F322" s="262"/>
      <c r="G322" s="262"/>
      <c r="H322" s="262"/>
      <c r="I322" s="262"/>
      <c r="J322" s="262"/>
      <c r="K322" s="262"/>
      <c r="L322" s="147"/>
      <c r="M322" s="262"/>
      <c r="N322" s="262"/>
      <c r="O322" s="262"/>
      <c r="P322" s="262"/>
      <c r="Q322" s="262"/>
      <c r="R322" s="262"/>
      <c r="S322" s="262"/>
      <c r="T322" s="262"/>
      <c r="U322" s="262"/>
      <c r="V322" s="262"/>
      <c r="W322" s="262"/>
      <c r="X322" s="175"/>
      <c r="Y322" s="175"/>
      <c r="Z322" s="175"/>
      <c r="AA322" s="175"/>
      <c r="AB322" s="175"/>
      <c r="AC322" s="175"/>
      <c r="AD322" s="175"/>
      <c r="AE322" s="175"/>
      <c r="AF322" s="175"/>
      <c r="AG322" s="179"/>
      <c r="AH322" s="179"/>
      <c r="AI322" s="177"/>
      <c r="AJ322" s="179"/>
      <c r="AK322" s="183"/>
      <c r="AL322" s="177"/>
      <c r="AM322" s="177"/>
      <c r="AN322" s="263"/>
      <c r="AO322" s="175"/>
      <c r="AP322" s="175"/>
      <c r="AQ322" s="307"/>
      <c r="AR322" s="175"/>
      <c r="AS322" s="253"/>
      <c r="AT322" s="253"/>
      <c r="AU322" s="214"/>
      <c r="AV322" s="268"/>
      <c r="AW322" s="175"/>
      <c r="AX322" s="210"/>
      <c r="AY322" s="173"/>
      <c r="AZ322" s="179"/>
      <c r="BA322" s="179"/>
      <c r="BB322" s="175"/>
      <c r="BC322" s="49" t="e">
        <v>#REF!</v>
      </c>
      <c r="BD322" s="175"/>
    </row>
    <row r="323" spans="1:56" s="176" customFormat="1" x14ac:dyDescent="0.45">
      <c r="A323" s="13"/>
      <c r="B323" s="262"/>
      <c r="C323" s="262"/>
      <c r="D323" s="262"/>
      <c r="E323" s="262"/>
      <c r="F323" s="262"/>
      <c r="G323" s="262"/>
      <c r="H323" s="262"/>
      <c r="I323" s="262"/>
      <c r="J323" s="262"/>
      <c r="K323" s="262"/>
      <c r="L323" s="147"/>
      <c r="M323" s="262"/>
      <c r="N323" s="262"/>
      <c r="O323" s="262"/>
      <c r="P323" s="262"/>
      <c r="Q323" s="262"/>
      <c r="R323" s="262"/>
      <c r="S323" s="262"/>
      <c r="T323" s="262"/>
      <c r="U323" s="262"/>
      <c r="V323" s="262"/>
      <c r="W323" s="262"/>
      <c r="X323" s="175"/>
      <c r="Y323" s="175"/>
      <c r="Z323" s="175"/>
      <c r="AA323" s="175"/>
      <c r="AB323" s="175"/>
      <c r="AC323" s="175"/>
      <c r="AD323" s="175"/>
      <c r="AE323" s="175"/>
      <c r="AF323" s="175"/>
      <c r="AG323" s="179"/>
      <c r="AH323" s="179"/>
      <c r="AI323" s="177"/>
      <c r="AJ323" s="179"/>
      <c r="AK323" s="183"/>
      <c r="AL323" s="177"/>
      <c r="AM323" s="177"/>
      <c r="AN323" s="263"/>
      <c r="AO323" s="175"/>
      <c r="AP323" s="175"/>
      <c r="AQ323" s="307"/>
      <c r="AR323" s="175"/>
      <c r="AS323" s="253"/>
      <c r="AT323" s="253"/>
      <c r="AU323" s="214"/>
      <c r="AV323" s="268"/>
      <c r="AW323" s="175"/>
      <c r="AX323" s="210"/>
      <c r="AY323" s="173"/>
      <c r="AZ323" s="179"/>
      <c r="BA323" s="179"/>
      <c r="BB323" s="175"/>
      <c r="BC323" s="49" t="e">
        <v>#REF!</v>
      </c>
      <c r="BD323" s="175"/>
    </row>
    <row r="324" spans="1:56" s="176" customFormat="1" x14ac:dyDescent="0.45">
      <c r="A324" s="13"/>
      <c r="B324" s="262"/>
      <c r="C324" s="262"/>
      <c r="D324" s="262"/>
      <c r="E324" s="262"/>
      <c r="F324" s="262"/>
      <c r="G324" s="262"/>
      <c r="H324" s="262"/>
      <c r="I324" s="262"/>
      <c r="J324" s="262"/>
      <c r="K324" s="262"/>
      <c r="L324" s="147"/>
      <c r="M324" s="262"/>
      <c r="N324" s="262"/>
      <c r="O324" s="262"/>
      <c r="P324" s="262"/>
      <c r="Q324" s="262"/>
      <c r="R324" s="262"/>
      <c r="S324" s="262"/>
      <c r="T324" s="262"/>
      <c r="U324" s="262"/>
      <c r="V324" s="262"/>
      <c r="W324" s="262"/>
      <c r="X324" s="175"/>
      <c r="Y324" s="175"/>
      <c r="Z324" s="175"/>
      <c r="AA324" s="175"/>
      <c r="AB324" s="175"/>
      <c r="AC324" s="175"/>
      <c r="AD324" s="175"/>
      <c r="AE324" s="175"/>
      <c r="AF324" s="175"/>
      <c r="AG324" s="179"/>
      <c r="AH324" s="179"/>
      <c r="AI324" s="177"/>
      <c r="AJ324" s="179"/>
      <c r="AK324" s="183"/>
      <c r="AL324" s="177"/>
      <c r="AM324" s="177"/>
      <c r="AN324" s="263"/>
      <c r="AO324" s="175"/>
      <c r="AP324" s="175"/>
      <c r="AQ324" s="307"/>
      <c r="AR324" s="175"/>
      <c r="AS324" s="253"/>
      <c r="AT324" s="253"/>
      <c r="AU324" s="214"/>
      <c r="AV324" s="268"/>
      <c r="AW324" s="175"/>
      <c r="AX324" s="210"/>
      <c r="AY324" s="173"/>
      <c r="AZ324" s="179"/>
      <c r="BA324" s="179"/>
      <c r="BB324" s="175"/>
      <c r="BC324" s="49" t="e">
        <v>#REF!</v>
      </c>
      <c r="BD324" s="175"/>
    </row>
    <row r="325" spans="1:56" s="176" customFormat="1" x14ac:dyDescent="0.45">
      <c r="A325" s="13"/>
      <c r="B325" s="262"/>
      <c r="C325" s="262"/>
      <c r="D325" s="262"/>
      <c r="E325" s="262"/>
      <c r="F325" s="262"/>
      <c r="G325" s="262"/>
      <c r="H325" s="262"/>
      <c r="I325" s="262"/>
      <c r="J325" s="262"/>
      <c r="K325" s="262"/>
      <c r="L325" s="147"/>
      <c r="M325" s="262"/>
      <c r="N325" s="262"/>
      <c r="O325" s="262"/>
      <c r="P325" s="262"/>
      <c r="Q325" s="262"/>
      <c r="R325" s="262"/>
      <c r="S325" s="262"/>
      <c r="T325" s="262"/>
      <c r="U325" s="262"/>
      <c r="V325" s="262"/>
      <c r="W325" s="262"/>
      <c r="X325" s="175"/>
      <c r="Y325" s="175"/>
      <c r="Z325" s="175"/>
      <c r="AA325" s="175"/>
      <c r="AB325" s="175"/>
      <c r="AC325" s="175"/>
      <c r="AD325" s="175"/>
      <c r="AE325" s="175"/>
      <c r="AF325" s="175"/>
      <c r="AG325" s="179"/>
      <c r="AH325" s="179"/>
      <c r="AI325" s="177"/>
      <c r="AJ325" s="179"/>
      <c r="AK325" s="183"/>
      <c r="AL325" s="177"/>
      <c r="AM325" s="177"/>
      <c r="AN325" s="263"/>
      <c r="AO325" s="175"/>
      <c r="AP325" s="175"/>
      <c r="AQ325" s="307"/>
      <c r="AR325" s="175"/>
      <c r="AS325" s="253"/>
      <c r="AT325" s="253"/>
      <c r="AU325" s="214"/>
      <c r="AV325" s="268"/>
      <c r="AW325" s="175"/>
      <c r="AX325" s="210"/>
      <c r="AY325" s="173"/>
      <c r="AZ325" s="179"/>
      <c r="BA325" s="179"/>
      <c r="BB325" s="175"/>
      <c r="BC325" s="49" t="e">
        <v>#REF!</v>
      </c>
      <c r="BD325" s="175"/>
    </row>
    <row r="326" spans="1:56" s="176" customFormat="1" x14ac:dyDescent="0.45">
      <c r="A326" s="13"/>
      <c r="B326" s="262"/>
      <c r="C326" s="262"/>
      <c r="D326" s="262"/>
      <c r="E326" s="262"/>
      <c r="F326" s="262"/>
      <c r="G326" s="262"/>
      <c r="H326" s="262"/>
      <c r="I326" s="262"/>
      <c r="J326" s="262"/>
      <c r="K326" s="262"/>
      <c r="L326" s="147"/>
      <c r="M326" s="262"/>
      <c r="N326" s="262"/>
      <c r="O326" s="262"/>
      <c r="P326" s="262"/>
      <c r="Q326" s="262"/>
      <c r="R326" s="262"/>
      <c r="S326" s="262"/>
      <c r="T326" s="262"/>
      <c r="U326" s="262"/>
      <c r="V326" s="262"/>
      <c r="W326" s="262"/>
      <c r="X326" s="175"/>
      <c r="Y326" s="175"/>
      <c r="Z326" s="175"/>
      <c r="AA326" s="175"/>
      <c r="AB326" s="175"/>
      <c r="AC326" s="175"/>
      <c r="AD326" s="175"/>
      <c r="AE326" s="175"/>
      <c r="AF326" s="175"/>
      <c r="AG326" s="179"/>
      <c r="AH326" s="179"/>
      <c r="AI326" s="177"/>
      <c r="AJ326" s="179"/>
      <c r="AK326" s="183"/>
      <c r="AL326" s="177"/>
      <c r="AM326" s="177"/>
      <c r="AN326" s="263"/>
      <c r="AO326" s="175"/>
      <c r="AP326" s="175"/>
      <c r="AQ326" s="307"/>
      <c r="AR326" s="175"/>
      <c r="AS326" s="253"/>
      <c r="AT326" s="253"/>
      <c r="AU326" s="214"/>
      <c r="AV326" s="268"/>
      <c r="AW326" s="175"/>
      <c r="AX326" s="210"/>
      <c r="AY326" s="173"/>
      <c r="AZ326" s="179"/>
      <c r="BA326" s="179"/>
      <c r="BB326" s="175"/>
      <c r="BC326" s="49" t="e">
        <v>#REF!</v>
      </c>
      <c r="BD326" s="175"/>
    </row>
    <row r="327" spans="1:56" s="176" customFormat="1" x14ac:dyDescent="0.45">
      <c r="A327" s="12"/>
      <c r="B327" s="262"/>
      <c r="C327" s="262"/>
      <c r="D327" s="262"/>
      <c r="E327" s="262"/>
      <c r="F327" s="262"/>
      <c r="G327" s="262"/>
      <c r="H327" s="262"/>
      <c r="I327" s="262"/>
      <c r="J327" s="262"/>
      <c r="K327" s="262"/>
      <c r="L327" s="147"/>
      <c r="M327" s="262"/>
      <c r="N327" s="262"/>
      <c r="O327" s="262"/>
      <c r="P327" s="262"/>
      <c r="Q327" s="262"/>
      <c r="R327" s="262"/>
      <c r="S327" s="262"/>
      <c r="T327" s="262"/>
      <c r="U327" s="262"/>
      <c r="V327" s="262"/>
      <c r="W327" s="262"/>
      <c r="X327" s="175"/>
      <c r="Y327" s="175"/>
      <c r="Z327" s="175"/>
      <c r="AA327" s="175"/>
      <c r="AB327" s="175"/>
      <c r="AC327" s="175"/>
      <c r="AD327" s="175"/>
      <c r="AE327" s="175"/>
      <c r="AF327" s="175"/>
      <c r="AG327" s="179"/>
      <c r="AH327" s="179"/>
      <c r="AI327" s="177"/>
      <c r="AJ327" s="179"/>
      <c r="AK327" s="183"/>
      <c r="AL327" s="177"/>
      <c r="AM327" s="177"/>
      <c r="AN327" s="263"/>
      <c r="AO327" s="175"/>
      <c r="AP327" s="175"/>
      <c r="AQ327" s="307"/>
      <c r="AR327" s="175"/>
      <c r="AS327" s="253"/>
      <c r="AT327" s="253"/>
      <c r="AU327" s="214"/>
      <c r="AV327" s="268"/>
      <c r="AW327" s="175"/>
      <c r="AX327" s="210"/>
      <c r="AY327" s="173"/>
      <c r="AZ327" s="179"/>
      <c r="BA327" s="179"/>
      <c r="BB327" s="175"/>
      <c r="BC327" s="49" t="e">
        <v>#REF!</v>
      </c>
      <c r="BD327" s="175"/>
    </row>
    <row r="328" spans="1:56" s="176" customFormat="1" x14ac:dyDescent="0.45">
      <c r="A328" s="13"/>
      <c r="B328" s="262"/>
      <c r="C328" s="262"/>
      <c r="D328" s="262"/>
      <c r="E328" s="262"/>
      <c r="F328" s="262"/>
      <c r="G328" s="262"/>
      <c r="H328" s="262"/>
      <c r="I328" s="262"/>
      <c r="J328" s="262"/>
      <c r="K328" s="262"/>
      <c r="L328" s="147"/>
      <c r="M328" s="262"/>
      <c r="N328" s="262"/>
      <c r="O328" s="262"/>
      <c r="P328" s="262"/>
      <c r="Q328" s="262"/>
      <c r="R328" s="262"/>
      <c r="S328" s="262"/>
      <c r="T328" s="262"/>
      <c r="U328" s="262"/>
      <c r="V328" s="262"/>
      <c r="W328" s="262"/>
      <c r="X328" s="175"/>
      <c r="Y328" s="175"/>
      <c r="Z328" s="175"/>
      <c r="AA328" s="175"/>
      <c r="AB328" s="175"/>
      <c r="AC328" s="175"/>
      <c r="AD328" s="175"/>
      <c r="AE328" s="175"/>
      <c r="AF328" s="175"/>
      <c r="AG328" s="179"/>
      <c r="AH328" s="179"/>
      <c r="AI328" s="177"/>
      <c r="AJ328" s="179"/>
      <c r="AK328" s="183"/>
      <c r="AL328" s="177"/>
      <c r="AM328" s="177"/>
      <c r="AN328" s="263"/>
      <c r="AO328" s="175"/>
      <c r="AP328" s="175"/>
      <c r="AQ328" s="307"/>
      <c r="AR328" s="175"/>
      <c r="AS328" s="253"/>
      <c r="AT328" s="253"/>
      <c r="AU328" s="214"/>
      <c r="AV328" s="268"/>
      <c r="AW328" s="175"/>
      <c r="AX328" s="210"/>
      <c r="AY328" s="173"/>
      <c r="AZ328" s="179"/>
      <c r="BA328" s="179"/>
      <c r="BB328" s="175"/>
      <c r="BC328" s="49" t="e">
        <v>#REF!</v>
      </c>
      <c r="BD328" s="175"/>
    </row>
    <row r="329" spans="1:56" s="176" customFormat="1" x14ac:dyDescent="0.45">
      <c r="A329" s="13"/>
      <c r="B329" s="262"/>
      <c r="C329" s="262"/>
      <c r="D329" s="262"/>
      <c r="E329" s="262"/>
      <c r="F329" s="262"/>
      <c r="G329" s="262"/>
      <c r="H329" s="262"/>
      <c r="I329" s="262"/>
      <c r="J329" s="262"/>
      <c r="K329" s="262"/>
      <c r="L329" s="147"/>
      <c r="M329" s="262"/>
      <c r="N329" s="262"/>
      <c r="O329" s="262"/>
      <c r="P329" s="262"/>
      <c r="Q329" s="262"/>
      <c r="R329" s="262"/>
      <c r="S329" s="262"/>
      <c r="T329" s="262"/>
      <c r="U329" s="262"/>
      <c r="V329" s="262"/>
      <c r="W329" s="262"/>
      <c r="X329" s="175"/>
      <c r="Y329" s="175"/>
      <c r="Z329" s="175"/>
      <c r="AA329" s="175"/>
      <c r="AB329" s="175"/>
      <c r="AC329" s="175"/>
      <c r="AD329" s="175"/>
      <c r="AE329" s="175"/>
      <c r="AF329" s="175"/>
      <c r="AG329" s="179"/>
      <c r="AH329" s="179"/>
      <c r="AI329" s="177"/>
      <c r="AJ329" s="179"/>
      <c r="AK329" s="183"/>
      <c r="AL329" s="177"/>
      <c r="AM329" s="177"/>
      <c r="AN329" s="263"/>
      <c r="AO329" s="175"/>
      <c r="AP329" s="175"/>
      <c r="AQ329" s="307"/>
      <c r="AR329" s="175"/>
      <c r="AS329" s="253"/>
      <c r="AT329" s="253"/>
      <c r="AU329" s="214"/>
      <c r="AV329" s="268"/>
      <c r="AW329" s="175"/>
      <c r="AX329" s="210"/>
      <c r="AY329" s="173"/>
      <c r="AZ329" s="179"/>
      <c r="BA329" s="179"/>
      <c r="BB329" s="175"/>
      <c r="BC329" s="49" t="e">
        <v>#REF!</v>
      </c>
      <c r="BD329" s="175"/>
    </row>
    <row r="330" spans="1:56" s="176" customFormat="1" x14ac:dyDescent="0.45">
      <c r="A330" s="12"/>
      <c r="B330" s="262"/>
      <c r="C330" s="262"/>
      <c r="D330" s="262"/>
      <c r="E330" s="262"/>
      <c r="F330" s="262"/>
      <c r="G330" s="262"/>
      <c r="H330" s="262"/>
      <c r="I330" s="262"/>
      <c r="J330" s="262"/>
      <c r="K330" s="262"/>
      <c r="L330" s="147"/>
      <c r="M330" s="262"/>
      <c r="N330" s="262"/>
      <c r="O330" s="262"/>
      <c r="P330" s="262"/>
      <c r="Q330" s="262"/>
      <c r="R330" s="262"/>
      <c r="S330" s="262"/>
      <c r="T330" s="262"/>
      <c r="U330" s="262"/>
      <c r="V330" s="262"/>
      <c r="W330" s="262"/>
      <c r="X330" s="175"/>
      <c r="Y330" s="175"/>
      <c r="Z330" s="175"/>
      <c r="AA330" s="175"/>
      <c r="AB330" s="175"/>
      <c r="AC330" s="175"/>
      <c r="AD330" s="175"/>
      <c r="AE330" s="175"/>
      <c r="AF330" s="175"/>
      <c r="AG330" s="179"/>
      <c r="AH330" s="179"/>
      <c r="AI330" s="177"/>
      <c r="AJ330" s="179"/>
      <c r="AK330" s="183"/>
      <c r="AL330" s="177"/>
      <c r="AM330" s="177"/>
      <c r="AN330" s="263"/>
      <c r="AO330" s="175"/>
      <c r="AP330" s="175"/>
      <c r="AQ330" s="307"/>
      <c r="AR330" s="175"/>
      <c r="AS330" s="253"/>
      <c r="AT330" s="253"/>
      <c r="AU330" s="214"/>
      <c r="AV330" s="268"/>
      <c r="AW330" s="175"/>
      <c r="AX330" s="210"/>
      <c r="AY330" s="173"/>
      <c r="AZ330" s="179"/>
      <c r="BA330" s="179"/>
      <c r="BB330" s="175"/>
      <c r="BC330" s="49" t="e">
        <v>#REF!</v>
      </c>
      <c r="BD330" s="175"/>
    </row>
    <row r="331" spans="1:56" s="176" customFormat="1" x14ac:dyDescent="0.45">
      <c r="A331" s="13"/>
      <c r="B331" s="262"/>
      <c r="C331" s="262"/>
      <c r="D331" s="262"/>
      <c r="E331" s="262"/>
      <c r="F331" s="262"/>
      <c r="G331" s="262"/>
      <c r="H331" s="262"/>
      <c r="I331" s="262"/>
      <c r="J331" s="262"/>
      <c r="K331" s="262"/>
      <c r="L331" s="147"/>
      <c r="M331" s="262"/>
      <c r="N331" s="262"/>
      <c r="O331" s="262"/>
      <c r="P331" s="262"/>
      <c r="Q331" s="262"/>
      <c r="R331" s="262"/>
      <c r="S331" s="262"/>
      <c r="T331" s="262"/>
      <c r="U331" s="262"/>
      <c r="V331" s="262"/>
      <c r="W331" s="262"/>
      <c r="X331" s="175"/>
      <c r="Y331" s="175"/>
      <c r="Z331" s="175"/>
      <c r="AA331" s="175"/>
      <c r="AB331" s="175"/>
      <c r="AC331" s="175"/>
      <c r="AD331" s="175"/>
      <c r="AE331" s="175"/>
      <c r="AF331" s="175"/>
      <c r="AG331" s="179"/>
      <c r="AH331" s="179"/>
      <c r="AI331" s="177"/>
      <c r="AJ331" s="179"/>
      <c r="AK331" s="183"/>
      <c r="AL331" s="177"/>
      <c r="AM331" s="177"/>
      <c r="AN331" s="263"/>
      <c r="AO331" s="175"/>
      <c r="AP331" s="175"/>
      <c r="AQ331" s="307"/>
      <c r="AR331" s="175"/>
      <c r="AS331" s="253"/>
      <c r="AT331" s="253"/>
      <c r="AU331" s="214"/>
      <c r="AV331" s="268"/>
      <c r="AW331" s="175"/>
      <c r="AX331" s="210"/>
      <c r="AY331" s="173"/>
      <c r="AZ331" s="179"/>
      <c r="BA331" s="179"/>
      <c r="BB331" s="175"/>
      <c r="BC331" s="49" t="e">
        <v>#REF!</v>
      </c>
      <c r="BD331" s="175"/>
    </row>
    <row r="332" spans="1:56" s="176" customFormat="1" x14ac:dyDescent="0.45">
      <c r="A332" s="13"/>
      <c r="B332" s="262"/>
      <c r="C332" s="262"/>
      <c r="D332" s="262"/>
      <c r="E332" s="262"/>
      <c r="F332" s="262"/>
      <c r="G332" s="262"/>
      <c r="H332" s="262"/>
      <c r="I332" s="262"/>
      <c r="J332" s="262"/>
      <c r="K332" s="262"/>
      <c r="L332" s="147"/>
      <c r="M332" s="262"/>
      <c r="N332" s="262"/>
      <c r="O332" s="262"/>
      <c r="P332" s="262"/>
      <c r="Q332" s="262"/>
      <c r="R332" s="262"/>
      <c r="S332" s="262"/>
      <c r="T332" s="262"/>
      <c r="U332" s="262"/>
      <c r="V332" s="262"/>
      <c r="W332" s="262"/>
      <c r="X332" s="175"/>
      <c r="Y332" s="175"/>
      <c r="Z332" s="175"/>
      <c r="AA332" s="175"/>
      <c r="AB332" s="175"/>
      <c r="AC332" s="175"/>
      <c r="AD332" s="175"/>
      <c r="AE332" s="175"/>
      <c r="AF332" s="175"/>
      <c r="AG332" s="179"/>
      <c r="AH332" s="179"/>
      <c r="AI332" s="177"/>
      <c r="AJ332" s="179"/>
      <c r="AK332" s="183"/>
      <c r="AL332" s="177"/>
      <c r="AM332" s="177"/>
      <c r="AN332" s="263"/>
      <c r="AO332" s="175"/>
      <c r="AP332" s="175"/>
      <c r="AQ332" s="307"/>
      <c r="AR332" s="175"/>
      <c r="AS332" s="253"/>
      <c r="AT332" s="253"/>
      <c r="AU332" s="214"/>
      <c r="AV332" s="268"/>
      <c r="AW332" s="175"/>
      <c r="AX332" s="210"/>
      <c r="AY332" s="173"/>
      <c r="AZ332" s="179"/>
      <c r="BA332" s="179"/>
      <c r="BB332" s="175"/>
      <c r="BC332" s="49" t="e">
        <v>#REF!</v>
      </c>
      <c r="BD332" s="175"/>
    </row>
    <row r="333" spans="1:56" s="176" customFormat="1" x14ac:dyDescent="0.45">
      <c r="A333" s="12"/>
      <c r="B333" s="262"/>
      <c r="C333" s="262"/>
      <c r="D333" s="262"/>
      <c r="E333" s="262"/>
      <c r="F333" s="262"/>
      <c r="G333" s="262"/>
      <c r="H333" s="262"/>
      <c r="I333" s="262"/>
      <c r="J333" s="262"/>
      <c r="K333" s="262"/>
      <c r="L333" s="147"/>
      <c r="M333" s="262"/>
      <c r="N333" s="262"/>
      <c r="O333" s="262"/>
      <c r="P333" s="262"/>
      <c r="Q333" s="262"/>
      <c r="R333" s="262"/>
      <c r="S333" s="262"/>
      <c r="T333" s="262"/>
      <c r="U333" s="262"/>
      <c r="V333" s="262"/>
      <c r="W333" s="262"/>
      <c r="X333" s="175"/>
      <c r="Y333" s="175"/>
      <c r="Z333" s="175"/>
      <c r="AA333" s="175"/>
      <c r="AB333" s="175"/>
      <c r="AC333" s="175"/>
      <c r="AD333" s="175"/>
      <c r="AE333" s="175"/>
      <c r="AF333" s="175"/>
      <c r="AG333" s="179"/>
      <c r="AH333" s="179"/>
      <c r="AI333" s="177"/>
      <c r="AJ333" s="179"/>
      <c r="AK333" s="183"/>
      <c r="AL333" s="177"/>
      <c r="AM333" s="177"/>
      <c r="AN333" s="263"/>
      <c r="AO333" s="175"/>
      <c r="AP333" s="175"/>
      <c r="AQ333" s="307"/>
      <c r="AR333" s="175"/>
      <c r="AS333" s="253"/>
      <c r="AT333" s="253"/>
      <c r="AU333" s="214"/>
      <c r="AV333" s="268"/>
      <c r="AW333" s="175"/>
      <c r="AX333" s="210"/>
      <c r="AY333" s="173"/>
      <c r="AZ333" s="179"/>
      <c r="BA333" s="179"/>
      <c r="BB333" s="175"/>
      <c r="BC333" s="49" t="e">
        <v>#REF!</v>
      </c>
      <c r="BD333" s="175"/>
    </row>
    <row r="334" spans="1:56" s="176" customFormat="1" x14ac:dyDescent="0.45">
      <c r="A334" s="13"/>
      <c r="B334" s="262"/>
      <c r="C334" s="262"/>
      <c r="D334" s="262"/>
      <c r="E334" s="262"/>
      <c r="F334" s="262"/>
      <c r="G334" s="262"/>
      <c r="H334" s="262"/>
      <c r="I334" s="262"/>
      <c r="J334" s="262"/>
      <c r="K334" s="262"/>
      <c r="L334" s="147"/>
      <c r="M334" s="262"/>
      <c r="N334" s="262"/>
      <c r="O334" s="262"/>
      <c r="P334" s="262"/>
      <c r="Q334" s="262"/>
      <c r="R334" s="262"/>
      <c r="S334" s="262"/>
      <c r="T334" s="262"/>
      <c r="U334" s="262"/>
      <c r="V334" s="262"/>
      <c r="W334" s="262"/>
      <c r="X334" s="175"/>
      <c r="Y334" s="175"/>
      <c r="Z334" s="175"/>
      <c r="AA334" s="175"/>
      <c r="AB334" s="175"/>
      <c r="AC334" s="175"/>
      <c r="AD334" s="175"/>
      <c r="AE334" s="175"/>
      <c r="AF334" s="175"/>
      <c r="AG334" s="179"/>
      <c r="AH334" s="179"/>
      <c r="AI334" s="177"/>
      <c r="AJ334" s="179"/>
      <c r="AK334" s="183"/>
      <c r="AL334" s="177"/>
      <c r="AM334" s="177"/>
      <c r="AN334" s="263"/>
      <c r="AO334" s="175"/>
      <c r="AP334" s="175"/>
      <c r="AQ334" s="307"/>
      <c r="AR334" s="175"/>
      <c r="AS334" s="253"/>
      <c r="AT334" s="253"/>
      <c r="AU334" s="214"/>
      <c r="AV334" s="268"/>
      <c r="AW334" s="175"/>
      <c r="AX334" s="210"/>
      <c r="AY334" s="173"/>
      <c r="AZ334" s="179"/>
      <c r="BA334" s="179"/>
      <c r="BB334" s="175"/>
      <c r="BC334" s="49" t="e">
        <v>#REF!</v>
      </c>
      <c r="BD334" s="175"/>
    </row>
    <row r="335" spans="1:56" s="176" customFormat="1" x14ac:dyDescent="0.45">
      <c r="A335" s="13"/>
      <c r="B335" s="262"/>
      <c r="C335" s="262"/>
      <c r="D335" s="262"/>
      <c r="E335" s="262"/>
      <c r="F335" s="262"/>
      <c r="G335" s="262"/>
      <c r="H335" s="262"/>
      <c r="I335" s="262"/>
      <c r="J335" s="262"/>
      <c r="K335" s="262"/>
      <c r="L335" s="147"/>
      <c r="M335" s="262"/>
      <c r="N335" s="262"/>
      <c r="O335" s="262"/>
      <c r="P335" s="262"/>
      <c r="Q335" s="262"/>
      <c r="R335" s="262"/>
      <c r="S335" s="262"/>
      <c r="T335" s="262"/>
      <c r="U335" s="262"/>
      <c r="V335" s="262"/>
      <c r="W335" s="262"/>
      <c r="X335" s="175"/>
      <c r="Y335" s="175"/>
      <c r="Z335" s="175"/>
      <c r="AA335" s="175"/>
      <c r="AB335" s="175"/>
      <c r="AC335" s="175"/>
      <c r="AD335" s="175"/>
      <c r="AE335" s="175"/>
      <c r="AF335" s="175"/>
      <c r="AG335" s="179"/>
      <c r="AH335" s="179"/>
      <c r="AI335" s="177"/>
      <c r="AJ335" s="179"/>
      <c r="AK335" s="183"/>
      <c r="AL335" s="177"/>
      <c r="AM335" s="177"/>
      <c r="AN335" s="263"/>
      <c r="AO335" s="175"/>
      <c r="AP335" s="175"/>
      <c r="AQ335" s="307"/>
      <c r="AR335" s="175"/>
      <c r="AS335" s="253"/>
      <c r="AT335" s="253"/>
      <c r="AU335" s="214"/>
      <c r="AV335" s="268"/>
      <c r="AW335" s="175"/>
      <c r="AX335" s="210"/>
      <c r="AY335" s="173"/>
      <c r="AZ335" s="179"/>
      <c r="BA335" s="179"/>
      <c r="BB335" s="175"/>
      <c r="BC335" s="49" t="e">
        <v>#REF!</v>
      </c>
      <c r="BD335" s="175"/>
    </row>
    <row r="336" spans="1:56" s="176" customFormat="1" x14ac:dyDescent="0.45">
      <c r="A336" s="12"/>
      <c r="B336" s="262"/>
      <c r="C336" s="262"/>
      <c r="D336" s="262"/>
      <c r="E336" s="262"/>
      <c r="F336" s="262"/>
      <c r="G336" s="262"/>
      <c r="H336" s="262"/>
      <c r="I336" s="262"/>
      <c r="J336" s="262"/>
      <c r="K336" s="262"/>
      <c r="L336" s="147"/>
      <c r="M336" s="262"/>
      <c r="N336" s="262"/>
      <c r="O336" s="262"/>
      <c r="P336" s="262"/>
      <c r="Q336" s="262"/>
      <c r="R336" s="262"/>
      <c r="S336" s="262"/>
      <c r="T336" s="262"/>
      <c r="U336" s="262"/>
      <c r="V336" s="262"/>
      <c r="W336" s="262"/>
      <c r="X336" s="175"/>
      <c r="Y336" s="175"/>
      <c r="Z336" s="175"/>
      <c r="AA336" s="175"/>
      <c r="AB336" s="175"/>
      <c r="AC336" s="175"/>
      <c r="AD336" s="175"/>
      <c r="AE336" s="175"/>
      <c r="AF336" s="175"/>
      <c r="AG336" s="179"/>
      <c r="AH336" s="179"/>
      <c r="AI336" s="177"/>
      <c r="AJ336" s="179"/>
      <c r="AK336" s="183"/>
      <c r="AL336" s="177"/>
      <c r="AM336" s="177"/>
      <c r="AN336" s="263"/>
      <c r="AO336" s="175"/>
      <c r="AP336" s="175"/>
      <c r="AQ336" s="307"/>
      <c r="AR336" s="175"/>
      <c r="AS336" s="253"/>
      <c r="AT336" s="253"/>
      <c r="AU336" s="214"/>
      <c r="AV336" s="268"/>
      <c r="AW336" s="175"/>
      <c r="AX336" s="210"/>
      <c r="AY336" s="173"/>
      <c r="AZ336" s="179"/>
      <c r="BA336" s="179"/>
      <c r="BB336" s="175"/>
      <c r="BC336" s="49" t="e">
        <v>#REF!</v>
      </c>
      <c r="BD336" s="175"/>
    </row>
    <row r="337" spans="1:56" s="176" customFormat="1" x14ac:dyDescent="0.45">
      <c r="A337" s="13"/>
      <c r="B337" s="262"/>
      <c r="C337" s="262"/>
      <c r="D337" s="262"/>
      <c r="E337" s="262"/>
      <c r="F337" s="262"/>
      <c r="G337" s="262"/>
      <c r="H337" s="262"/>
      <c r="I337" s="262"/>
      <c r="J337" s="262"/>
      <c r="K337" s="262"/>
      <c r="L337" s="147"/>
      <c r="M337" s="262"/>
      <c r="N337" s="262"/>
      <c r="O337" s="262"/>
      <c r="P337" s="262"/>
      <c r="Q337" s="262"/>
      <c r="R337" s="262"/>
      <c r="S337" s="262"/>
      <c r="T337" s="262"/>
      <c r="U337" s="262"/>
      <c r="V337" s="262"/>
      <c r="W337" s="262"/>
      <c r="X337" s="175"/>
      <c r="Y337" s="175"/>
      <c r="Z337" s="175"/>
      <c r="AA337" s="175"/>
      <c r="AB337" s="175"/>
      <c r="AC337" s="175"/>
      <c r="AD337" s="175"/>
      <c r="AE337" s="175"/>
      <c r="AF337" s="175"/>
      <c r="AG337" s="179"/>
      <c r="AH337" s="179"/>
      <c r="AI337" s="177"/>
      <c r="AJ337" s="179"/>
      <c r="AK337" s="183"/>
      <c r="AL337" s="177"/>
      <c r="AM337" s="177"/>
      <c r="AN337" s="144"/>
      <c r="AO337" s="175"/>
      <c r="AP337" s="175"/>
      <c r="AQ337" s="307"/>
      <c r="AR337" s="175"/>
      <c r="AS337" s="253"/>
      <c r="AT337" s="253"/>
      <c r="AU337" s="214"/>
      <c r="AV337" s="268"/>
      <c r="AW337" s="175"/>
      <c r="AX337" s="210"/>
      <c r="AY337" s="173"/>
      <c r="AZ337" s="179"/>
      <c r="BA337" s="179"/>
      <c r="BB337" s="175"/>
      <c r="BC337" s="49" t="e">
        <v>#REF!</v>
      </c>
      <c r="BD337" s="175"/>
    </row>
    <row r="338" spans="1:56" s="176" customFormat="1" x14ac:dyDescent="0.45">
      <c r="A338" s="13"/>
      <c r="B338" s="262"/>
      <c r="C338" s="262"/>
      <c r="D338" s="262"/>
      <c r="E338" s="262"/>
      <c r="F338" s="262"/>
      <c r="G338" s="262"/>
      <c r="H338" s="262"/>
      <c r="I338" s="262"/>
      <c r="J338" s="262"/>
      <c r="K338" s="262"/>
      <c r="L338" s="147"/>
      <c r="M338" s="262"/>
      <c r="N338" s="262"/>
      <c r="O338" s="262"/>
      <c r="P338" s="262"/>
      <c r="Q338" s="262"/>
      <c r="R338" s="262"/>
      <c r="S338" s="262"/>
      <c r="T338" s="262"/>
      <c r="U338" s="262"/>
      <c r="V338" s="262"/>
      <c r="W338" s="262"/>
      <c r="X338" s="175"/>
      <c r="Y338" s="175"/>
      <c r="Z338" s="175"/>
      <c r="AA338" s="175"/>
      <c r="AB338" s="175"/>
      <c r="AC338" s="175"/>
      <c r="AD338" s="175"/>
      <c r="AE338" s="175"/>
      <c r="AF338" s="175"/>
      <c r="AG338" s="179"/>
      <c r="AH338" s="179"/>
      <c r="AI338" s="177"/>
      <c r="AJ338" s="179"/>
      <c r="AK338" s="183"/>
      <c r="AL338" s="177"/>
      <c r="AM338" s="177"/>
      <c r="AN338" s="263"/>
      <c r="AO338" s="175"/>
      <c r="AP338" s="175"/>
      <c r="AQ338" s="307"/>
      <c r="AR338" s="175"/>
      <c r="AS338" s="170"/>
      <c r="AT338" s="170"/>
      <c r="AU338" s="214"/>
      <c r="AV338" s="268"/>
      <c r="AW338" s="175"/>
      <c r="AX338" s="210"/>
      <c r="AY338" s="173"/>
      <c r="AZ338" s="179"/>
      <c r="BA338" s="179"/>
      <c r="BB338" s="175"/>
      <c r="BC338" s="49" t="e">
        <v>#REF!</v>
      </c>
      <c r="BD338" s="175"/>
    </row>
    <row r="339" spans="1:56" s="176" customFormat="1" x14ac:dyDescent="0.45">
      <c r="A339" s="12"/>
      <c r="B339" s="262"/>
      <c r="C339" s="262"/>
      <c r="D339" s="262"/>
      <c r="E339" s="262"/>
      <c r="F339" s="262"/>
      <c r="G339" s="262"/>
      <c r="H339" s="262"/>
      <c r="I339" s="262"/>
      <c r="J339" s="262"/>
      <c r="K339" s="262"/>
      <c r="L339" s="147"/>
      <c r="M339" s="262"/>
      <c r="N339" s="262"/>
      <c r="O339" s="262"/>
      <c r="P339" s="262"/>
      <c r="Q339" s="262"/>
      <c r="R339" s="262"/>
      <c r="S339" s="262"/>
      <c r="T339" s="262"/>
      <c r="U339" s="262"/>
      <c r="V339" s="262"/>
      <c r="W339" s="262"/>
      <c r="X339" s="175"/>
      <c r="Y339" s="175"/>
      <c r="Z339" s="175"/>
      <c r="AA339" s="175"/>
      <c r="AB339" s="175"/>
      <c r="AC339" s="175"/>
      <c r="AD339" s="175"/>
      <c r="AE339" s="175"/>
      <c r="AF339" s="175"/>
      <c r="AG339" s="179"/>
      <c r="AH339" s="179"/>
      <c r="AI339" s="177"/>
      <c r="AJ339" s="179"/>
      <c r="AK339" s="183"/>
      <c r="AL339" s="177"/>
      <c r="AM339" s="177"/>
      <c r="AN339" s="263"/>
      <c r="AO339" s="175"/>
      <c r="AP339" s="175"/>
      <c r="AQ339" s="307"/>
      <c r="AR339" s="175"/>
      <c r="AS339" s="170"/>
      <c r="AT339" s="170"/>
      <c r="AU339" s="214"/>
      <c r="AV339" s="268"/>
      <c r="AW339" s="175"/>
      <c r="AX339" s="210"/>
      <c r="AY339" s="173"/>
      <c r="AZ339" s="179"/>
      <c r="BA339" s="179"/>
      <c r="BB339" s="175"/>
      <c r="BC339" s="49" t="e">
        <v>#REF!</v>
      </c>
      <c r="BD339" s="175"/>
    </row>
    <row r="340" spans="1:56" s="176" customFormat="1" x14ac:dyDescent="0.45">
      <c r="A340" s="13"/>
      <c r="B340" s="262"/>
      <c r="C340" s="262"/>
      <c r="D340" s="262"/>
      <c r="E340" s="262"/>
      <c r="F340" s="262"/>
      <c r="G340" s="262"/>
      <c r="H340" s="262"/>
      <c r="I340" s="262"/>
      <c r="J340" s="262"/>
      <c r="K340" s="262"/>
      <c r="L340" s="147"/>
      <c r="M340" s="262"/>
      <c r="N340" s="262"/>
      <c r="O340" s="262"/>
      <c r="P340" s="262"/>
      <c r="Q340" s="262"/>
      <c r="R340" s="262"/>
      <c r="S340" s="262"/>
      <c r="T340" s="262"/>
      <c r="U340" s="262"/>
      <c r="V340" s="262"/>
      <c r="W340" s="262"/>
      <c r="X340" s="175"/>
      <c r="Y340" s="175"/>
      <c r="Z340" s="175"/>
      <c r="AA340" s="175"/>
      <c r="AB340" s="175"/>
      <c r="AC340" s="175"/>
      <c r="AD340" s="175"/>
      <c r="AE340" s="175"/>
      <c r="AF340" s="175"/>
      <c r="AG340" s="179"/>
      <c r="AH340" s="179"/>
      <c r="AI340" s="177"/>
      <c r="AJ340" s="179"/>
      <c r="AK340" s="183"/>
      <c r="AL340" s="177"/>
      <c r="AM340" s="177"/>
      <c r="AN340" s="263"/>
      <c r="AO340" s="175"/>
      <c r="AP340" s="175"/>
      <c r="AQ340" s="307"/>
      <c r="AR340" s="175"/>
      <c r="AS340" s="170"/>
      <c r="AT340" s="170"/>
      <c r="AU340" s="214"/>
      <c r="AV340" s="268"/>
      <c r="AW340" s="175"/>
      <c r="AX340" s="210"/>
      <c r="AY340" s="173"/>
      <c r="AZ340" s="179"/>
      <c r="BA340" s="179"/>
      <c r="BB340" s="175"/>
      <c r="BC340" s="49" t="e">
        <v>#REF!</v>
      </c>
      <c r="BD340" s="175"/>
    </row>
    <row r="341" spans="1:56" s="176" customFormat="1" x14ac:dyDescent="0.45">
      <c r="A341" s="13"/>
      <c r="B341" s="262"/>
      <c r="C341" s="262"/>
      <c r="D341" s="262"/>
      <c r="E341" s="262"/>
      <c r="F341" s="262"/>
      <c r="G341" s="262"/>
      <c r="H341" s="262"/>
      <c r="I341" s="262"/>
      <c r="J341" s="262"/>
      <c r="K341" s="262"/>
      <c r="L341" s="147"/>
      <c r="M341" s="262"/>
      <c r="N341" s="262"/>
      <c r="O341" s="262"/>
      <c r="P341" s="262"/>
      <c r="Q341" s="262"/>
      <c r="R341" s="262"/>
      <c r="S341" s="262"/>
      <c r="T341" s="262"/>
      <c r="U341" s="262"/>
      <c r="V341" s="262"/>
      <c r="W341" s="262"/>
      <c r="X341" s="175"/>
      <c r="Y341" s="175"/>
      <c r="Z341" s="175"/>
      <c r="AA341" s="175"/>
      <c r="AB341" s="175"/>
      <c r="AC341" s="175"/>
      <c r="AD341" s="175"/>
      <c r="AE341" s="175"/>
      <c r="AF341" s="175"/>
      <c r="AG341" s="179"/>
      <c r="AH341" s="179"/>
      <c r="AI341" s="177"/>
      <c r="AJ341" s="179"/>
      <c r="AK341" s="183"/>
      <c r="AL341" s="177"/>
      <c r="AM341" s="177"/>
      <c r="AN341" s="263"/>
      <c r="AO341" s="175"/>
      <c r="AP341" s="175"/>
      <c r="AQ341" s="307"/>
      <c r="AR341" s="175"/>
      <c r="AS341" s="170"/>
      <c r="AT341" s="170"/>
      <c r="AU341" s="214"/>
      <c r="AV341" s="268"/>
      <c r="AW341" s="175"/>
      <c r="AX341" s="210"/>
      <c r="AY341" s="173"/>
      <c r="AZ341" s="179"/>
      <c r="BA341" s="179"/>
      <c r="BB341" s="175"/>
      <c r="BC341" s="49" t="e">
        <v>#REF!</v>
      </c>
      <c r="BD341" s="175"/>
    </row>
    <row r="342" spans="1:56" s="176" customFormat="1" x14ac:dyDescent="0.45">
      <c r="A342" s="12"/>
      <c r="B342" s="262"/>
      <c r="C342" s="262"/>
      <c r="D342" s="262"/>
      <c r="E342" s="262"/>
      <c r="F342" s="262"/>
      <c r="G342" s="262"/>
      <c r="H342" s="262"/>
      <c r="I342" s="262"/>
      <c r="J342" s="262"/>
      <c r="K342" s="262"/>
      <c r="L342" s="147"/>
      <c r="M342" s="262"/>
      <c r="N342" s="262"/>
      <c r="O342" s="262"/>
      <c r="P342" s="262"/>
      <c r="Q342" s="262"/>
      <c r="R342" s="262"/>
      <c r="S342" s="262"/>
      <c r="T342" s="262"/>
      <c r="U342" s="262"/>
      <c r="V342" s="262"/>
      <c r="W342" s="262"/>
      <c r="X342" s="175"/>
      <c r="Y342" s="175"/>
      <c r="Z342" s="175"/>
      <c r="AA342" s="175"/>
      <c r="AB342" s="175"/>
      <c r="AC342" s="175"/>
      <c r="AD342" s="175"/>
      <c r="AE342" s="175"/>
      <c r="AF342" s="175"/>
      <c r="AG342" s="179"/>
      <c r="AH342" s="179"/>
      <c r="AI342" s="177"/>
      <c r="AJ342" s="179"/>
      <c r="AK342" s="183"/>
      <c r="AL342" s="177"/>
      <c r="AM342" s="177"/>
      <c r="AN342" s="263"/>
      <c r="AO342" s="175"/>
      <c r="AP342" s="175"/>
      <c r="AQ342" s="307"/>
      <c r="AR342" s="175"/>
      <c r="AS342" s="170"/>
      <c r="AT342" s="170"/>
      <c r="AU342" s="214"/>
      <c r="AV342" s="268"/>
      <c r="AW342" s="175"/>
      <c r="AX342" s="210"/>
      <c r="AY342" s="173"/>
      <c r="AZ342" s="179"/>
      <c r="BA342" s="179"/>
      <c r="BB342" s="175"/>
      <c r="BC342" s="49" t="e">
        <v>#REF!</v>
      </c>
      <c r="BD342" s="175"/>
    </row>
    <row r="343" spans="1:56" s="176" customFormat="1" x14ac:dyDescent="0.45">
      <c r="A343" s="13"/>
      <c r="B343" s="262"/>
      <c r="C343" s="262"/>
      <c r="D343" s="262"/>
      <c r="E343" s="262"/>
      <c r="F343" s="262"/>
      <c r="G343" s="262"/>
      <c r="H343" s="262"/>
      <c r="I343" s="262"/>
      <c r="J343" s="262"/>
      <c r="K343" s="262"/>
      <c r="L343" s="147"/>
      <c r="M343" s="262"/>
      <c r="N343" s="262"/>
      <c r="O343" s="262"/>
      <c r="P343" s="262"/>
      <c r="Q343" s="262"/>
      <c r="R343" s="262"/>
      <c r="S343" s="262"/>
      <c r="T343" s="262"/>
      <c r="U343" s="262"/>
      <c r="V343" s="262"/>
      <c r="W343" s="262"/>
      <c r="X343" s="175"/>
      <c r="Y343" s="175"/>
      <c r="Z343" s="175"/>
      <c r="AA343" s="175"/>
      <c r="AB343" s="175"/>
      <c r="AC343" s="175"/>
      <c r="AD343" s="175"/>
      <c r="AE343" s="175"/>
      <c r="AF343" s="175"/>
      <c r="AG343" s="179"/>
      <c r="AH343" s="179"/>
      <c r="AI343" s="177"/>
      <c r="AJ343" s="179"/>
      <c r="AK343" s="183"/>
      <c r="AL343" s="177"/>
      <c r="AM343" s="177"/>
      <c r="AN343" s="263"/>
      <c r="AO343" s="175"/>
      <c r="AP343" s="175"/>
      <c r="AQ343" s="307"/>
      <c r="AR343" s="175"/>
      <c r="AS343" s="170"/>
      <c r="AT343" s="170"/>
      <c r="AU343" s="214"/>
      <c r="AV343" s="268"/>
      <c r="AW343" s="175"/>
      <c r="AX343" s="210"/>
      <c r="AY343" s="173"/>
      <c r="AZ343" s="179"/>
      <c r="BA343" s="179"/>
      <c r="BB343" s="175"/>
      <c r="BC343" s="49" t="e">
        <v>#REF!</v>
      </c>
      <c r="BD343" s="175"/>
    </row>
    <row r="344" spans="1:56" s="176" customFormat="1" x14ac:dyDescent="0.45">
      <c r="A344" s="13"/>
      <c r="B344" s="262"/>
      <c r="C344" s="262"/>
      <c r="D344" s="262"/>
      <c r="E344" s="262"/>
      <c r="F344" s="262"/>
      <c r="G344" s="262"/>
      <c r="H344" s="262"/>
      <c r="I344" s="262"/>
      <c r="J344" s="262"/>
      <c r="K344" s="262"/>
      <c r="L344" s="147"/>
      <c r="M344" s="262"/>
      <c r="N344" s="262"/>
      <c r="O344" s="262"/>
      <c r="P344" s="262"/>
      <c r="Q344" s="262"/>
      <c r="R344" s="262"/>
      <c r="S344" s="262"/>
      <c r="T344" s="262"/>
      <c r="U344" s="262"/>
      <c r="V344" s="262"/>
      <c r="W344" s="262"/>
      <c r="X344" s="175"/>
      <c r="Y344" s="175"/>
      <c r="Z344" s="175"/>
      <c r="AA344" s="175"/>
      <c r="AB344" s="175"/>
      <c r="AC344" s="175"/>
      <c r="AD344" s="175"/>
      <c r="AE344" s="175"/>
      <c r="AF344" s="175"/>
      <c r="AG344" s="179"/>
      <c r="AH344" s="179"/>
      <c r="AI344" s="177"/>
      <c r="AJ344" s="179"/>
      <c r="AK344" s="183"/>
      <c r="AL344" s="177"/>
      <c r="AM344" s="177"/>
      <c r="AN344" s="263"/>
      <c r="AO344" s="175"/>
      <c r="AP344" s="175"/>
      <c r="AQ344" s="307"/>
      <c r="AR344" s="175"/>
      <c r="AS344" s="170"/>
      <c r="AT344" s="170"/>
      <c r="AU344" s="214"/>
      <c r="AV344" s="268"/>
      <c r="AW344" s="175"/>
      <c r="AX344" s="210"/>
      <c r="AY344" s="173"/>
      <c r="AZ344" s="179"/>
      <c r="BA344" s="179"/>
      <c r="BB344" s="175"/>
      <c r="BC344" s="49" t="e">
        <v>#REF!</v>
      </c>
      <c r="BD344" s="175"/>
    </row>
    <row r="345" spans="1:56" s="176" customFormat="1" x14ac:dyDescent="0.45">
      <c r="A345" s="12"/>
      <c r="B345" s="262"/>
      <c r="C345" s="262"/>
      <c r="D345" s="262"/>
      <c r="E345" s="262"/>
      <c r="F345" s="262"/>
      <c r="G345" s="262"/>
      <c r="H345" s="262"/>
      <c r="I345" s="262"/>
      <c r="J345" s="262"/>
      <c r="K345" s="262"/>
      <c r="L345" s="147"/>
      <c r="M345" s="262"/>
      <c r="N345" s="262"/>
      <c r="O345" s="262"/>
      <c r="P345" s="262"/>
      <c r="Q345" s="262"/>
      <c r="R345" s="262"/>
      <c r="S345" s="262"/>
      <c r="T345" s="262"/>
      <c r="U345" s="262"/>
      <c r="V345" s="262"/>
      <c r="W345" s="262"/>
      <c r="X345" s="175"/>
      <c r="Y345" s="175"/>
      <c r="Z345" s="175"/>
      <c r="AA345" s="175"/>
      <c r="AB345" s="175"/>
      <c r="AC345" s="175"/>
      <c r="AD345" s="175"/>
      <c r="AE345" s="175"/>
      <c r="AF345" s="175"/>
      <c r="AG345" s="179"/>
      <c r="AH345" s="179"/>
      <c r="AI345" s="177"/>
      <c r="AJ345" s="179"/>
      <c r="AK345" s="183"/>
      <c r="AL345" s="177"/>
      <c r="AM345" s="177"/>
      <c r="AN345" s="263"/>
      <c r="AO345" s="175"/>
      <c r="AP345" s="175"/>
      <c r="AQ345" s="307"/>
      <c r="AR345" s="175"/>
      <c r="AS345" s="170"/>
      <c r="AT345" s="170"/>
      <c r="AU345" s="214"/>
      <c r="AV345" s="268"/>
      <c r="AW345" s="175"/>
      <c r="AX345" s="210"/>
      <c r="AY345" s="173"/>
      <c r="AZ345" s="179"/>
      <c r="BA345" s="179"/>
      <c r="BB345" s="175"/>
      <c r="BC345" s="49" t="e">
        <v>#REF!</v>
      </c>
      <c r="BD345" s="175"/>
    </row>
    <row r="346" spans="1:56" s="176" customFormat="1" x14ac:dyDescent="0.45">
      <c r="A346" s="13"/>
      <c r="B346" s="262"/>
      <c r="C346" s="262"/>
      <c r="D346" s="262"/>
      <c r="E346" s="262"/>
      <c r="F346" s="262"/>
      <c r="G346" s="262"/>
      <c r="H346" s="262"/>
      <c r="I346" s="262"/>
      <c r="J346" s="262"/>
      <c r="K346" s="262"/>
      <c r="L346" s="147"/>
      <c r="M346" s="262"/>
      <c r="N346" s="262"/>
      <c r="O346" s="262"/>
      <c r="P346" s="262"/>
      <c r="Q346" s="262"/>
      <c r="R346" s="262"/>
      <c r="S346" s="262"/>
      <c r="T346" s="262"/>
      <c r="U346" s="262"/>
      <c r="V346" s="262"/>
      <c r="W346" s="262"/>
      <c r="X346" s="175"/>
      <c r="Y346" s="175"/>
      <c r="Z346" s="175"/>
      <c r="AA346" s="175"/>
      <c r="AB346" s="175"/>
      <c r="AC346" s="175"/>
      <c r="AD346" s="175"/>
      <c r="AE346" s="175"/>
      <c r="AF346" s="175"/>
      <c r="AG346" s="179"/>
      <c r="AH346" s="179"/>
      <c r="AI346" s="177"/>
      <c r="AJ346" s="179"/>
      <c r="AK346" s="183"/>
      <c r="AL346" s="177"/>
      <c r="AM346" s="177"/>
      <c r="AN346" s="263"/>
      <c r="AO346" s="175"/>
      <c r="AP346" s="175"/>
      <c r="AQ346" s="307"/>
      <c r="AR346" s="175"/>
      <c r="AS346" s="170"/>
      <c r="AT346" s="170"/>
      <c r="AU346" s="214"/>
      <c r="AV346" s="268"/>
      <c r="AW346" s="175"/>
      <c r="AX346" s="210"/>
      <c r="AY346" s="173"/>
      <c r="AZ346" s="179"/>
      <c r="BA346" s="179"/>
      <c r="BB346" s="175"/>
      <c r="BC346" s="49" t="e">
        <v>#REF!</v>
      </c>
      <c r="BD346" s="175"/>
    </row>
    <row r="347" spans="1:56" s="176" customFormat="1" x14ac:dyDescent="0.45">
      <c r="A347" s="13"/>
      <c r="B347" s="262"/>
      <c r="C347" s="262"/>
      <c r="D347" s="262"/>
      <c r="E347" s="262"/>
      <c r="F347" s="262"/>
      <c r="G347" s="262"/>
      <c r="H347" s="262"/>
      <c r="I347" s="262"/>
      <c r="J347" s="262"/>
      <c r="K347" s="262"/>
      <c r="L347" s="147"/>
      <c r="M347" s="262"/>
      <c r="N347" s="262"/>
      <c r="O347" s="262"/>
      <c r="P347" s="262"/>
      <c r="Q347" s="262"/>
      <c r="R347" s="262"/>
      <c r="S347" s="262"/>
      <c r="T347" s="262"/>
      <c r="U347" s="262"/>
      <c r="V347" s="262"/>
      <c r="W347" s="262"/>
      <c r="X347" s="175"/>
      <c r="Y347" s="175"/>
      <c r="Z347" s="175"/>
      <c r="AA347" s="175"/>
      <c r="AB347" s="175"/>
      <c r="AC347" s="175"/>
      <c r="AD347" s="175"/>
      <c r="AE347" s="175"/>
      <c r="AF347" s="175"/>
      <c r="AG347" s="179"/>
      <c r="AH347" s="179"/>
      <c r="AI347" s="177"/>
      <c r="AJ347" s="179"/>
      <c r="AK347" s="183"/>
      <c r="AL347" s="177"/>
      <c r="AM347" s="177"/>
      <c r="AN347" s="263"/>
      <c r="AO347" s="175"/>
      <c r="AP347" s="175"/>
      <c r="AQ347" s="307"/>
      <c r="AR347" s="175"/>
      <c r="AS347" s="170"/>
      <c r="AT347" s="170"/>
      <c r="AU347" s="214"/>
      <c r="AV347" s="268"/>
      <c r="AW347" s="175"/>
      <c r="AX347" s="210"/>
      <c r="AY347" s="173"/>
      <c r="AZ347" s="179"/>
      <c r="BA347" s="179"/>
      <c r="BB347" s="175"/>
      <c r="BC347" s="49" t="e">
        <v>#REF!</v>
      </c>
      <c r="BD347" s="175"/>
    </row>
    <row r="348" spans="1:56" s="176" customFormat="1" x14ac:dyDescent="0.45">
      <c r="A348" s="12"/>
      <c r="B348" s="262"/>
      <c r="C348" s="262"/>
      <c r="D348" s="262"/>
      <c r="E348" s="262"/>
      <c r="F348" s="262"/>
      <c r="G348" s="262"/>
      <c r="H348" s="262"/>
      <c r="I348" s="262"/>
      <c r="J348" s="262"/>
      <c r="K348" s="262"/>
      <c r="L348" s="147"/>
      <c r="M348" s="262"/>
      <c r="N348" s="262"/>
      <c r="O348" s="262"/>
      <c r="P348" s="262"/>
      <c r="Q348" s="262"/>
      <c r="R348" s="262"/>
      <c r="S348" s="262"/>
      <c r="T348" s="262"/>
      <c r="U348" s="262"/>
      <c r="V348" s="262"/>
      <c r="W348" s="262"/>
      <c r="X348" s="175"/>
      <c r="Y348" s="175"/>
      <c r="Z348" s="175"/>
      <c r="AA348" s="175"/>
      <c r="AB348" s="175"/>
      <c r="AC348" s="175"/>
      <c r="AD348" s="175"/>
      <c r="AE348" s="175"/>
      <c r="AF348" s="175"/>
      <c r="AG348" s="179"/>
      <c r="AH348" s="179"/>
      <c r="AI348" s="177"/>
      <c r="AJ348" s="179"/>
      <c r="AK348" s="183"/>
      <c r="AL348" s="177"/>
      <c r="AM348" s="177"/>
      <c r="AN348" s="263"/>
      <c r="AO348" s="175"/>
      <c r="AP348" s="175"/>
      <c r="AQ348" s="307"/>
      <c r="AR348" s="175"/>
      <c r="AS348" s="170"/>
      <c r="AT348" s="170"/>
      <c r="AU348" s="214"/>
      <c r="AV348" s="268"/>
      <c r="AW348" s="175"/>
      <c r="AX348" s="210"/>
      <c r="AY348" s="173"/>
      <c r="AZ348" s="179"/>
      <c r="BA348" s="179"/>
      <c r="BB348" s="175"/>
      <c r="BC348" s="49" t="e">
        <v>#REF!</v>
      </c>
      <c r="BD348" s="175"/>
    </row>
    <row r="349" spans="1:56" s="176" customFormat="1" x14ac:dyDescent="0.45">
      <c r="A349" s="13"/>
      <c r="B349" s="262"/>
      <c r="C349" s="262"/>
      <c r="D349" s="262"/>
      <c r="E349" s="262"/>
      <c r="F349" s="262"/>
      <c r="G349" s="262"/>
      <c r="H349" s="262"/>
      <c r="I349" s="262"/>
      <c r="J349" s="262"/>
      <c r="K349" s="262"/>
      <c r="L349" s="147"/>
      <c r="M349" s="262"/>
      <c r="N349" s="262"/>
      <c r="O349" s="262"/>
      <c r="P349" s="262"/>
      <c r="Q349" s="262"/>
      <c r="R349" s="262"/>
      <c r="S349" s="262"/>
      <c r="T349" s="262"/>
      <c r="U349" s="262"/>
      <c r="V349" s="262"/>
      <c r="W349" s="262"/>
      <c r="X349" s="175"/>
      <c r="Y349" s="175"/>
      <c r="Z349" s="175"/>
      <c r="AA349" s="175"/>
      <c r="AB349" s="175"/>
      <c r="AC349" s="175"/>
      <c r="AD349" s="175"/>
      <c r="AE349" s="175"/>
      <c r="AF349" s="175"/>
      <c r="AG349" s="179"/>
      <c r="AH349" s="179"/>
      <c r="AI349" s="177"/>
      <c r="AJ349" s="179"/>
      <c r="AK349" s="183"/>
      <c r="AL349" s="177"/>
      <c r="AM349" s="177"/>
      <c r="AN349" s="263"/>
      <c r="AO349" s="175"/>
      <c r="AP349" s="175"/>
      <c r="AQ349" s="307"/>
      <c r="AR349" s="175"/>
      <c r="AS349" s="170"/>
      <c r="AT349" s="170"/>
      <c r="AU349" s="214"/>
      <c r="AV349" s="268"/>
      <c r="AW349" s="175"/>
      <c r="AX349" s="210"/>
      <c r="AY349" s="173"/>
      <c r="AZ349" s="179"/>
      <c r="BA349" s="179"/>
      <c r="BB349" s="175"/>
      <c r="BC349" s="49" t="e">
        <v>#REF!</v>
      </c>
      <c r="BD349" s="175"/>
    </row>
    <row r="350" spans="1:56" s="176" customFormat="1" x14ac:dyDescent="0.45">
      <c r="A350" s="13"/>
      <c r="B350" s="262"/>
      <c r="C350" s="262"/>
      <c r="D350" s="262"/>
      <c r="E350" s="262"/>
      <c r="F350" s="262"/>
      <c r="G350" s="262"/>
      <c r="H350" s="262"/>
      <c r="I350" s="262"/>
      <c r="J350" s="262"/>
      <c r="K350" s="262"/>
      <c r="L350" s="147"/>
      <c r="M350" s="262"/>
      <c r="N350" s="262"/>
      <c r="O350" s="262"/>
      <c r="P350" s="262"/>
      <c r="Q350" s="262"/>
      <c r="R350" s="262"/>
      <c r="S350" s="262"/>
      <c r="T350" s="262"/>
      <c r="U350" s="262"/>
      <c r="V350" s="262"/>
      <c r="W350" s="262"/>
      <c r="X350" s="175"/>
      <c r="Y350" s="175"/>
      <c r="Z350" s="175"/>
      <c r="AA350" s="175"/>
      <c r="AB350" s="175"/>
      <c r="AC350" s="175"/>
      <c r="AD350" s="175"/>
      <c r="AE350" s="175"/>
      <c r="AF350" s="175"/>
      <c r="AG350" s="179"/>
      <c r="AH350" s="179"/>
      <c r="AI350" s="177"/>
      <c r="AJ350" s="179"/>
      <c r="AK350" s="183"/>
      <c r="AL350" s="177"/>
      <c r="AM350" s="177"/>
      <c r="AN350" s="263"/>
      <c r="AO350" s="175"/>
      <c r="AP350" s="175"/>
      <c r="AQ350" s="307"/>
      <c r="AR350" s="175"/>
      <c r="AS350" s="170"/>
      <c r="AT350" s="170"/>
      <c r="AU350" s="214"/>
      <c r="AV350" s="268"/>
      <c r="AW350" s="175"/>
      <c r="AX350" s="210"/>
      <c r="AY350" s="173"/>
      <c r="AZ350" s="179"/>
      <c r="BA350" s="179"/>
      <c r="BB350" s="175"/>
      <c r="BC350" s="49" t="e">
        <v>#REF!</v>
      </c>
      <c r="BD350" s="175"/>
    </row>
    <row r="351" spans="1:56" s="176" customFormat="1" x14ac:dyDescent="0.45">
      <c r="A351" s="12"/>
      <c r="B351" s="262"/>
      <c r="C351" s="262"/>
      <c r="D351" s="262"/>
      <c r="E351" s="262"/>
      <c r="F351" s="262"/>
      <c r="G351" s="262"/>
      <c r="H351" s="262"/>
      <c r="I351" s="262"/>
      <c r="J351" s="262"/>
      <c r="K351" s="262"/>
      <c r="L351" s="147"/>
      <c r="M351" s="262"/>
      <c r="N351" s="262"/>
      <c r="O351" s="262"/>
      <c r="P351" s="262"/>
      <c r="Q351" s="262"/>
      <c r="R351" s="262"/>
      <c r="S351" s="262"/>
      <c r="T351" s="262"/>
      <c r="U351" s="262"/>
      <c r="V351" s="262"/>
      <c r="W351" s="262"/>
      <c r="X351" s="175"/>
      <c r="Y351" s="175"/>
      <c r="Z351" s="175"/>
      <c r="AA351" s="175"/>
      <c r="AB351" s="175"/>
      <c r="AC351" s="175"/>
      <c r="AD351" s="175"/>
      <c r="AE351" s="175"/>
      <c r="AF351" s="175"/>
      <c r="AG351" s="179"/>
      <c r="AH351" s="179"/>
      <c r="AI351" s="177"/>
      <c r="AJ351" s="179"/>
      <c r="AK351" s="183"/>
      <c r="AL351" s="177"/>
      <c r="AM351" s="177"/>
      <c r="AN351" s="263"/>
      <c r="AO351" s="175"/>
      <c r="AP351" s="175"/>
      <c r="AQ351" s="307"/>
      <c r="AR351" s="175"/>
      <c r="AS351" s="170"/>
      <c r="AT351" s="170"/>
      <c r="AU351" s="214"/>
      <c r="AV351" s="268"/>
      <c r="AW351" s="175"/>
      <c r="AX351" s="210"/>
      <c r="AY351" s="173"/>
      <c r="AZ351" s="179"/>
      <c r="BA351" s="179"/>
      <c r="BB351" s="175"/>
      <c r="BC351" s="49" t="e">
        <v>#REF!</v>
      </c>
      <c r="BD351" s="175"/>
    </row>
    <row r="352" spans="1:56" s="176" customFormat="1" x14ac:dyDescent="0.45">
      <c r="A352" s="13"/>
      <c r="B352" s="262"/>
      <c r="C352" s="262"/>
      <c r="D352" s="262"/>
      <c r="E352" s="262"/>
      <c r="F352" s="262"/>
      <c r="G352" s="262"/>
      <c r="H352" s="262"/>
      <c r="I352" s="262"/>
      <c r="J352" s="262"/>
      <c r="K352" s="262"/>
      <c r="L352" s="147"/>
      <c r="M352" s="262"/>
      <c r="N352" s="262"/>
      <c r="O352" s="262"/>
      <c r="P352" s="262"/>
      <c r="Q352" s="262"/>
      <c r="R352" s="262"/>
      <c r="S352" s="262"/>
      <c r="T352" s="262"/>
      <c r="U352" s="262"/>
      <c r="V352" s="262"/>
      <c r="W352" s="262"/>
      <c r="X352" s="175"/>
      <c r="Y352" s="175"/>
      <c r="Z352" s="175"/>
      <c r="AA352" s="175"/>
      <c r="AB352" s="175"/>
      <c r="AC352" s="175"/>
      <c r="AD352" s="175"/>
      <c r="AE352" s="175"/>
      <c r="AF352" s="175"/>
      <c r="AG352" s="179"/>
      <c r="AH352" s="179"/>
      <c r="AI352" s="177"/>
      <c r="AJ352" s="179"/>
      <c r="AK352" s="183"/>
      <c r="AL352" s="177"/>
      <c r="AM352" s="177"/>
      <c r="AN352" s="263"/>
      <c r="AO352" s="175"/>
      <c r="AP352" s="175"/>
      <c r="AQ352" s="307"/>
      <c r="AR352" s="175"/>
      <c r="AS352" s="170"/>
      <c r="AT352" s="170"/>
      <c r="AU352" s="214"/>
      <c r="AV352" s="268"/>
      <c r="AW352" s="175"/>
      <c r="AX352" s="210"/>
      <c r="AY352" s="173"/>
      <c r="AZ352" s="179"/>
      <c r="BA352" s="179"/>
      <c r="BB352" s="175"/>
      <c r="BC352" s="49" t="e">
        <v>#REF!</v>
      </c>
      <c r="BD352" s="175"/>
    </row>
    <row r="353" spans="1:56" s="176" customFormat="1" x14ac:dyDescent="0.45">
      <c r="A353" s="13"/>
      <c r="B353" s="262"/>
      <c r="C353" s="262"/>
      <c r="D353" s="262"/>
      <c r="E353" s="262"/>
      <c r="F353" s="262"/>
      <c r="G353" s="262"/>
      <c r="H353" s="262"/>
      <c r="I353" s="262"/>
      <c r="J353" s="262"/>
      <c r="K353" s="262"/>
      <c r="L353" s="147"/>
      <c r="M353" s="262"/>
      <c r="N353" s="262"/>
      <c r="O353" s="262"/>
      <c r="P353" s="262"/>
      <c r="Q353" s="262"/>
      <c r="R353" s="262"/>
      <c r="S353" s="262"/>
      <c r="T353" s="262"/>
      <c r="U353" s="262"/>
      <c r="V353" s="262"/>
      <c r="W353" s="262"/>
      <c r="X353" s="175"/>
      <c r="Y353" s="175"/>
      <c r="Z353" s="175"/>
      <c r="AA353" s="175"/>
      <c r="AB353" s="175"/>
      <c r="AC353" s="175"/>
      <c r="AD353" s="175"/>
      <c r="AE353" s="175"/>
      <c r="AF353" s="175"/>
      <c r="AG353" s="179"/>
      <c r="AH353" s="179"/>
      <c r="AI353" s="177"/>
      <c r="AJ353" s="179"/>
      <c r="AK353" s="183"/>
      <c r="AL353" s="177"/>
      <c r="AM353" s="177"/>
      <c r="AN353" s="263"/>
      <c r="AO353" s="175"/>
      <c r="AP353" s="175"/>
      <c r="AQ353" s="307"/>
      <c r="AR353" s="175"/>
      <c r="AS353" s="170"/>
      <c r="AT353" s="170"/>
      <c r="AU353" s="214"/>
      <c r="AV353" s="268"/>
      <c r="AW353" s="175"/>
      <c r="AX353" s="210"/>
      <c r="AY353" s="173"/>
      <c r="AZ353" s="179"/>
      <c r="BA353" s="179"/>
      <c r="BB353" s="175"/>
      <c r="BC353" s="49" t="e">
        <v>#REF!</v>
      </c>
      <c r="BD353" s="175"/>
    </row>
    <row r="354" spans="1:56" s="176" customFormat="1" x14ac:dyDescent="0.45">
      <c r="A354" s="12"/>
      <c r="B354" s="262"/>
      <c r="C354" s="262"/>
      <c r="D354" s="262"/>
      <c r="E354" s="262"/>
      <c r="F354" s="262"/>
      <c r="G354" s="262"/>
      <c r="H354" s="262"/>
      <c r="I354" s="262"/>
      <c r="J354" s="262"/>
      <c r="K354" s="262"/>
      <c r="L354" s="147"/>
      <c r="M354" s="262"/>
      <c r="N354" s="262"/>
      <c r="O354" s="262"/>
      <c r="P354" s="262"/>
      <c r="Q354" s="262"/>
      <c r="R354" s="262"/>
      <c r="S354" s="262"/>
      <c r="T354" s="262"/>
      <c r="U354" s="262"/>
      <c r="V354" s="262"/>
      <c r="W354" s="262"/>
      <c r="X354" s="175"/>
      <c r="Y354" s="175"/>
      <c r="Z354" s="175"/>
      <c r="AA354" s="175"/>
      <c r="AB354" s="175"/>
      <c r="AC354" s="175"/>
      <c r="AD354" s="175"/>
      <c r="AE354" s="175"/>
      <c r="AF354" s="175"/>
      <c r="AG354" s="179"/>
      <c r="AH354" s="179"/>
      <c r="AI354" s="177"/>
      <c r="AJ354" s="179"/>
      <c r="AK354" s="183"/>
      <c r="AL354" s="177"/>
      <c r="AM354" s="177"/>
      <c r="AN354" s="263"/>
      <c r="AO354" s="175"/>
      <c r="AP354" s="175"/>
      <c r="AQ354" s="307"/>
      <c r="AR354" s="175"/>
      <c r="AS354" s="170"/>
      <c r="AT354" s="170"/>
      <c r="AU354" s="214"/>
      <c r="AV354" s="268"/>
      <c r="AW354" s="175"/>
      <c r="AX354" s="210"/>
      <c r="AY354" s="173"/>
      <c r="AZ354" s="179"/>
      <c r="BA354" s="179"/>
      <c r="BB354" s="175"/>
      <c r="BC354" s="49" t="e">
        <v>#REF!</v>
      </c>
      <c r="BD354" s="175"/>
    </row>
    <row r="355" spans="1:56" s="176" customFormat="1" x14ac:dyDescent="0.45">
      <c r="A355" s="13"/>
      <c r="B355" s="262"/>
      <c r="C355" s="262"/>
      <c r="D355" s="262"/>
      <c r="E355" s="262"/>
      <c r="F355" s="262"/>
      <c r="G355" s="262"/>
      <c r="H355" s="262"/>
      <c r="I355" s="262"/>
      <c r="J355" s="262"/>
      <c r="K355" s="262"/>
      <c r="L355" s="147"/>
      <c r="M355" s="262"/>
      <c r="N355" s="262"/>
      <c r="O355" s="262"/>
      <c r="P355" s="262"/>
      <c r="Q355" s="262"/>
      <c r="R355" s="262"/>
      <c r="S355" s="262"/>
      <c r="T355" s="262"/>
      <c r="U355" s="262"/>
      <c r="V355" s="262"/>
      <c r="W355" s="262"/>
      <c r="X355" s="175"/>
      <c r="Y355" s="175"/>
      <c r="Z355" s="175"/>
      <c r="AA355" s="175"/>
      <c r="AB355" s="175"/>
      <c r="AC355" s="175"/>
      <c r="AD355" s="175"/>
      <c r="AE355" s="175"/>
      <c r="AF355" s="175"/>
      <c r="AG355" s="179"/>
      <c r="AH355" s="179"/>
      <c r="AI355" s="177"/>
      <c r="AJ355" s="179"/>
      <c r="AK355" s="183"/>
      <c r="AL355" s="177"/>
      <c r="AM355" s="177"/>
      <c r="AN355" s="263"/>
      <c r="AO355" s="175"/>
      <c r="AP355" s="175"/>
      <c r="AQ355" s="307"/>
      <c r="AR355" s="175"/>
      <c r="AS355" s="170"/>
      <c r="AT355" s="170"/>
      <c r="AU355" s="214"/>
      <c r="AV355" s="268"/>
      <c r="AW355" s="175"/>
      <c r="AX355" s="210"/>
      <c r="AY355" s="173"/>
      <c r="AZ355" s="179"/>
      <c r="BA355" s="179"/>
      <c r="BB355" s="175"/>
      <c r="BC355" s="49" t="e">
        <v>#REF!</v>
      </c>
      <c r="BD355" s="175"/>
    </row>
    <row r="356" spans="1:56" s="176" customFormat="1" x14ac:dyDescent="0.45">
      <c r="A356" s="13"/>
      <c r="B356" s="262"/>
      <c r="C356" s="262"/>
      <c r="D356" s="262"/>
      <c r="E356" s="262"/>
      <c r="F356" s="262"/>
      <c r="G356" s="262"/>
      <c r="H356" s="262"/>
      <c r="I356" s="262"/>
      <c r="J356" s="262"/>
      <c r="K356" s="262"/>
      <c r="L356" s="147"/>
      <c r="M356" s="262"/>
      <c r="N356" s="262"/>
      <c r="O356" s="262"/>
      <c r="P356" s="262"/>
      <c r="Q356" s="262"/>
      <c r="R356" s="262"/>
      <c r="S356" s="262"/>
      <c r="T356" s="262"/>
      <c r="U356" s="262"/>
      <c r="V356" s="262"/>
      <c r="W356" s="262"/>
      <c r="X356" s="175"/>
      <c r="Y356" s="175"/>
      <c r="Z356" s="175"/>
      <c r="AA356" s="175"/>
      <c r="AB356" s="175"/>
      <c r="AC356" s="175"/>
      <c r="AD356" s="175"/>
      <c r="AE356" s="175"/>
      <c r="AF356" s="175"/>
      <c r="AG356" s="179"/>
      <c r="AH356" s="179"/>
      <c r="AI356" s="177"/>
      <c r="AJ356" s="179"/>
      <c r="AK356" s="183"/>
      <c r="AL356" s="177"/>
      <c r="AM356" s="177"/>
      <c r="AN356" s="263"/>
      <c r="AO356" s="175"/>
      <c r="AP356" s="175"/>
      <c r="AQ356" s="307"/>
      <c r="AR356" s="175"/>
      <c r="AS356" s="170"/>
      <c r="AT356" s="170"/>
      <c r="AU356" s="214"/>
      <c r="AV356" s="268"/>
      <c r="AW356" s="175"/>
      <c r="AX356" s="210"/>
      <c r="AY356" s="173"/>
      <c r="AZ356" s="179"/>
      <c r="BA356" s="179"/>
      <c r="BB356" s="175"/>
      <c r="BC356" s="49" t="e">
        <v>#REF!</v>
      </c>
      <c r="BD356" s="175"/>
    </row>
    <row r="357" spans="1:56" s="176" customFormat="1" x14ac:dyDescent="0.45">
      <c r="A357" s="12"/>
      <c r="B357" s="262"/>
      <c r="C357" s="262"/>
      <c r="D357" s="262"/>
      <c r="E357" s="262"/>
      <c r="F357" s="262"/>
      <c r="G357" s="262"/>
      <c r="H357" s="262"/>
      <c r="I357" s="262"/>
      <c r="J357" s="262"/>
      <c r="K357" s="262"/>
      <c r="L357" s="147"/>
      <c r="M357" s="262"/>
      <c r="N357" s="262"/>
      <c r="O357" s="262"/>
      <c r="P357" s="262"/>
      <c r="Q357" s="262"/>
      <c r="R357" s="262"/>
      <c r="S357" s="262"/>
      <c r="T357" s="262"/>
      <c r="U357" s="262"/>
      <c r="V357" s="262"/>
      <c r="W357" s="262"/>
      <c r="X357" s="175"/>
      <c r="Y357" s="175"/>
      <c r="Z357" s="175"/>
      <c r="AA357" s="175"/>
      <c r="AB357" s="175"/>
      <c r="AC357" s="175"/>
      <c r="AD357" s="175"/>
      <c r="AE357" s="175"/>
      <c r="AF357" s="175"/>
      <c r="AG357" s="179"/>
      <c r="AH357" s="179"/>
      <c r="AI357" s="177"/>
      <c r="AJ357" s="179"/>
      <c r="AK357" s="183"/>
      <c r="AL357" s="177"/>
      <c r="AM357" s="177"/>
      <c r="AN357" s="263"/>
      <c r="AO357" s="175"/>
      <c r="AP357" s="175"/>
      <c r="AQ357" s="307"/>
      <c r="AR357" s="175"/>
      <c r="AS357" s="170"/>
      <c r="AT357" s="170"/>
      <c r="AU357" s="214"/>
      <c r="AV357" s="268"/>
      <c r="AW357" s="175"/>
      <c r="AX357" s="210"/>
      <c r="AY357" s="173"/>
      <c r="AZ357" s="179"/>
      <c r="BA357" s="179"/>
      <c r="BB357" s="175"/>
      <c r="BC357" s="49" t="e">
        <v>#REF!</v>
      </c>
      <c r="BD357" s="175"/>
    </row>
    <row r="358" spans="1:56" s="176" customFormat="1" x14ac:dyDescent="0.45">
      <c r="A358" s="13"/>
      <c r="B358" s="262"/>
      <c r="C358" s="262"/>
      <c r="D358" s="262"/>
      <c r="E358" s="262"/>
      <c r="F358" s="262"/>
      <c r="G358" s="262"/>
      <c r="H358" s="262"/>
      <c r="I358" s="262"/>
      <c r="J358" s="262"/>
      <c r="K358" s="262"/>
      <c r="L358" s="177"/>
      <c r="M358" s="262"/>
      <c r="N358" s="262"/>
      <c r="O358" s="262"/>
      <c r="P358" s="262"/>
      <c r="Q358" s="262"/>
      <c r="R358" s="262"/>
      <c r="S358" s="262"/>
      <c r="T358" s="262"/>
      <c r="U358" s="262"/>
      <c r="V358" s="262"/>
      <c r="W358" s="262"/>
      <c r="X358" s="175"/>
      <c r="Y358" s="175"/>
      <c r="Z358" s="175"/>
      <c r="AA358" s="175"/>
      <c r="AB358" s="175"/>
      <c r="AC358" s="175"/>
      <c r="AD358" s="175"/>
      <c r="AE358" s="175"/>
      <c r="AF358" s="175"/>
      <c r="AG358" s="179"/>
      <c r="AH358" s="179"/>
      <c r="AI358" s="177"/>
      <c r="AJ358" s="179"/>
      <c r="AK358" s="183"/>
      <c r="AL358" s="177"/>
      <c r="AM358" s="177"/>
      <c r="AN358" s="144"/>
      <c r="AO358" s="175"/>
      <c r="AP358" s="175"/>
      <c r="AQ358" s="307"/>
      <c r="AR358" s="175"/>
      <c r="AS358" s="170"/>
      <c r="AT358" s="170"/>
      <c r="AU358" s="214"/>
      <c r="AV358" s="268"/>
      <c r="AW358" s="175"/>
      <c r="AX358" s="210"/>
      <c r="AY358" s="173"/>
      <c r="AZ358" s="179"/>
      <c r="BA358" s="179"/>
      <c r="BB358" s="175"/>
      <c r="BC358" s="49" t="e">
        <v>#REF!</v>
      </c>
      <c r="BD358" s="175"/>
    </row>
    <row r="359" spans="1:56" s="176" customFormat="1" x14ac:dyDescent="0.45">
      <c r="A359" s="13"/>
      <c r="B359" s="262"/>
      <c r="C359" s="262"/>
      <c r="D359" s="262"/>
      <c r="E359" s="262"/>
      <c r="F359" s="262"/>
      <c r="G359" s="262"/>
      <c r="H359" s="262"/>
      <c r="I359" s="262"/>
      <c r="J359" s="262"/>
      <c r="K359" s="262"/>
      <c r="L359" s="177"/>
      <c r="M359" s="262"/>
      <c r="N359" s="262"/>
      <c r="O359" s="262"/>
      <c r="P359" s="262"/>
      <c r="Q359" s="262"/>
      <c r="R359" s="262"/>
      <c r="S359" s="262"/>
      <c r="T359" s="262"/>
      <c r="U359" s="262"/>
      <c r="V359" s="262"/>
      <c r="W359" s="262"/>
      <c r="X359" s="175"/>
      <c r="Y359" s="175"/>
      <c r="Z359" s="175"/>
      <c r="AA359" s="175"/>
      <c r="AB359" s="175"/>
      <c r="AC359" s="175"/>
      <c r="AD359" s="175"/>
      <c r="AE359" s="175"/>
      <c r="AF359" s="175"/>
      <c r="AG359" s="179"/>
      <c r="AH359" s="179"/>
      <c r="AI359" s="177"/>
      <c r="AJ359" s="179"/>
      <c r="AK359" s="183"/>
      <c r="AL359" s="177"/>
      <c r="AM359" s="177"/>
      <c r="AN359" s="144"/>
      <c r="AO359" s="175"/>
      <c r="AP359" s="175"/>
      <c r="AQ359" s="307"/>
      <c r="AR359" s="175"/>
      <c r="AS359" s="170"/>
      <c r="AT359" s="170"/>
      <c r="AU359" s="214"/>
      <c r="AV359" s="268"/>
      <c r="AW359" s="175"/>
      <c r="AX359" s="210"/>
      <c r="AY359" s="173"/>
      <c r="AZ359" s="179"/>
      <c r="BA359" s="179"/>
      <c r="BB359" s="175"/>
      <c r="BC359" s="49" t="e">
        <v>#REF!</v>
      </c>
      <c r="BD359" s="175"/>
    </row>
    <row r="360" spans="1:56" s="176" customFormat="1" x14ac:dyDescent="0.45">
      <c r="A360" s="12"/>
      <c r="B360" s="262"/>
      <c r="C360" s="262"/>
      <c r="D360" s="262"/>
      <c r="E360" s="262"/>
      <c r="F360" s="262"/>
      <c r="G360" s="262"/>
      <c r="H360" s="262"/>
      <c r="I360" s="262"/>
      <c r="J360" s="262"/>
      <c r="K360" s="262"/>
      <c r="L360" s="177"/>
      <c r="M360" s="262"/>
      <c r="N360" s="262"/>
      <c r="O360" s="262"/>
      <c r="P360" s="262"/>
      <c r="Q360" s="262"/>
      <c r="R360" s="262"/>
      <c r="S360" s="262"/>
      <c r="T360" s="262"/>
      <c r="U360" s="262"/>
      <c r="V360" s="262"/>
      <c r="W360" s="262"/>
      <c r="X360" s="175"/>
      <c r="Y360" s="175"/>
      <c r="Z360" s="175"/>
      <c r="AA360" s="175"/>
      <c r="AB360" s="175"/>
      <c r="AC360" s="175"/>
      <c r="AD360" s="175"/>
      <c r="AE360" s="175"/>
      <c r="AF360" s="175"/>
      <c r="AG360" s="179"/>
      <c r="AH360" s="179"/>
      <c r="AI360" s="177"/>
      <c r="AJ360" s="179"/>
      <c r="AK360" s="183"/>
      <c r="AL360" s="177"/>
      <c r="AM360" s="177"/>
      <c r="AN360" s="144"/>
      <c r="AO360" s="175"/>
      <c r="AP360" s="175"/>
      <c r="AQ360" s="307"/>
      <c r="AR360" s="175"/>
      <c r="AS360" s="170"/>
      <c r="AT360" s="170"/>
      <c r="AU360" s="214"/>
      <c r="AV360" s="268"/>
      <c r="AW360" s="175"/>
      <c r="AX360" s="210"/>
      <c r="AY360" s="173"/>
      <c r="AZ360" s="179"/>
      <c r="BA360" s="179"/>
      <c r="BB360" s="175"/>
      <c r="BC360" s="49" t="e">
        <v>#REF!</v>
      </c>
      <c r="BD360" s="175"/>
    </row>
    <row r="361" spans="1:56" s="176" customFormat="1" x14ac:dyDescent="0.45">
      <c r="A361" s="13"/>
      <c r="B361" s="262"/>
      <c r="C361" s="262"/>
      <c r="D361" s="262"/>
      <c r="E361" s="262"/>
      <c r="F361" s="262"/>
      <c r="G361" s="262"/>
      <c r="H361" s="262"/>
      <c r="I361" s="262"/>
      <c r="J361" s="262"/>
      <c r="K361" s="262"/>
      <c r="L361" s="177"/>
      <c r="M361" s="262"/>
      <c r="N361" s="262"/>
      <c r="O361" s="262"/>
      <c r="P361" s="262"/>
      <c r="Q361" s="262"/>
      <c r="R361" s="262"/>
      <c r="S361" s="262"/>
      <c r="T361" s="262"/>
      <c r="U361" s="262"/>
      <c r="V361" s="262"/>
      <c r="W361" s="262"/>
      <c r="X361" s="175"/>
      <c r="Y361" s="175"/>
      <c r="Z361" s="175"/>
      <c r="AA361" s="175"/>
      <c r="AB361" s="175"/>
      <c r="AC361" s="175"/>
      <c r="AD361" s="175"/>
      <c r="AE361" s="175"/>
      <c r="AF361" s="175"/>
      <c r="AG361" s="179"/>
      <c r="AH361" s="179"/>
      <c r="AI361" s="177"/>
      <c r="AJ361" s="179"/>
      <c r="AK361" s="183"/>
      <c r="AL361" s="177"/>
      <c r="AM361" s="177"/>
      <c r="AN361" s="144"/>
      <c r="AO361" s="175"/>
      <c r="AP361" s="175"/>
      <c r="AQ361" s="307"/>
      <c r="AR361" s="175"/>
      <c r="AS361" s="170"/>
      <c r="AT361" s="170"/>
      <c r="AU361" s="214"/>
      <c r="AV361" s="268"/>
      <c r="AW361" s="175"/>
      <c r="AX361" s="210"/>
      <c r="AY361" s="173"/>
      <c r="AZ361" s="179"/>
      <c r="BA361" s="179"/>
      <c r="BB361" s="175"/>
      <c r="BC361" s="49" t="e">
        <v>#REF!</v>
      </c>
      <c r="BD361" s="175"/>
    </row>
    <row r="362" spans="1:56" s="176" customFormat="1" x14ac:dyDescent="0.45">
      <c r="A362" s="13"/>
      <c r="B362" s="262"/>
      <c r="C362" s="262"/>
      <c r="D362" s="262"/>
      <c r="E362" s="262"/>
      <c r="F362" s="262"/>
      <c r="G362" s="262"/>
      <c r="H362" s="262"/>
      <c r="I362" s="262"/>
      <c r="J362" s="262"/>
      <c r="K362" s="262"/>
      <c r="L362" s="177"/>
      <c r="M362" s="262"/>
      <c r="N362" s="262"/>
      <c r="O362" s="262"/>
      <c r="P362" s="262"/>
      <c r="Q362" s="262"/>
      <c r="R362" s="262"/>
      <c r="S362" s="262"/>
      <c r="T362" s="262"/>
      <c r="U362" s="262"/>
      <c r="V362" s="262"/>
      <c r="W362" s="262"/>
      <c r="X362" s="175"/>
      <c r="Y362" s="175"/>
      <c r="Z362" s="175"/>
      <c r="AA362" s="175"/>
      <c r="AB362" s="175"/>
      <c r="AC362" s="175"/>
      <c r="AD362" s="175"/>
      <c r="AE362" s="175"/>
      <c r="AF362" s="175"/>
      <c r="AG362" s="179"/>
      <c r="AH362" s="179"/>
      <c r="AI362" s="177"/>
      <c r="AJ362" s="179"/>
      <c r="AK362" s="183"/>
      <c r="AL362" s="177"/>
      <c r="AM362" s="177"/>
      <c r="AN362" s="144"/>
      <c r="AO362" s="175"/>
      <c r="AP362" s="175"/>
      <c r="AQ362" s="307"/>
      <c r="AR362" s="175"/>
      <c r="AS362" s="170"/>
      <c r="AT362" s="170"/>
      <c r="AU362" s="214"/>
      <c r="AV362" s="268"/>
      <c r="AW362" s="175"/>
      <c r="AX362" s="210"/>
      <c r="AY362" s="173"/>
      <c r="AZ362" s="179"/>
      <c r="BA362" s="179"/>
      <c r="BB362" s="175"/>
      <c r="BC362" s="49" t="e">
        <v>#REF!</v>
      </c>
      <c r="BD362" s="175"/>
    </row>
    <row r="363" spans="1:56" s="176" customFormat="1" x14ac:dyDescent="0.45">
      <c r="A363" s="12"/>
      <c r="B363" s="262"/>
      <c r="C363" s="262"/>
      <c r="D363" s="262"/>
      <c r="E363" s="262"/>
      <c r="F363" s="262"/>
      <c r="G363" s="262"/>
      <c r="H363" s="262"/>
      <c r="I363" s="262"/>
      <c r="J363" s="262"/>
      <c r="K363" s="262"/>
      <c r="L363" s="177"/>
      <c r="M363" s="262"/>
      <c r="N363" s="262"/>
      <c r="O363" s="262"/>
      <c r="P363" s="262"/>
      <c r="Q363" s="262"/>
      <c r="R363" s="262"/>
      <c r="S363" s="262"/>
      <c r="T363" s="262"/>
      <c r="U363" s="262"/>
      <c r="V363" s="262"/>
      <c r="W363" s="262"/>
      <c r="X363" s="175"/>
      <c r="Y363" s="175"/>
      <c r="Z363" s="175"/>
      <c r="AA363" s="175"/>
      <c r="AB363" s="175"/>
      <c r="AC363" s="175"/>
      <c r="AD363" s="175"/>
      <c r="AE363" s="175"/>
      <c r="AF363" s="175"/>
      <c r="AG363" s="179"/>
      <c r="AH363" s="179"/>
      <c r="AI363" s="177"/>
      <c r="AJ363" s="179"/>
      <c r="AK363" s="183"/>
      <c r="AL363" s="177"/>
      <c r="AM363" s="177"/>
      <c r="AN363" s="144"/>
      <c r="AO363" s="175"/>
      <c r="AP363" s="175"/>
      <c r="AQ363" s="307"/>
      <c r="AR363" s="175"/>
      <c r="AS363" s="170"/>
      <c r="AT363" s="170"/>
      <c r="AU363" s="214"/>
      <c r="AV363" s="268"/>
      <c r="AW363" s="175"/>
      <c r="AX363" s="210"/>
      <c r="AY363" s="173"/>
      <c r="AZ363" s="179"/>
      <c r="BA363" s="179"/>
      <c r="BB363" s="175"/>
      <c r="BC363" s="49" t="e">
        <v>#REF!</v>
      </c>
      <c r="BD363" s="175"/>
    </row>
    <row r="364" spans="1:56" s="176" customFormat="1" x14ac:dyDescent="0.45">
      <c r="A364" s="13"/>
      <c r="B364" s="262"/>
      <c r="C364" s="262"/>
      <c r="D364" s="262"/>
      <c r="E364" s="262"/>
      <c r="F364" s="262"/>
      <c r="G364" s="262"/>
      <c r="H364" s="262"/>
      <c r="I364" s="262"/>
      <c r="J364" s="262"/>
      <c r="K364" s="262"/>
      <c r="L364" s="177"/>
      <c r="M364" s="262"/>
      <c r="N364" s="262"/>
      <c r="O364" s="262"/>
      <c r="P364" s="262"/>
      <c r="Q364" s="262"/>
      <c r="R364" s="262"/>
      <c r="S364" s="262"/>
      <c r="T364" s="262"/>
      <c r="U364" s="262"/>
      <c r="V364" s="262"/>
      <c r="W364" s="262"/>
      <c r="X364" s="175"/>
      <c r="Y364" s="175"/>
      <c r="Z364" s="175"/>
      <c r="AA364" s="175"/>
      <c r="AB364" s="175"/>
      <c r="AC364" s="175"/>
      <c r="AD364" s="175"/>
      <c r="AE364" s="175"/>
      <c r="AF364" s="175"/>
      <c r="AG364" s="179"/>
      <c r="AH364" s="179"/>
      <c r="AI364" s="177"/>
      <c r="AJ364" s="179"/>
      <c r="AK364" s="183"/>
      <c r="AL364" s="177"/>
      <c r="AM364" s="177"/>
      <c r="AN364" s="144"/>
      <c r="AO364" s="175"/>
      <c r="AP364" s="175"/>
      <c r="AQ364" s="307"/>
      <c r="AR364" s="175"/>
      <c r="AS364" s="170"/>
      <c r="AT364" s="170"/>
      <c r="AU364" s="214"/>
      <c r="AV364" s="268"/>
      <c r="AW364" s="175"/>
      <c r="AX364" s="210"/>
      <c r="AY364" s="173"/>
      <c r="AZ364" s="179"/>
      <c r="BA364" s="179"/>
      <c r="BB364" s="175"/>
      <c r="BC364" s="49" t="e">
        <v>#REF!</v>
      </c>
      <c r="BD364" s="175"/>
    </row>
    <row r="365" spans="1:56" s="176" customFormat="1" x14ac:dyDescent="0.45">
      <c r="A365" s="13"/>
      <c r="B365" s="262"/>
      <c r="C365" s="262"/>
      <c r="D365" s="262"/>
      <c r="E365" s="262"/>
      <c r="F365" s="262"/>
      <c r="G365" s="262"/>
      <c r="H365" s="262"/>
      <c r="I365" s="262"/>
      <c r="J365" s="262"/>
      <c r="K365" s="262"/>
      <c r="L365" s="177"/>
      <c r="M365" s="262"/>
      <c r="N365" s="262"/>
      <c r="O365" s="262"/>
      <c r="P365" s="262"/>
      <c r="Q365" s="262"/>
      <c r="R365" s="262"/>
      <c r="S365" s="262"/>
      <c r="T365" s="262"/>
      <c r="U365" s="262"/>
      <c r="V365" s="262"/>
      <c r="W365" s="262"/>
      <c r="X365" s="175"/>
      <c r="Y365" s="175"/>
      <c r="Z365" s="175"/>
      <c r="AA365" s="175"/>
      <c r="AB365" s="175"/>
      <c r="AC365" s="175"/>
      <c r="AD365" s="175"/>
      <c r="AE365" s="175"/>
      <c r="AF365" s="175"/>
      <c r="AG365" s="179"/>
      <c r="AH365" s="179"/>
      <c r="AI365" s="177"/>
      <c r="AJ365" s="179"/>
      <c r="AK365" s="183"/>
      <c r="AL365" s="177"/>
      <c r="AM365" s="177"/>
      <c r="AN365" s="144"/>
      <c r="AO365" s="175"/>
      <c r="AP365" s="175"/>
      <c r="AQ365" s="307"/>
      <c r="AR365" s="175"/>
      <c r="AS365" s="170"/>
      <c r="AT365" s="170"/>
      <c r="AU365" s="214"/>
      <c r="AV365" s="268"/>
      <c r="AW365" s="175"/>
      <c r="AX365" s="210"/>
      <c r="AY365" s="173"/>
      <c r="AZ365" s="179"/>
      <c r="BA365" s="179"/>
      <c r="BB365" s="175"/>
      <c r="BC365" s="49" t="e">
        <v>#REF!</v>
      </c>
      <c r="BD365" s="175"/>
    </row>
    <row r="366" spans="1:56" s="176" customFormat="1" x14ac:dyDescent="0.45">
      <c r="A366" s="12"/>
      <c r="B366" s="262"/>
      <c r="C366" s="262"/>
      <c r="D366" s="262"/>
      <c r="E366" s="262"/>
      <c r="F366" s="262"/>
      <c r="G366" s="262"/>
      <c r="H366" s="262"/>
      <c r="I366" s="262"/>
      <c r="J366" s="262"/>
      <c r="K366" s="262"/>
      <c r="L366" s="177"/>
      <c r="M366" s="262"/>
      <c r="N366" s="262"/>
      <c r="O366" s="262"/>
      <c r="P366" s="262"/>
      <c r="Q366" s="262"/>
      <c r="R366" s="262"/>
      <c r="S366" s="262"/>
      <c r="T366" s="262"/>
      <c r="U366" s="262"/>
      <c r="V366" s="262"/>
      <c r="W366" s="262"/>
      <c r="X366" s="175"/>
      <c r="Y366" s="175"/>
      <c r="Z366" s="175"/>
      <c r="AA366" s="175"/>
      <c r="AB366" s="175"/>
      <c r="AC366" s="175"/>
      <c r="AD366" s="175"/>
      <c r="AE366" s="175"/>
      <c r="AF366" s="175"/>
      <c r="AG366" s="179"/>
      <c r="AH366" s="179"/>
      <c r="AI366" s="177"/>
      <c r="AJ366" s="179"/>
      <c r="AK366" s="183"/>
      <c r="AL366" s="177"/>
      <c r="AM366" s="177"/>
      <c r="AN366" s="144"/>
      <c r="AO366" s="175"/>
      <c r="AP366" s="175"/>
      <c r="AQ366" s="307"/>
      <c r="AR366" s="175"/>
      <c r="AS366" s="170"/>
      <c r="AT366" s="170"/>
      <c r="AU366" s="214"/>
      <c r="AV366" s="268"/>
      <c r="AW366" s="175"/>
      <c r="AX366" s="210"/>
      <c r="AY366" s="173"/>
      <c r="AZ366" s="179"/>
      <c r="BA366" s="179"/>
      <c r="BB366" s="175"/>
      <c r="BC366" s="49" t="e">
        <v>#REF!</v>
      </c>
      <c r="BD366" s="175"/>
    </row>
    <row r="367" spans="1:56" s="176" customFormat="1" x14ac:dyDescent="0.45">
      <c r="A367" s="13"/>
      <c r="B367" s="262"/>
      <c r="C367" s="262"/>
      <c r="D367" s="262"/>
      <c r="E367" s="262"/>
      <c r="F367" s="262"/>
      <c r="G367" s="262"/>
      <c r="H367" s="262"/>
      <c r="I367" s="262"/>
      <c r="J367" s="262"/>
      <c r="K367" s="262"/>
      <c r="L367" s="177"/>
      <c r="M367" s="262"/>
      <c r="N367" s="262"/>
      <c r="O367" s="262"/>
      <c r="P367" s="262"/>
      <c r="Q367" s="262"/>
      <c r="R367" s="262"/>
      <c r="S367" s="262"/>
      <c r="T367" s="262"/>
      <c r="U367" s="262"/>
      <c r="V367" s="262"/>
      <c r="W367" s="262"/>
      <c r="X367" s="175"/>
      <c r="Y367" s="175"/>
      <c r="Z367" s="175"/>
      <c r="AA367" s="175"/>
      <c r="AB367" s="175"/>
      <c r="AC367" s="175"/>
      <c r="AD367" s="175"/>
      <c r="AE367" s="175"/>
      <c r="AF367" s="175"/>
      <c r="AG367" s="179"/>
      <c r="AH367" s="179"/>
      <c r="AI367" s="177"/>
      <c r="AJ367" s="179"/>
      <c r="AK367" s="183"/>
      <c r="AL367" s="177"/>
      <c r="AM367" s="177"/>
      <c r="AN367" s="144"/>
      <c r="AO367" s="175"/>
      <c r="AP367" s="175"/>
      <c r="AQ367" s="307"/>
      <c r="AR367" s="175"/>
      <c r="AS367" s="170"/>
      <c r="AT367" s="170"/>
      <c r="AU367" s="214"/>
      <c r="AV367" s="268"/>
      <c r="AW367" s="175"/>
      <c r="AX367" s="210"/>
      <c r="AY367" s="173"/>
      <c r="AZ367" s="179"/>
      <c r="BA367" s="179"/>
      <c r="BB367" s="175"/>
      <c r="BC367" s="49" t="e">
        <v>#REF!</v>
      </c>
      <c r="BD367" s="175"/>
    </row>
    <row r="368" spans="1:56" s="176" customFormat="1" x14ac:dyDescent="0.45">
      <c r="A368" s="13"/>
      <c r="B368" s="262"/>
      <c r="C368" s="262"/>
      <c r="D368" s="262"/>
      <c r="E368" s="262"/>
      <c r="F368" s="262"/>
      <c r="G368" s="262"/>
      <c r="H368" s="262"/>
      <c r="I368" s="262"/>
      <c r="J368" s="262"/>
      <c r="K368" s="262"/>
      <c r="L368" s="177"/>
      <c r="M368" s="262"/>
      <c r="N368" s="262"/>
      <c r="O368" s="262"/>
      <c r="P368" s="262"/>
      <c r="Q368" s="262"/>
      <c r="R368" s="262"/>
      <c r="S368" s="262"/>
      <c r="T368" s="262"/>
      <c r="U368" s="262"/>
      <c r="V368" s="262"/>
      <c r="W368" s="262"/>
      <c r="X368" s="175"/>
      <c r="Y368" s="175"/>
      <c r="Z368" s="175"/>
      <c r="AA368" s="175"/>
      <c r="AB368" s="175"/>
      <c r="AC368" s="175"/>
      <c r="AD368" s="175"/>
      <c r="AE368" s="175"/>
      <c r="AF368" s="175"/>
      <c r="AG368" s="179"/>
      <c r="AH368" s="179"/>
      <c r="AI368" s="177"/>
      <c r="AJ368" s="179"/>
      <c r="AK368" s="183"/>
      <c r="AL368" s="177"/>
      <c r="AM368" s="177"/>
      <c r="AN368" s="144"/>
      <c r="AO368" s="175"/>
      <c r="AP368" s="175"/>
      <c r="AQ368" s="307"/>
      <c r="AR368" s="175"/>
      <c r="AS368" s="170"/>
      <c r="AT368" s="170"/>
      <c r="AU368" s="214"/>
      <c r="AV368" s="268"/>
      <c r="AW368" s="175"/>
      <c r="AX368" s="210"/>
      <c r="AY368" s="173"/>
      <c r="AZ368" s="179"/>
      <c r="BA368" s="179"/>
      <c r="BB368" s="175"/>
      <c r="BC368" s="49" t="e">
        <v>#REF!</v>
      </c>
      <c r="BD368" s="175"/>
    </row>
    <row r="369" spans="1:56" s="176" customFormat="1" x14ac:dyDescent="0.45">
      <c r="A369" s="12"/>
      <c r="B369" s="262"/>
      <c r="C369" s="262"/>
      <c r="D369" s="262"/>
      <c r="E369" s="262"/>
      <c r="F369" s="262"/>
      <c r="G369" s="262"/>
      <c r="H369" s="262"/>
      <c r="I369" s="262"/>
      <c r="J369" s="262"/>
      <c r="K369" s="262"/>
      <c r="L369" s="177"/>
      <c r="M369" s="262"/>
      <c r="N369" s="262"/>
      <c r="O369" s="262"/>
      <c r="P369" s="262"/>
      <c r="Q369" s="262"/>
      <c r="R369" s="262"/>
      <c r="S369" s="262"/>
      <c r="T369" s="262"/>
      <c r="U369" s="262"/>
      <c r="V369" s="262"/>
      <c r="W369" s="262"/>
      <c r="X369" s="175"/>
      <c r="Y369" s="175"/>
      <c r="Z369" s="175"/>
      <c r="AA369" s="175"/>
      <c r="AB369" s="175"/>
      <c r="AC369" s="175"/>
      <c r="AD369" s="175"/>
      <c r="AE369" s="175"/>
      <c r="AF369" s="175"/>
      <c r="AG369" s="179"/>
      <c r="AH369" s="179"/>
      <c r="AI369" s="177"/>
      <c r="AJ369" s="179"/>
      <c r="AK369" s="183"/>
      <c r="AL369" s="177"/>
      <c r="AM369" s="177"/>
      <c r="AN369" s="144"/>
      <c r="AO369" s="175"/>
      <c r="AP369" s="175"/>
      <c r="AQ369" s="307"/>
      <c r="AR369" s="175"/>
      <c r="AS369" s="170"/>
      <c r="AT369" s="170"/>
      <c r="AU369" s="214"/>
      <c r="AV369" s="268"/>
      <c r="AW369" s="175"/>
      <c r="AX369" s="210"/>
      <c r="AY369" s="173"/>
      <c r="AZ369" s="179"/>
      <c r="BA369" s="179"/>
      <c r="BB369" s="175"/>
      <c r="BC369" s="49" t="e">
        <v>#REF!</v>
      </c>
      <c r="BD369" s="175"/>
    </row>
    <row r="370" spans="1:56" s="176" customFormat="1" x14ac:dyDescent="0.45">
      <c r="A370" s="13"/>
      <c r="B370" s="262"/>
      <c r="C370" s="262"/>
      <c r="D370" s="262"/>
      <c r="E370" s="262"/>
      <c r="F370" s="262"/>
      <c r="G370" s="262"/>
      <c r="H370" s="262"/>
      <c r="I370" s="262"/>
      <c r="J370" s="262"/>
      <c r="K370" s="262"/>
      <c r="L370" s="177"/>
      <c r="M370" s="262"/>
      <c r="N370" s="262"/>
      <c r="O370" s="262"/>
      <c r="P370" s="262"/>
      <c r="Q370" s="262"/>
      <c r="R370" s="262"/>
      <c r="S370" s="262"/>
      <c r="T370" s="262"/>
      <c r="U370" s="262"/>
      <c r="V370" s="262"/>
      <c r="W370" s="262"/>
      <c r="X370" s="175"/>
      <c r="Y370" s="175"/>
      <c r="Z370" s="175"/>
      <c r="AA370" s="175"/>
      <c r="AB370" s="175"/>
      <c r="AC370" s="175"/>
      <c r="AD370" s="175"/>
      <c r="AE370" s="175"/>
      <c r="AF370" s="175"/>
      <c r="AG370" s="179"/>
      <c r="AH370" s="179"/>
      <c r="AI370" s="177"/>
      <c r="AJ370" s="179"/>
      <c r="AK370" s="183"/>
      <c r="AL370" s="177"/>
      <c r="AM370" s="177"/>
      <c r="AN370" s="144"/>
      <c r="AO370" s="175"/>
      <c r="AP370" s="175"/>
      <c r="AQ370" s="307"/>
      <c r="AR370" s="175"/>
      <c r="AS370" s="170"/>
      <c r="AT370" s="170"/>
      <c r="AU370" s="214"/>
      <c r="AV370" s="268"/>
      <c r="AW370" s="175"/>
      <c r="AX370" s="210"/>
      <c r="AY370" s="173"/>
      <c r="AZ370" s="179"/>
      <c r="BA370" s="179"/>
      <c r="BB370" s="175"/>
      <c r="BC370" s="49" t="e">
        <v>#REF!</v>
      </c>
      <c r="BD370" s="175"/>
    </row>
    <row r="371" spans="1:56" s="176" customFormat="1" x14ac:dyDescent="0.45">
      <c r="A371" s="13"/>
      <c r="B371" s="262"/>
      <c r="C371" s="262"/>
      <c r="D371" s="262"/>
      <c r="E371" s="262"/>
      <c r="F371" s="262"/>
      <c r="G371" s="262"/>
      <c r="H371" s="262"/>
      <c r="I371" s="262"/>
      <c r="J371" s="262"/>
      <c r="K371" s="262"/>
      <c r="L371" s="177"/>
      <c r="M371" s="262"/>
      <c r="N371" s="262"/>
      <c r="O371" s="262"/>
      <c r="P371" s="262"/>
      <c r="Q371" s="262"/>
      <c r="R371" s="262"/>
      <c r="S371" s="262"/>
      <c r="T371" s="262"/>
      <c r="U371" s="262"/>
      <c r="V371" s="262"/>
      <c r="W371" s="262"/>
      <c r="X371" s="175"/>
      <c r="Y371" s="175"/>
      <c r="Z371" s="175"/>
      <c r="AA371" s="175"/>
      <c r="AB371" s="175"/>
      <c r="AC371" s="175"/>
      <c r="AD371" s="175"/>
      <c r="AE371" s="175"/>
      <c r="AF371" s="175"/>
      <c r="AG371" s="179"/>
      <c r="AH371" s="179"/>
      <c r="AI371" s="177"/>
      <c r="AJ371" s="179"/>
      <c r="AK371" s="183"/>
      <c r="AL371" s="177"/>
      <c r="AM371" s="177"/>
      <c r="AN371" s="144"/>
      <c r="AO371" s="175"/>
      <c r="AP371" s="175"/>
      <c r="AQ371" s="307"/>
      <c r="AR371" s="175"/>
      <c r="AS371" s="170"/>
      <c r="AT371" s="170"/>
      <c r="AU371" s="214"/>
      <c r="AV371" s="268"/>
      <c r="AW371" s="175"/>
      <c r="AX371" s="210"/>
      <c r="AY371" s="173"/>
      <c r="AZ371" s="179"/>
      <c r="BA371" s="179"/>
      <c r="BB371" s="175"/>
      <c r="BC371" s="49" t="e">
        <v>#REF!</v>
      </c>
      <c r="BD371" s="175"/>
    </row>
    <row r="372" spans="1:56" s="176" customFormat="1" x14ac:dyDescent="0.45">
      <c r="A372" s="12"/>
      <c r="B372" s="262"/>
      <c r="C372" s="262"/>
      <c r="D372" s="262"/>
      <c r="E372" s="262"/>
      <c r="F372" s="262"/>
      <c r="G372" s="262"/>
      <c r="H372" s="262"/>
      <c r="I372" s="262"/>
      <c r="J372" s="262"/>
      <c r="K372" s="262"/>
      <c r="L372" s="177"/>
      <c r="M372" s="262"/>
      <c r="N372" s="262"/>
      <c r="O372" s="262"/>
      <c r="P372" s="262"/>
      <c r="Q372" s="262"/>
      <c r="R372" s="262"/>
      <c r="S372" s="262"/>
      <c r="T372" s="262"/>
      <c r="U372" s="262"/>
      <c r="V372" s="262"/>
      <c r="W372" s="262"/>
      <c r="X372" s="175"/>
      <c r="Y372" s="175"/>
      <c r="Z372" s="175"/>
      <c r="AA372" s="175"/>
      <c r="AB372" s="175"/>
      <c r="AC372" s="175"/>
      <c r="AD372" s="175"/>
      <c r="AE372" s="175"/>
      <c r="AF372" s="175"/>
      <c r="AG372" s="179"/>
      <c r="AH372" s="179"/>
      <c r="AI372" s="177"/>
      <c r="AJ372" s="179"/>
      <c r="AK372" s="183"/>
      <c r="AL372" s="177"/>
      <c r="AM372" s="177"/>
      <c r="AN372" s="144"/>
      <c r="AO372" s="175"/>
      <c r="AP372" s="175"/>
      <c r="AQ372" s="307"/>
      <c r="AR372" s="175"/>
      <c r="AS372" s="170"/>
      <c r="AT372" s="170"/>
      <c r="AU372" s="214"/>
      <c r="AV372" s="268"/>
      <c r="AW372" s="175"/>
      <c r="AX372" s="210"/>
      <c r="AY372" s="173"/>
      <c r="AZ372" s="179"/>
      <c r="BA372" s="179"/>
      <c r="BB372" s="175"/>
      <c r="BC372" s="49" t="e">
        <v>#REF!</v>
      </c>
      <c r="BD372" s="175"/>
    </row>
    <row r="373" spans="1:56" s="176" customFormat="1" x14ac:dyDescent="0.45">
      <c r="A373" s="13"/>
      <c r="B373" s="262"/>
      <c r="C373" s="262"/>
      <c r="D373" s="262"/>
      <c r="E373" s="262"/>
      <c r="F373" s="262"/>
      <c r="G373" s="262"/>
      <c r="H373" s="262"/>
      <c r="I373" s="262"/>
      <c r="J373" s="262"/>
      <c r="K373" s="262"/>
      <c r="L373" s="177"/>
      <c r="M373" s="262"/>
      <c r="N373" s="262"/>
      <c r="O373" s="262"/>
      <c r="P373" s="262"/>
      <c r="Q373" s="262"/>
      <c r="R373" s="262"/>
      <c r="S373" s="262"/>
      <c r="T373" s="262"/>
      <c r="U373" s="262"/>
      <c r="V373" s="262"/>
      <c r="W373" s="262"/>
      <c r="X373" s="175"/>
      <c r="Y373" s="175"/>
      <c r="Z373" s="175"/>
      <c r="AA373" s="175"/>
      <c r="AB373" s="175"/>
      <c r="AC373" s="175"/>
      <c r="AD373" s="175"/>
      <c r="AE373" s="175"/>
      <c r="AF373" s="175"/>
      <c r="AG373" s="179"/>
      <c r="AH373" s="179"/>
      <c r="AI373" s="177"/>
      <c r="AJ373" s="179"/>
      <c r="AK373" s="183"/>
      <c r="AL373" s="177"/>
      <c r="AM373" s="177"/>
      <c r="AN373" s="263"/>
      <c r="AO373" s="175"/>
      <c r="AP373" s="175"/>
      <c r="AQ373" s="307"/>
      <c r="AR373" s="175"/>
      <c r="AS373" s="170"/>
      <c r="AT373" s="170"/>
      <c r="AU373" s="214"/>
      <c r="AV373" s="268"/>
      <c r="AW373" s="175"/>
      <c r="AX373" s="210"/>
      <c r="AY373" s="173"/>
      <c r="AZ373" s="179"/>
      <c r="BA373" s="179"/>
      <c r="BB373" s="175"/>
      <c r="BC373" s="49" t="e">
        <v>#REF!</v>
      </c>
      <c r="BD373" s="175"/>
    </row>
    <row r="374" spans="1:56" s="176" customFormat="1" x14ac:dyDescent="0.45">
      <c r="A374" s="13"/>
      <c r="B374" s="262"/>
      <c r="C374" s="262"/>
      <c r="D374" s="262"/>
      <c r="E374" s="262"/>
      <c r="F374" s="262"/>
      <c r="G374" s="262"/>
      <c r="H374" s="262"/>
      <c r="I374" s="262"/>
      <c r="J374" s="262"/>
      <c r="K374" s="262"/>
      <c r="L374" s="177"/>
      <c r="M374" s="262"/>
      <c r="N374" s="262"/>
      <c r="O374" s="262"/>
      <c r="P374" s="262"/>
      <c r="Q374" s="262"/>
      <c r="R374" s="262"/>
      <c r="S374" s="262"/>
      <c r="T374" s="262"/>
      <c r="U374" s="262"/>
      <c r="V374" s="262"/>
      <c r="W374" s="262"/>
      <c r="X374" s="175"/>
      <c r="Y374" s="175"/>
      <c r="Z374" s="175"/>
      <c r="AA374" s="175"/>
      <c r="AB374" s="175"/>
      <c r="AC374" s="175"/>
      <c r="AD374" s="175"/>
      <c r="AE374" s="175"/>
      <c r="AF374" s="175"/>
      <c r="AG374" s="179"/>
      <c r="AH374" s="179"/>
      <c r="AI374" s="177"/>
      <c r="AJ374" s="179"/>
      <c r="AK374" s="183"/>
      <c r="AL374" s="177"/>
      <c r="AM374" s="177"/>
      <c r="AN374" s="263"/>
      <c r="AO374" s="175"/>
      <c r="AP374" s="175"/>
      <c r="AQ374" s="307"/>
      <c r="AR374" s="175"/>
      <c r="AS374" s="170"/>
      <c r="AT374" s="170"/>
      <c r="AU374" s="214"/>
      <c r="AV374" s="268"/>
      <c r="AW374" s="175"/>
      <c r="AX374" s="210"/>
      <c r="AY374" s="173"/>
      <c r="AZ374" s="179"/>
      <c r="BA374" s="179"/>
      <c r="BB374" s="175"/>
      <c r="BC374" s="49" t="e">
        <v>#REF!</v>
      </c>
      <c r="BD374" s="175"/>
    </row>
    <row r="375" spans="1:56" s="176" customFormat="1" x14ac:dyDescent="0.45">
      <c r="A375" s="12"/>
      <c r="B375" s="262"/>
      <c r="C375" s="262"/>
      <c r="D375" s="262"/>
      <c r="E375" s="262"/>
      <c r="F375" s="262"/>
      <c r="G375" s="262"/>
      <c r="H375" s="262"/>
      <c r="I375" s="262"/>
      <c r="J375" s="262"/>
      <c r="K375" s="262"/>
      <c r="L375" s="177"/>
      <c r="M375" s="262"/>
      <c r="N375" s="262"/>
      <c r="O375" s="262"/>
      <c r="P375" s="262"/>
      <c r="Q375" s="262"/>
      <c r="R375" s="262"/>
      <c r="S375" s="262"/>
      <c r="T375" s="262"/>
      <c r="U375" s="262"/>
      <c r="V375" s="262"/>
      <c r="W375" s="262"/>
      <c r="X375" s="175"/>
      <c r="Y375" s="175"/>
      <c r="Z375" s="175"/>
      <c r="AA375" s="175"/>
      <c r="AB375" s="175"/>
      <c r="AC375" s="175"/>
      <c r="AD375" s="175"/>
      <c r="AE375" s="175"/>
      <c r="AF375" s="175"/>
      <c r="AG375" s="179"/>
      <c r="AH375" s="179"/>
      <c r="AI375" s="177"/>
      <c r="AJ375" s="179"/>
      <c r="AK375" s="183"/>
      <c r="AL375" s="177"/>
      <c r="AM375" s="177"/>
      <c r="AN375" s="263"/>
      <c r="AO375" s="175"/>
      <c r="AP375" s="175"/>
      <c r="AQ375" s="307"/>
      <c r="AR375" s="175"/>
      <c r="AS375" s="170"/>
      <c r="AT375" s="170"/>
      <c r="AU375" s="214"/>
      <c r="AV375" s="268"/>
      <c r="AW375" s="175"/>
      <c r="AX375" s="210"/>
      <c r="AY375" s="173"/>
      <c r="AZ375" s="179"/>
      <c r="BA375" s="179"/>
      <c r="BB375" s="175"/>
      <c r="BC375" s="49" t="e">
        <v>#REF!</v>
      </c>
      <c r="BD375" s="175"/>
    </row>
    <row r="376" spans="1:56" s="176" customFormat="1" x14ac:dyDescent="0.45">
      <c r="A376" s="13"/>
      <c r="B376" s="262"/>
      <c r="C376" s="262"/>
      <c r="D376" s="262"/>
      <c r="E376" s="262"/>
      <c r="F376" s="262"/>
      <c r="G376" s="262"/>
      <c r="H376" s="262"/>
      <c r="I376" s="262"/>
      <c r="J376" s="262"/>
      <c r="K376" s="262"/>
      <c r="L376" s="177"/>
      <c r="M376" s="262"/>
      <c r="N376" s="262"/>
      <c r="O376" s="262"/>
      <c r="P376" s="262"/>
      <c r="Q376" s="262"/>
      <c r="R376" s="262"/>
      <c r="S376" s="262"/>
      <c r="T376" s="262"/>
      <c r="U376" s="262"/>
      <c r="V376" s="262"/>
      <c r="W376" s="262"/>
      <c r="X376" s="175"/>
      <c r="Y376" s="175"/>
      <c r="Z376" s="175"/>
      <c r="AA376" s="175"/>
      <c r="AB376" s="175"/>
      <c r="AC376" s="175"/>
      <c r="AD376" s="175"/>
      <c r="AE376" s="175"/>
      <c r="AF376" s="175"/>
      <c r="AG376" s="179"/>
      <c r="AH376" s="179"/>
      <c r="AI376" s="177"/>
      <c r="AJ376" s="179"/>
      <c r="AK376" s="183"/>
      <c r="AL376" s="177"/>
      <c r="AM376" s="177"/>
      <c r="AN376" s="263"/>
      <c r="AO376" s="175"/>
      <c r="AP376" s="175"/>
      <c r="AQ376" s="307"/>
      <c r="AR376" s="175"/>
      <c r="AS376" s="170"/>
      <c r="AT376" s="170"/>
      <c r="AU376" s="214"/>
      <c r="AV376" s="268"/>
      <c r="AW376" s="175"/>
      <c r="AX376" s="210"/>
      <c r="AY376" s="173"/>
      <c r="AZ376" s="179"/>
      <c r="BA376" s="179"/>
      <c r="BB376" s="175"/>
      <c r="BC376" s="49" t="e">
        <v>#REF!</v>
      </c>
      <c r="BD376" s="175"/>
    </row>
    <row r="377" spans="1:56" s="176" customFormat="1" x14ac:dyDescent="0.45">
      <c r="A377" s="13"/>
      <c r="B377" s="262"/>
      <c r="C377" s="262"/>
      <c r="D377" s="262"/>
      <c r="E377" s="262"/>
      <c r="F377" s="262"/>
      <c r="G377" s="262"/>
      <c r="H377" s="262"/>
      <c r="I377" s="262"/>
      <c r="J377" s="262"/>
      <c r="K377" s="262"/>
      <c r="L377" s="177"/>
      <c r="M377" s="262"/>
      <c r="N377" s="262"/>
      <c r="O377" s="262"/>
      <c r="P377" s="262"/>
      <c r="Q377" s="262"/>
      <c r="R377" s="262"/>
      <c r="S377" s="262"/>
      <c r="T377" s="262"/>
      <c r="U377" s="262"/>
      <c r="V377" s="262"/>
      <c r="W377" s="262"/>
      <c r="X377" s="175"/>
      <c r="Y377" s="175"/>
      <c r="Z377" s="175"/>
      <c r="AA377" s="175"/>
      <c r="AB377" s="175"/>
      <c r="AC377" s="175"/>
      <c r="AD377" s="175"/>
      <c r="AE377" s="175"/>
      <c r="AF377" s="175"/>
      <c r="AG377" s="179"/>
      <c r="AH377" s="179"/>
      <c r="AI377" s="177"/>
      <c r="AJ377" s="179"/>
      <c r="AK377" s="183"/>
      <c r="AL377" s="177"/>
      <c r="AM377" s="177"/>
      <c r="AN377" s="263"/>
      <c r="AO377" s="175"/>
      <c r="AP377" s="175"/>
      <c r="AQ377" s="307"/>
      <c r="AR377" s="175"/>
      <c r="AS377" s="170"/>
      <c r="AT377" s="170"/>
      <c r="AU377" s="214"/>
      <c r="AV377" s="268"/>
      <c r="AW377" s="175"/>
      <c r="AX377" s="210"/>
      <c r="AY377" s="173"/>
      <c r="AZ377" s="179"/>
      <c r="BA377" s="179"/>
      <c r="BB377" s="175"/>
      <c r="BC377" s="49" t="e">
        <v>#REF!</v>
      </c>
      <c r="BD377" s="175"/>
    </row>
    <row r="378" spans="1:56" s="176" customFormat="1" x14ac:dyDescent="0.45">
      <c r="A378" s="12"/>
      <c r="B378" s="262"/>
      <c r="C378" s="262"/>
      <c r="D378" s="262"/>
      <c r="E378" s="262"/>
      <c r="F378" s="262"/>
      <c r="G378" s="262"/>
      <c r="H378" s="262"/>
      <c r="I378" s="262"/>
      <c r="J378" s="262"/>
      <c r="K378" s="262"/>
      <c r="L378" s="177"/>
      <c r="M378" s="262"/>
      <c r="N378" s="262"/>
      <c r="O378" s="262"/>
      <c r="P378" s="262"/>
      <c r="Q378" s="262"/>
      <c r="R378" s="262"/>
      <c r="S378" s="262"/>
      <c r="T378" s="262"/>
      <c r="U378" s="262"/>
      <c r="V378" s="262"/>
      <c r="W378" s="262"/>
      <c r="X378" s="175"/>
      <c r="Y378" s="175"/>
      <c r="Z378" s="175"/>
      <c r="AA378" s="175"/>
      <c r="AB378" s="175"/>
      <c r="AC378" s="175"/>
      <c r="AD378" s="175"/>
      <c r="AE378" s="175"/>
      <c r="AF378" s="175"/>
      <c r="AG378" s="179"/>
      <c r="AH378" s="179"/>
      <c r="AI378" s="177"/>
      <c r="AJ378" s="179"/>
      <c r="AK378" s="183"/>
      <c r="AL378" s="177"/>
      <c r="AM378" s="177"/>
      <c r="AN378" s="263"/>
      <c r="AO378" s="175"/>
      <c r="AP378" s="175"/>
      <c r="AQ378" s="307"/>
      <c r="AR378" s="175"/>
      <c r="AS378" s="170"/>
      <c r="AT378" s="170"/>
      <c r="AU378" s="214"/>
      <c r="AV378" s="268"/>
      <c r="AW378" s="175"/>
      <c r="AX378" s="210"/>
      <c r="AY378" s="173"/>
      <c r="AZ378" s="179"/>
      <c r="BA378" s="179"/>
      <c r="BB378" s="175"/>
      <c r="BC378" s="49" t="e">
        <v>#REF!</v>
      </c>
      <c r="BD378" s="175"/>
    </row>
    <row r="379" spans="1:56" s="176" customFormat="1" x14ac:dyDescent="0.45">
      <c r="A379" s="13"/>
      <c r="B379" s="262"/>
      <c r="C379" s="262"/>
      <c r="D379" s="262"/>
      <c r="E379" s="262"/>
      <c r="F379" s="262"/>
      <c r="G379" s="262"/>
      <c r="H379" s="262"/>
      <c r="I379" s="262"/>
      <c r="J379" s="262"/>
      <c r="K379" s="262"/>
      <c r="L379" s="177"/>
      <c r="M379" s="262"/>
      <c r="N379" s="262"/>
      <c r="O379" s="262"/>
      <c r="P379" s="262"/>
      <c r="Q379" s="262"/>
      <c r="R379" s="262"/>
      <c r="S379" s="262"/>
      <c r="T379" s="262"/>
      <c r="U379" s="262"/>
      <c r="V379" s="262"/>
      <c r="W379" s="262"/>
      <c r="X379" s="175"/>
      <c r="Y379" s="175"/>
      <c r="Z379" s="175"/>
      <c r="AA379" s="175"/>
      <c r="AB379" s="175"/>
      <c r="AC379" s="175"/>
      <c r="AD379" s="175"/>
      <c r="AE379" s="175"/>
      <c r="AF379" s="175"/>
      <c r="AG379" s="179"/>
      <c r="AH379" s="179"/>
      <c r="AI379" s="177"/>
      <c r="AJ379" s="179"/>
      <c r="AK379" s="183"/>
      <c r="AL379" s="177"/>
      <c r="AM379" s="177"/>
      <c r="AN379" s="263"/>
      <c r="AO379" s="175"/>
      <c r="AP379" s="175"/>
      <c r="AQ379" s="307"/>
      <c r="AR379" s="175"/>
      <c r="AS379" s="170"/>
      <c r="AT379" s="170"/>
      <c r="AU379" s="214"/>
      <c r="AV379" s="268"/>
      <c r="AW379" s="175"/>
      <c r="AX379" s="210"/>
      <c r="AY379" s="173"/>
      <c r="AZ379" s="179"/>
      <c r="BA379" s="179"/>
      <c r="BB379" s="175"/>
      <c r="BC379" s="49" t="e">
        <v>#REF!</v>
      </c>
      <c r="BD379" s="175"/>
    </row>
    <row r="380" spans="1:56" s="176" customFormat="1" x14ac:dyDescent="0.45">
      <c r="A380" s="13"/>
      <c r="B380" s="262"/>
      <c r="C380" s="262"/>
      <c r="D380" s="262"/>
      <c r="E380" s="262"/>
      <c r="F380" s="262"/>
      <c r="G380" s="262"/>
      <c r="H380" s="262"/>
      <c r="I380" s="262"/>
      <c r="J380" s="262"/>
      <c r="K380" s="262"/>
      <c r="L380" s="177"/>
      <c r="M380" s="262"/>
      <c r="N380" s="262"/>
      <c r="O380" s="262"/>
      <c r="P380" s="262"/>
      <c r="Q380" s="262"/>
      <c r="R380" s="262"/>
      <c r="S380" s="262"/>
      <c r="T380" s="262"/>
      <c r="U380" s="262"/>
      <c r="V380" s="262"/>
      <c r="W380" s="262"/>
      <c r="X380" s="175"/>
      <c r="Y380" s="175"/>
      <c r="Z380" s="175"/>
      <c r="AA380" s="175"/>
      <c r="AB380" s="175"/>
      <c r="AC380" s="175"/>
      <c r="AD380" s="175"/>
      <c r="AE380" s="175"/>
      <c r="AF380" s="175"/>
      <c r="AG380" s="179"/>
      <c r="AH380" s="179"/>
      <c r="AI380" s="177"/>
      <c r="AJ380" s="179"/>
      <c r="AK380" s="183"/>
      <c r="AL380" s="177"/>
      <c r="AM380" s="177"/>
      <c r="AN380" s="263"/>
      <c r="AO380" s="175"/>
      <c r="AP380" s="175"/>
      <c r="AQ380" s="307"/>
      <c r="AR380" s="175"/>
      <c r="AS380" s="170"/>
      <c r="AT380" s="170"/>
      <c r="AU380" s="214"/>
      <c r="AV380" s="268"/>
      <c r="AW380" s="175"/>
      <c r="AX380" s="210"/>
      <c r="AY380" s="173"/>
      <c r="AZ380" s="179"/>
      <c r="BA380" s="179"/>
      <c r="BB380" s="175"/>
      <c r="BC380" s="49" t="e">
        <v>#REF!</v>
      </c>
      <c r="BD380" s="175"/>
    </row>
    <row r="381" spans="1:56" s="176" customFormat="1" x14ac:dyDescent="0.45">
      <c r="A381" s="12"/>
      <c r="B381" s="262"/>
      <c r="C381" s="262"/>
      <c r="D381" s="262"/>
      <c r="E381" s="262"/>
      <c r="F381" s="262"/>
      <c r="G381" s="262"/>
      <c r="H381" s="262"/>
      <c r="I381" s="262"/>
      <c r="J381" s="262"/>
      <c r="K381" s="262"/>
      <c r="L381" s="177"/>
      <c r="M381" s="262"/>
      <c r="N381" s="262"/>
      <c r="O381" s="262"/>
      <c r="P381" s="262"/>
      <c r="Q381" s="262"/>
      <c r="R381" s="262"/>
      <c r="S381" s="262"/>
      <c r="T381" s="262"/>
      <c r="U381" s="262"/>
      <c r="V381" s="262"/>
      <c r="W381" s="262"/>
      <c r="X381" s="175"/>
      <c r="Y381" s="175"/>
      <c r="Z381" s="175"/>
      <c r="AA381" s="175"/>
      <c r="AB381" s="175"/>
      <c r="AC381" s="175"/>
      <c r="AD381" s="175"/>
      <c r="AE381" s="175"/>
      <c r="AF381" s="175"/>
      <c r="AG381" s="179"/>
      <c r="AH381" s="179"/>
      <c r="AI381" s="177"/>
      <c r="AJ381" s="179"/>
      <c r="AK381" s="183"/>
      <c r="AL381" s="177"/>
      <c r="AM381" s="177"/>
      <c r="AN381" s="263"/>
      <c r="AO381" s="175"/>
      <c r="AP381" s="175"/>
      <c r="AQ381" s="307"/>
      <c r="AR381" s="175"/>
      <c r="AS381" s="170"/>
      <c r="AT381" s="170"/>
      <c r="AU381" s="214"/>
      <c r="AV381" s="268"/>
      <c r="AW381" s="175"/>
      <c r="AX381" s="210"/>
      <c r="AY381" s="173"/>
      <c r="AZ381" s="179"/>
      <c r="BA381" s="179"/>
      <c r="BB381" s="175"/>
      <c r="BC381" s="49" t="e">
        <v>#REF!</v>
      </c>
      <c r="BD381" s="175"/>
    </row>
    <row r="382" spans="1:56" s="176" customFormat="1" x14ac:dyDescent="0.45">
      <c r="A382" s="13"/>
      <c r="B382" s="262"/>
      <c r="C382" s="262"/>
      <c r="D382" s="262"/>
      <c r="E382" s="262"/>
      <c r="F382" s="262"/>
      <c r="G382" s="262"/>
      <c r="H382" s="262"/>
      <c r="I382" s="262"/>
      <c r="J382" s="262"/>
      <c r="K382" s="262"/>
      <c r="L382" s="177"/>
      <c r="M382" s="262"/>
      <c r="N382" s="262"/>
      <c r="O382" s="262"/>
      <c r="P382" s="262"/>
      <c r="Q382" s="262"/>
      <c r="R382" s="262"/>
      <c r="S382" s="262"/>
      <c r="T382" s="262"/>
      <c r="U382" s="262"/>
      <c r="V382" s="262"/>
      <c r="W382" s="262"/>
      <c r="X382" s="175"/>
      <c r="Y382" s="175"/>
      <c r="Z382" s="175"/>
      <c r="AA382" s="175"/>
      <c r="AB382" s="175"/>
      <c r="AC382" s="175"/>
      <c r="AD382" s="175"/>
      <c r="AE382" s="175"/>
      <c r="AF382" s="175"/>
      <c r="AG382" s="179"/>
      <c r="AH382" s="179"/>
      <c r="AI382" s="177"/>
      <c r="AJ382" s="179"/>
      <c r="AK382" s="183"/>
      <c r="AL382" s="177"/>
      <c r="AM382" s="177"/>
      <c r="AN382" s="263"/>
      <c r="AO382" s="175"/>
      <c r="AP382" s="175"/>
      <c r="AQ382" s="307"/>
      <c r="AR382" s="175"/>
      <c r="AS382" s="170"/>
      <c r="AT382" s="170"/>
      <c r="AU382" s="214"/>
      <c r="AV382" s="268"/>
      <c r="AW382" s="175"/>
      <c r="AX382" s="210"/>
      <c r="AY382" s="173"/>
      <c r="AZ382" s="179"/>
      <c r="BA382" s="179"/>
      <c r="BB382" s="175"/>
      <c r="BC382" s="49" t="e">
        <v>#REF!</v>
      </c>
      <c r="BD382" s="175"/>
    </row>
    <row r="383" spans="1:56" s="176" customFormat="1" x14ac:dyDescent="0.45">
      <c r="A383" s="13"/>
      <c r="B383" s="262"/>
      <c r="C383" s="262"/>
      <c r="D383" s="262"/>
      <c r="E383" s="262"/>
      <c r="F383" s="262"/>
      <c r="G383" s="262"/>
      <c r="H383" s="262"/>
      <c r="I383" s="262"/>
      <c r="J383" s="262"/>
      <c r="K383" s="262"/>
      <c r="L383" s="177"/>
      <c r="M383" s="262"/>
      <c r="N383" s="262"/>
      <c r="O383" s="262"/>
      <c r="P383" s="262"/>
      <c r="Q383" s="262"/>
      <c r="R383" s="262"/>
      <c r="S383" s="262"/>
      <c r="T383" s="262"/>
      <c r="U383" s="262"/>
      <c r="V383" s="262"/>
      <c r="W383" s="262"/>
      <c r="X383" s="175"/>
      <c r="Y383" s="175"/>
      <c r="Z383" s="175"/>
      <c r="AA383" s="175"/>
      <c r="AB383" s="175"/>
      <c r="AC383" s="175"/>
      <c r="AD383" s="175"/>
      <c r="AE383" s="175"/>
      <c r="AF383" s="175"/>
      <c r="AG383" s="179"/>
      <c r="AH383" s="179"/>
      <c r="AI383" s="177"/>
      <c r="AJ383" s="179"/>
      <c r="AK383" s="183"/>
      <c r="AL383" s="177"/>
      <c r="AM383" s="177"/>
      <c r="AN383" s="263"/>
      <c r="AO383" s="175"/>
      <c r="AP383" s="175"/>
      <c r="AQ383" s="307"/>
      <c r="AR383" s="175"/>
      <c r="AS383" s="170"/>
      <c r="AT383" s="170"/>
      <c r="AU383" s="214"/>
      <c r="AV383" s="268"/>
      <c r="AW383" s="175"/>
      <c r="AX383" s="210"/>
      <c r="AY383" s="173"/>
      <c r="AZ383" s="179"/>
      <c r="BA383" s="179"/>
      <c r="BB383" s="175"/>
      <c r="BC383" s="49" t="e">
        <v>#REF!</v>
      </c>
      <c r="BD383" s="175"/>
    </row>
    <row r="384" spans="1:56" s="176" customFormat="1" x14ac:dyDescent="0.45">
      <c r="A384" s="12"/>
      <c r="B384" s="262"/>
      <c r="C384" s="262"/>
      <c r="D384" s="262"/>
      <c r="E384" s="262"/>
      <c r="F384" s="262"/>
      <c r="G384" s="262"/>
      <c r="H384" s="262"/>
      <c r="I384" s="262"/>
      <c r="J384" s="262"/>
      <c r="K384" s="262"/>
      <c r="L384" s="177"/>
      <c r="M384" s="262"/>
      <c r="N384" s="262"/>
      <c r="O384" s="262"/>
      <c r="P384" s="262"/>
      <c r="Q384" s="262"/>
      <c r="R384" s="262"/>
      <c r="S384" s="262"/>
      <c r="T384" s="262"/>
      <c r="U384" s="262"/>
      <c r="V384" s="262"/>
      <c r="W384" s="262"/>
      <c r="X384" s="175"/>
      <c r="Y384" s="175"/>
      <c r="Z384" s="175"/>
      <c r="AA384" s="175"/>
      <c r="AB384" s="175"/>
      <c r="AC384" s="175"/>
      <c r="AD384" s="175"/>
      <c r="AE384" s="175"/>
      <c r="AF384" s="175"/>
      <c r="AG384" s="179"/>
      <c r="AH384" s="179"/>
      <c r="AI384" s="177"/>
      <c r="AJ384" s="179"/>
      <c r="AK384" s="183"/>
      <c r="AL384" s="177"/>
      <c r="AM384" s="177"/>
      <c r="AN384" s="263"/>
      <c r="AO384" s="175"/>
      <c r="AP384" s="175"/>
      <c r="AQ384" s="307"/>
      <c r="AR384" s="175"/>
      <c r="AS384" s="170"/>
      <c r="AT384" s="170"/>
      <c r="AU384" s="214"/>
      <c r="AV384" s="268"/>
      <c r="AW384" s="175"/>
      <c r="AX384" s="210"/>
      <c r="AY384" s="173"/>
      <c r="AZ384" s="179"/>
      <c r="BA384" s="179"/>
      <c r="BB384" s="175"/>
      <c r="BC384" s="49" t="e">
        <v>#REF!</v>
      </c>
      <c r="BD384" s="175"/>
    </row>
    <row r="385" spans="1:56" s="176" customFormat="1" x14ac:dyDescent="0.45">
      <c r="A385" s="13"/>
      <c r="B385" s="262"/>
      <c r="C385" s="262"/>
      <c r="D385" s="262"/>
      <c r="E385" s="262"/>
      <c r="F385" s="262"/>
      <c r="G385" s="262"/>
      <c r="H385" s="262"/>
      <c r="I385" s="262"/>
      <c r="J385" s="262"/>
      <c r="K385" s="262"/>
      <c r="L385" s="177"/>
      <c r="M385" s="262"/>
      <c r="N385" s="262"/>
      <c r="O385" s="262"/>
      <c r="P385" s="262"/>
      <c r="Q385" s="262"/>
      <c r="R385" s="262"/>
      <c r="S385" s="262"/>
      <c r="T385" s="262"/>
      <c r="U385" s="262"/>
      <c r="V385" s="262"/>
      <c r="W385" s="262"/>
      <c r="X385" s="175"/>
      <c r="Y385" s="175"/>
      <c r="Z385" s="175"/>
      <c r="AA385" s="175"/>
      <c r="AB385" s="175"/>
      <c r="AC385" s="175"/>
      <c r="AD385" s="175"/>
      <c r="AE385" s="175"/>
      <c r="AF385" s="175"/>
      <c r="AG385" s="179"/>
      <c r="AH385" s="179"/>
      <c r="AI385" s="177"/>
      <c r="AJ385" s="179"/>
      <c r="AK385" s="183"/>
      <c r="AL385" s="177"/>
      <c r="AM385" s="177"/>
      <c r="AN385" s="263"/>
      <c r="AO385" s="175"/>
      <c r="AP385" s="175"/>
      <c r="AQ385" s="307"/>
      <c r="AR385" s="175"/>
      <c r="AS385" s="170"/>
      <c r="AT385" s="170"/>
      <c r="AU385" s="214"/>
      <c r="AV385" s="268"/>
      <c r="AW385" s="175"/>
      <c r="AX385" s="210"/>
      <c r="AY385" s="173"/>
      <c r="AZ385" s="179"/>
      <c r="BA385" s="179"/>
      <c r="BB385" s="175"/>
      <c r="BC385" s="49" t="e">
        <v>#REF!</v>
      </c>
      <c r="BD385" s="175"/>
    </row>
    <row r="386" spans="1:56" s="176" customFormat="1" x14ac:dyDescent="0.45">
      <c r="A386" s="13"/>
      <c r="B386" s="262"/>
      <c r="C386" s="262"/>
      <c r="D386" s="262"/>
      <c r="E386" s="262"/>
      <c r="F386" s="262"/>
      <c r="G386" s="262"/>
      <c r="H386" s="262"/>
      <c r="I386" s="262"/>
      <c r="J386" s="262"/>
      <c r="K386" s="262"/>
      <c r="L386" s="177"/>
      <c r="M386" s="262"/>
      <c r="N386" s="262"/>
      <c r="O386" s="262"/>
      <c r="P386" s="262"/>
      <c r="Q386" s="262"/>
      <c r="R386" s="262"/>
      <c r="S386" s="262"/>
      <c r="T386" s="262"/>
      <c r="U386" s="262"/>
      <c r="V386" s="262"/>
      <c r="W386" s="262"/>
      <c r="X386" s="175"/>
      <c r="Y386" s="175"/>
      <c r="Z386" s="175"/>
      <c r="AA386" s="175"/>
      <c r="AB386" s="175"/>
      <c r="AC386" s="175"/>
      <c r="AD386" s="175"/>
      <c r="AE386" s="175"/>
      <c r="AF386" s="175"/>
      <c r="AG386" s="179"/>
      <c r="AH386" s="179"/>
      <c r="AI386" s="177"/>
      <c r="AJ386" s="179"/>
      <c r="AK386" s="183"/>
      <c r="AL386" s="177"/>
      <c r="AM386" s="177"/>
      <c r="AN386" s="263"/>
      <c r="AO386" s="175"/>
      <c r="AP386" s="175"/>
      <c r="AQ386" s="307"/>
      <c r="AR386" s="175"/>
      <c r="AS386" s="170"/>
      <c r="AT386" s="170"/>
      <c r="AU386" s="214"/>
      <c r="AV386" s="268"/>
      <c r="AW386" s="175"/>
      <c r="AX386" s="210"/>
      <c r="AY386" s="173"/>
      <c r="AZ386" s="179"/>
      <c r="BA386" s="179"/>
      <c r="BB386" s="175"/>
      <c r="BC386" s="49"/>
      <c r="BD386" s="175"/>
    </row>
    <row r="387" spans="1:56" s="176" customFormat="1" x14ac:dyDescent="0.45">
      <c r="A387" s="12"/>
      <c r="B387" s="262"/>
      <c r="C387" s="262"/>
      <c r="D387" s="262"/>
      <c r="E387" s="262"/>
      <c r="F387" s="262"/>
      <c r="G387" s="262"/>
      <c r="H387" s="262"/>
      <c r="I387" s="262"/>
      <c r="J387" s="262"/>
      <c r="K387" s="262"/>
      <c r="L387" s="177"/>
      <c r="M387" s="262"/>
      <c r="N387" s="262"/>
      <c r="O387" s="262"/>
      <c r="P387" s="262"/>
      <c r="Q387" s="262"/>
      <c r="R387" s="262"/>
      <c r="S387" s="262"/>
      <c r="T387" s="262"/>
      <c r="U387" s="262"/>
      <c r="V387" s="262"/>
      <c r="W387" s="262"/>
      <c r="X387" s="175"/>
      <c r="Y387" s="175"/>
      <c r="Z387" s="175"/>
      <c r="AA387" s="175"/>
      <c r="AB387" s="175"/>
      <c r="AC387" s="175"/>
      <c r="AD387" s="175"/>
      <c r="AE387" s="175"/>
      <c r="AF387" s="175"/>
      <c r="AG387" s="179"/>
      <c r="AH387" s="179"/>
      <c r="AI387" s="177"/>
      <c r="AJ387" s="179"/>
      <c r="AK387" s="183"/>
      <c r="AL387" s="177"/>
      <c r="AM387" s="177"/>
      <c r="AN387" s="263"/>
      <c r="AO387" s="175"/>
      <c r="AP387" s="175"/>
      <c r="AQ387" s="307"/>
      <c r="AR387" s="175"/>
      <c r="AS387" s="170"/>
      <c r="AT387" s="170"/>
      <c r="AU387" s="214"/>
      <c r="AV387" s="268"/>
      <c r="AW387" s="175"/>
      <c r="AX387" s="210"/>
      <c r="AY387" s="173"/>
      <c r="AZ387" s="179"/>
      <c r="BA387" s="179"/>
      <c r="BB387" s="175"/>
      <c r="BC387" s="49"/>
      <c r="BD387" s="175"/>
    </row>
    <row r="388" spans="1:56" s="176" customFormat="1" x14ac:dyDescent="0.45">
      <c r="A388" s="13"/>
      <c r="B388" s="262"/>
      <c r="C388" s="262"/>
      <c r="D388" s="262"/>
      <c r="E388" s="262"/>
      <c r="F388" s="262"/>
      <c r="G388" s="262"/>
      <c r="H388" s="262"/>
      <c r="I388" s="262"/>
      <c r="J388" s="262"/>
      <c r="K388" s="262"/>
      <c r="L388" s="177"/>
      <c r="M388" s="262"/>
      <c r="N388" s="262"/>
      <c r="O388" s="262"/>
      <c r="P388" s="262"/>
      <c r="Q388" s="262"/>
      <c r="R388" s="262"/>
      <c r="S388" s="262"/>
      <c r="T388" s="262"/>
      <c r="U388" s="262"/>
      <c r="V388" s="262"/>
      <c r="W388" s="262"/>
      <c r="X388" s="175"/>
      <c r="Y388" s="175"/>
      <c r="Z388" s="175"/>
      <c r="AA388" s="175"/>
      <c r="AB388" s="175"/>
      <c r="AC388" s="175"/>
      <c r="AD388" s="175"/>
      <c r="AE388" s="175"/>
      <c r="AF388" s="175"/>
      <c r="AG388" s="179"/>
      <c r="AH388" s="179"/>
      <c r="AI388" s="177"/>
      <c r="AJ388" s="179"/>
      <c r="AK388" s="183"/>
      <c r="AL388" s="177"/>
      <c r="AM388" s="177"/>
      <c r="AN388" s="263"/>
      <c r="AO388" s="175"/>
      <c r="AP388" s="175"/>
      <c r="AQ388" s="307"/>
      <c r="AR388" s="175"/>
      <c r="AS388" s="170"/>
      <c r="AT388" s="170"/>
      <c r="AU388" s="214"/>
      <c r="AV388" s="268"/>
      <c r="AW388" s="175"/>
      <c r="AX388" s="210"/>
      <c r="AY388" s="173"/>
      <c r="AZ388" s="179"/>
      <c r="BA388" s="179"/>
      <c r="BB388" s="175"/>
      <c r="BC388" s="49"/>
      <c r="BD388" s="175"/>
    </row>
    <row r="389" spans="1:56" s="176" customFormat="1" x14ac:dyDescent="0.45">
      <c r="A389" s="13"/>
      <c r="B389" s="262"/>
      <c r="C389" s="262"/>
      <c r="D389" s="262"/>
      <c r="E389" s="262"/>
      <c r="F389" s="262"/>
      <c r="G389" s="262"/>
      <c r="H389" s="262"/>
      <c r="I389" s="262"/>
      <c r="J389" s="262"/>
      <c r="K389" s="262"/>
      <c r="L389" s="177"/>
      <c r="M389" s="262"/>
      <c r="N389" s="262"/>
      <c r="O389" s="262"/>
      <c r="P389" s="262"/>
      <c r="Q389" s="262"/>
      <c r="R389" s="262"/>
      <c r="S389" s="262"/>
      <c r="T389" s="262"/>
      <c r="U389" s="262"/>
      <c r="V389" s="262"/>
      <c r="W389" s="262"/>
      <c r="X389" s="175"/>
      <c r="Y389" s="175"/>
      <c r="Z389" s="175"/>
      <c r="AA389" s="175"/>
      <c r="AB389" s="175"/>
      <c r="AC389" s="175"/>
      <c r="AD389" s="175"/>
      <c r="AE389" s="175"/>
      <c r="AF389" s="175"/>
      <c r="AG389" s="179"/>
      <c r="AH389" s="179"/>
      <c r="AI389" s="177"/>
      <c r="AJ389" s="179"/>
      <c r="AK389" s="183"/>
      <c r="AL389" s="177"/>
      <c r="AM389" s="177"/>
      <c r="AN389" s="144"/>
      <c r="AO389" s="175"/>
      <c r="AP389" s="175"/>
      <c r="AQ389" s="307"/>
      <c r="AR389" s="175"/>
      <c r="AS389" s="170"/>
      <c r="AT389" s="170"/>
      <c r="AU389" s="214"/>
      <c r="AV389" s="268"/>
      <c r="AW389" s="175"/>
      <c r="AX389" s="210"/>
      <c r="AY389" s="173"/>
      <c r="AZ389" s="179"/>
      <c r="BA389" s="179"/>
      <c r="BB389" s="175"/>
      <c r="BC389" s="49" t="e">
        <v>#REF!</v>
      </c>
      <c r="BD389" s="175"/>
    </row>
    <row r="390" spans="1:56" s="176" customFormat="1" x14ac:dyDescent="0.45">
      <c r="A390" s="12"/>
      <c r="B390" s="262"/>
      <c r="C390" s="262"/>
      <c r="D390" s="262"/>
      <c r="E390" s="262"/>
      <c r="F390" s="262"/>
      <c r="G390" s="262"/>
      <c r="H390" s="262"/>
      <c r="I390" s="262"/>
      <c r="J390" s="262"/>
      <c r="K390" s="262"/>
      <c r="L390" s="177"/>
      <c r="M390" s="262"/>
      <c r="N390" s="262"/>
      <c r="O390" s="262"/>
      <c r="P390" s="262"/>
      <c r="Q390" s="262"/>
      <c r="R390" s="262"/>
      <c r="S390" s="262"/>
      <c r="T390" s="262"/>
      <c r="U390" s="262"/>
      <c r="V390" s="262"/>
      <c r="W390" s="262"/>
      <c r="X390" s="175"/>
      <c r="Y390" s="175"/>
      <c r="Z390" s="175"/>
      <c r="AA390" s="175"/>
      <c r="AB390" s="175"/>
      <c r="AC390" s="175"/>
      <c r="AD390" s="175"/>
      <c r="AE390" s="175"/>
      <c r="AF390" s="175"/>
      <c r="AG390" s="179"/>
      <c r="AH390" s="179"/>
      <c r="AI390" s="177"/>
      <c r="AJ390" s="179"/>
      <c r="AK390" s="183"/>
      <c r="AL390" s="177"/>
      <c r="AM390" s="177"/>
      <c r="AN390" s="144"/>
      <c r="AO390" s="175"/>
      <c r="AP390" s="175"/>
      <c r="AQ390" s="307"/>
      <c r="AR390" s="175"/>
      <c r="AS390" s="170"/>
      <c r="AT390" s="170"/>
      <c r="AU390" s="214"/>
      <c r="AV390" s="268"/>
      <c r="AW390" s="175"/>
      <c r="AX390" s="210"/>
      <c r="AY390" s="173"/>
      <c r="AZ390" s="179"/>
      <c r="BA390" s="179"/>
      <c r="BB390" s="175"/>
      <c r="BC390" s="49" t="e">
        <v>#REF!</v>
      </c>
      <c r="BD390" s="175"/>
    </row>
    <row r="391" spans="1:56" s="176" customFormat="1" x14ac:dyDescent="0.45">
      <c r="A391" s="13"/>
      <c r="B391" s="262"/>
      <c r="C391" s="262"/>
      <c r="D391" s="262"/>
      <c r="E391" s="262"/>
      <c r="F391" s="262"/>
      <c r="G391" s="262"/>
      <c r="H391" s="262"/>
      <c r="I391" s="262"/>
      <c r="J391" s="262"/>
      <c r="K391" s="262"/>
      <c r="L391" s="177"/>
      <c r="M391" s="262"/>
      <c r="N391" s="262"/>
      <c r="O391" s="262"/>
      <c r="P391" s="262"/>
      <c r="Q391" s="262"/>
      <c r="R391" s="262"/>
      <c r="S391" s="262"/>
      <c r="T391" s="262"/>
      <c r="U391" s="262"/>
      <c r="V391" s="262"/>
      <c r="W391" s="262"/>
      <c r="X391" s="175"/>
      <c r="Y391" s="175"/>
      <c r="Z391" s="175"/>
      <c r="AA391" s="175"/>
      <c r="AB391" s="175"/>
      <c r="AC391" s="175"/>
      <c r="AD391" s="175"/>
      <c r="AE391" s="175"/>
      <c r="AF391" s="175"/>
      <c r="AG391" s="179"/>
      <c r="AH391" s="179"/>
      <c r="AI391" s="177"/>
      <c r="AJ391" s="179"/>
      <c r="AK391" s="183"/>
      <c r="AL391" s="177"/>
      <c r="AM391" s="177"/>
      <c r="AN391" s="144"/>
      <c r="AO391" s="175"/>
      <c r="AP391" s="175"/>
      <c r="AQ391" s="307"/>
      <c r="AR391" s="175"/>
      <c r="AS391" s="170"/>
      <c r="AT391" s="170"/>
      <c r="AU391" s="214"/>
      <c r="AV391" s="268"/>
      <c r="AW391" s="175"/>
      <c r="AX391" s="210"/>
      <c r="AY391" s="173"/>
      <c r="AZ391" s="179"/>
      <c r="BA391" s="179"/>
      <c r="BB391" s="175"/>
      <c r="BC391" s="49" t="e">
        <v>#REF!</v>
      </c>
      <c r="BD391" s="175"/>
    </row>
    <row r="392" spans="1:56" s="176" customFormat="1" x14ac:dyDescent="0.45">
      <c r="A392" s="13"/>
      <c r="B392" s="262"/>
      <c r="C392" s="262"/>
      <c r="D392" s="262"/>
      <c r="E392" s="262"/>
      <c r="F392" s="262"/>
      <c r="G392" s="262"/>
      <c r="H392" s="262"/>
      <c r="I392" s="262"/>
      <c r="J392" s="262"/>
      <c r="K392" s="262"/>
      <c r="L392" s="177"/>
      <c r="M392" s="262"/>
      <c r="N392" s="262"/>
      <c r="O392" s="262"/>
      <c r="P392" s="262"/>
      <c r="Q392" s="262"/>
      <c r="R392" s="262"/>
      <c r="S392" s="262"/>
      <c r="T392" s="262"/>
      <c r="U392" s="262"/>
      <c r="V392" s="262"/>
      <c r="W392" s="262"/>
      <c r="X392" s="175"/>
      <c r="Y392" s="175"/>
      <c r="Z392" s="175"/>
      <c r="AA392" s="175"/>
      <c r="AB392" s="175"/>
      <c r="AC392" s="175"/>
      <c r="AD392" s="175"/>
      <c r="AE392" s="175"/>
      <c r="AF392" s="175"/>
      <c r="AG392" s="179"/>
      <c r="AH392" s="179"/>
      <c r="AI392" s="177"/>
      <c r="AJ392" s="179"/>
      <c r="AK392" s="183"/>
      <c r="AL392" s="177"/>
      <c r="AM392" s="177"/>
      <c r="AN392" s="144"/>
      <c r="AO392" s="175"/>
      <c r="AP392" s="175"/>
      <c r="AQ392" s="307"/>
      <c r="AR392" s="175"/>
      <c r="AS392" s="170"/>
      <c r="AT392" s="170"/>
      <c r="AU392" s="214"/>
      <c r="AV392" s="268"/>
      <c r="AW392" s="175"/>
      <c r="AX392" s="210"/>
      <c r="AY392" s="173"/>
      <c r="AZ392" s="179"/>
      <c r="BA392" s="179"/>
      <c r="BB392" s="175"/>
      <c r="BC392" s="49" t="e">
        <v>#REF!</v>
      </c>
      <c r="BD392" s="175"/>
    </row>
    <row r="393" spans="1:56" s="176" customFormat="1" x14ac:dyDescent="0.45">
      <c r="A393" s="12"/>
      <c r="B393" s="262"/>
      <c r="C393" s="303"/>
      <c r="D393" s="262"/>
      <c r="E393" s="262"/>
      <c r="F393" s="262"/>
      <c r="G393" s="262"/>
      <c r="H393" s="262"/>
      <c r="I393" s="262"/>
      <c r="J393" s="262"/>
      <c r="K393" s="262"/>
      <c r="L393" s="177"/>
      <c r="M393" s="263"/>
      <c r="N393" s="262"/>
      <c r="O393" s="262"/>
      <c r="P393" s="262"/>
      <c r="Q393" s="262"/>
      <c r="R393" s="262"/>
      <c r="S393" s="262"/>
      <c r="T393" s="262"/>
      <c r="U393" s="262"/>
      <c r="V393" s="262"/>
      <c r="W393" s="262"/>
      <c r="X393" s="175"/>
      <c r="Y393" s="175"/>
      <c r="Z393" s="175"/>
      <c r="AA393" s="175"/>
      <c r="AB393" s="175"/>
      <c r="AC393" s="175"/>
      <c r="AD393" s="175"/>
      <c r="AE393" s="175"/>
      <c r="AF393" s="175"/>
      <c r="AG393" s="179"/>
      <c r="AH393" s="179"/>
      <c r="AI393" s="177"/>
      <c r="AJ393" s="179"/>
      <c r="AK393" s="183"/>
      <c r="AL393" s="177"/>
      <c r="AM393" s="177"/>
      <c r="AN393" s="263"/>
      <c r="AO393" s="175"/>
      <c r="AP393" s="175"/>
      <c r="AQ393" s="307"/>
      <c r="AR393" s="175"/>
      <c r="AS393" s="170"/>
      <c r="AT393" s="170"/>
      <c r="AU393" s="214"/>
      <c r="AV393" s="268"/>
      <c r="AW393" s="175"/>
      <c r="AX393" s="210"/>
      <c r="AY393" s="173"/>
      <c r="AZ393" s="179"/>
      <c r="BA393" s="179"/>
      <c r="BB393" s="175"/>
      <c r="BC393" s="49" t="e">
        <v>#REF!</v>
      </c>
      <c r="BD393" s="175"/>
    </row>
    <row r="394" spans="1:56" s="176" customFormat="1" x14ac:dyDescent="0.45">
      <c r="A394" s="13"/>
      <c r="B394" s="155"/>
      <c r="C394" s="85"/>
      <c r="D394" s="175"/>
      <c r="E394" s="175"/>
      <c r="F394" s="175"/>
      <c r="G394" s="175"/>
      <c r="H394" s="307"/>
      <c r="I394" s="175"/>
      <c r="J394" s="175"/>
      <c r="K394" s="179"/>
      <c r="L394" s="177"/>
      <c r="M394" s="238"/>
      <c r="N394" s="177"/>
      <c r="O394" s="179"/>
      <c r="P394" s="177"/>
      <c r="Q394" s="307"/>
      <c r="R394" s="238"/>
      <c r="S394" s="177"/>
      <c r="T394" s="179"/>
      <c r="U394" s="177"/>
      <c r="V394" s="262"/>
      <c r="W394" s="262"/>
      <c r="X394" s="175"/>
      <c r="Y394" s="175"/>
      <c r="Z394" s="175"/>
      <c r="AA394" s="175"/>
      <c r="AB394" s="175"/>
      <c r="AC394" s="175"/>
      <c r="AD394" s="175"/>
      <c r="AE394" s="175"/>
      <c r="AF394" s="175"/>
      <c r="AG394" s="179"/>
      <c r="AH394" s="179"/>
      <c r="AI394" s="177"/>
      <c r="AJ394" s="179"/>
      <c r="AK394" s="183"/>
      <c r="AL394" s="177"/>
      <c r="AM394" s="177"/>
      <c r="AN394" s="263"/>
      <c r="AO394" s="175"/>
      <c r="AP394" s="175"/>
      <c r="AQ394" s="307"/>
      <c r="AR394" s="175"/>
      <c r="AS394" s="170"/>
      <c r="AT394" s="170"/>
      <c r="AU394" s="214"/>
      <c r="AV394" s="268"/>
      <c r="AW394" s="175"/>
      <c r="AX394" s="210"/>
      <c r="AY394" s="173"/>
      <c r="AZ394" s="179"/>
      <c r="BA394" s="179"/>
      <c r="BB394" s="175"/>
      <c r="BC394" s="49" t="e">
        <v>#REF!</v>
      </c>
      <c r="BD394" s="175"/>
    </row>
    <row r="395" spans="1:56" s="176" customFormat="1" x14ac:dyDescent="0.45">
      <c r="A395" s="13"/>
      <c r="B395" s="155"/>
      <c r="C395" s="85"/>
      <c r="D395" s="175"/>
      <c r="E395" s="175"/>
      <c r="F395" s="175"/>
      <c r="G395" s="175"/>
      <c r="H395" s="307"/>
      <c r="I395" s="175"/>
      <c r="J395" s="175"/>
      <c r="K395" s="179"/>
      <c r="L395" s="177"/>
      <c r="M395" s="238"/>
      <c r="N395" s="177"/>
      <c r="O395" s="179"/>
      <c r="P395" s="177"/>
      <c r="Q395" s="307"/>
      <c r="R395" s="238"/>
      <c r="S395" s="177"/>
      <c r="T395" s="179"/>
      <c r="U395" s="177"/>
      <c r="V395" s="262"/>
      <c r="W395" s="262"/>
      <c r="X395" s="175"/>
      <c r="Y395" s="175"/>
      <c r="Z395" s="175"/>
      <c r="AA395" s="175"/>
      <c r="AB395" s="175"/>
      <c r="AC395" s="175"/>
      <c r="AD395" s="175"/>
      <c r="AE395" s="175"/>
      <c r="AF395" s="175"/>
      <c r="AG395" s="179"/>
      <c r="AH395" s="179"/>
      <c r="AI395" s="177"/>
      <c r="AJ395" s="179"/>
      <c r="AK395" s="183"/>
      <c r="AL395" s="177"/>
      <c r="AM395" s="177"/>
      <c r="AN395" s="263"/>
      <c r="AO395" s="175"/>
      <c r="AP395" s="175"/>
      <c r="AQ395" s="307"/>
      <c r="AR395" s="175"/>
      <c r="AS395" s="170"/>
      <c r="AT395" s="170"/>
      <c r="AU395" s="214"/>
      <c r="AV395" s="268"/>
      <c r="AW395" s="175"/>
      <c r="AX395" s="210"/>
      <c r="AY395" s="173"/>
      <c r="AZ395" s="179"/>
      <c r="BA395" s="179"/>
      <c r="BB395" s="175"/>
      <c r="BC395" s="49" t="e">
        <v>#REF!</v>
      </c>
      <c r="BD395" s="175"/>
    </row>
    <row r="396" spans="1:56" s="176" customFormat="1" x14ac:dyDescent="0.45">
      <c r="A396" s="12"/>
      <c r="B396" s="150"/>
      <c r="C396" s="53"/>
      <c r="D396" s="175"/>
      <c r="E396" s="175"/>
      <c r="F396" s="175"/>
      <c r="G396" s="175"/>
      <c r="H396" s="307"/>
      <c r="I396" s="175"/>
      <c r="J396" s="175"/>
      <c r="K396" s="179"/>
      <c r="L396" s="177"/>
      <c r="M396" s="238"/>
      <c r="N396" s="177"/>
      <c r="O396" s="179"/>
      <c r="P396" s="177"/>
      <c r="Q396" s="307"/>
      <c r="R396" s="238"/>
      <c r="S396" s="177"/>
      <c r="T396" s="179"/>
      <c r="U396" s="177"/>
      <c r="V396" s="262"/>
      <c r="W396" s="262"/>
      <c r="X396" s="175"/>
      <c r="Y396" s="175"/>
      <c r="Z396" s="175"/>
      <c r="AA396" s="175"/>
      <c r="AB396" s="175"/>
      <c r="AC396" s="175"/>
      <c r="AD396" s="175"/>
      <c r="AE396" s="175"/>
      <c r="AF396" s="175"/>
      <c r="AG396" s="179"/>
      <c r="AH396" s="179"/>
      <c r="AI396" s="177"/>
      <c r="AJ396" s="179"/>
      <c r="AK396" s="183"/>
      <c r="AL396" s="177"/>
      <c r="AM396" s="177"/>
      <c r="AN396" s="263"/>
      <c r="AO396" s="175"/>
      <c r="AP396" s="175"/>
      <c r="AQ396" s="307"/>
      <c r="AR396" s="175"/>
      <c r="AS396" s="170"/>
      <c r="AT396" s="170"/>
      <c r="AU396" s="214"/>
      <c r="AV396" s="268"/>
      <c r="AW396" s="175"/>
      <c r="AX396" s="210"/>
      <c r="AY396" s="173"/>
      <c r="AZ396" s="179"/>
      <c r="BA396" s="179"/>
      <c r="BB396" s="175"/>
      <c r="BC396" s="49" t="e">
        <v>#REF!</v>
      </c>
      <c r="BD396" s="175"/>
    </row>
    <row r="397" spans="1:56" s="176" customFormat="1" x14ac:dyDescent="0.45">
      <c r="A397" s="13"/>
      <c r="B397" s="155"/>
      <c r="C397" s="85"/>
      <c r="D397" s="175"/>
      <c r="E397" s="175"/>
      <c r="F397" s="175"/>
      <c r="G397" s="175"/>
      <c r="H397" s="307"/>
      <c r="I397" s="175"/>
      <c r="J397" s="175"/>
      <c r="K397" s="179"/>
      <c r="L397" s="177"/>
      <c r="M397" s="238"/>
      <c r="N397" s="177"/>
      <c r="O397" s="179"/>
      <c r="P397" s="177"/>
      <c r="Q397" s="307"/>
      <c r="R397" s="238"/>
      <c r="S397" s="177"/>
      <c r="T397" s="179"/>
      <c r="U397" s="177"/>
      <c r="V397" s="262"/>
      <c r="W397" s="262"/>
      <c r="X397" s="175"/>
      <c r="Y397" s="175"/>
      <c r="Z397" s="175"/>
      <c r="AA397" s="175"/>
      <c r="AB397" s="175"/>
      <c r="AC397" s="175"/>
      <c r="AD397" s="175"/>
      <c r="AE397" s="175"/>
      <c r="AF397" s="175"/>
      <c r="AG397" s="179"/>
      <c r="AH397" s="179"/>
      <c r="AI397" s="177"/>
      <c r="AJ397" s="179"/>
      <c r="AK397" s="183"/>
      <c r="AL397" s="177"/>
      <c r="AM397" s="177"/>
      <c r="AN397" s="263"/>
      <c r="AO397" s="175"/>
      <c r="AP397" s="175"/>
      <c r="AQ397" s="307"/>
      <c r="AR397" s="175"/>
      <c r="AS397" s="170"/>
      <c r="AT397" s="170"/>
      <c r="AU397" s="214"/>
      <c r="AV397" s="268"/>
      <c r="AW397" s="175"/>
      <c r="AX397" s="210"/>
      <c r="AY397" s="173"/>
      <c r="AZ397" s="179"/>
      <c r="BA397" s="179"/>
      <c r="BB397" s="175"/>
      <c r="BC397" s="49" t="e">
        <f>IF(OR(#REF!="",#REF!="")=TRUE,"",NETWORKDAYS.INTL(#REF!,#REF!))</f>
        <v>#REF!</v>
      </c>
      <c r="BD397" s="175"/>
    </row>
    <row r="398" spans="1:56" s="176" customFormat="1" x14ac:dyDescent="0.45">
      <c r="A398" s="13"/>
      <c r="B398" s="155"/>
      <c r="C398" s="85"/>
      <c r="D398" s="175"/>
      <c r="E398" s="175"/>
      <c r="F398" s="175"/>
      <c r="G398" s="175"/>
      <c r="H398" s="307"/>
      <c r="I398" s="175"/>
      <c r="J398" s="175"/>
      <c r="K398" s="179"/>
      <c r="L398" s="177"/>
      <c r="M398" s="238"/>
      <c r="N398" s="177"/>
      <c r="O398" s="179"/>
      <c r="P398" s="177"/>
      <c r="Q398" s="307"/>
      <c r="R398" s="238"/>
      <c r="S398" s="177"/>
      <c r="T398" s="179"/>
      <c r="U398" s="177"/>
      <c r="V398" s="262"/>
      <c r="W398" s="262"/>
      <c r="X398" s="175"/>
      <c r="Y398" s="175"/>
      <c r="Z398" s="175"/>
      <c r="AA398" s="175"/>
      <c r="AB398" s="175"/>
      <c r="AC398" s="175"/>
      <c r="AD398" s="175"/>
      <c r="AE398" s="175"/>
      <c r="AF398" s="175"/>
      <c r="AG398" s="179"/>
      <c r="AH398" s="179"/>
      <c r="AI398" s="177"/>
      <c r="AJ398" s="179"/>
      <c r="AK398" s="183"/>
      <c r="AL398" s="177"/>
      <c r="AM398" s="177"/>
      <c r="AN398" s="263"/>
      <c r="AO398" s="175"/>
      <c r="AP398" s="175"/>
      <c r="AQ398" s="307"/>
      <c r="AR398" s="175"/>
      <c r="AS398" s="170"/>
      <c r="AT398" s="170"/>
      <c r="AU398" s="214"/>
      <c r="AV398" s="268"/>
      <c r="AW398" s="175"/>
      <c r="AX398" s="210"/>
      <c r="AY398" s="173"/>
      <c r="AZ398" s="179"/>
      <c r="BA398" s="179"/>
      <c r="BB398" s="175"/>
      <c r="BC398" s="49" t="e">
        <f>IF(OR(#REF!="",#REF!="")=TRUE,"",NETWORKDAYS.INTL(#REF!,#REF!))</f>
        <v>#REF!</v>
      </c>
      <c r="BD398" s="175"/>
    </row>
    <row r="399" spans="1:56" s="176" customFormat="1" x14ac:dyDescent="0.45">
      <c r="A399" s="12"/>
      <c r="B399" s="150"/>
      <c r="C399" s="53"/>
      <c r="D399" s="175"/>
      <c r="E399" s="175"/>
      <c r="F399" s="175"/>
      <c r="G399" s="175"/>
      <c r="H399" s="307"/>
      <c r="I399" s="175"/>
      <c r="J399" s="175"/>
      <c r="K399" s="179"/>
      <c r="L399" s="177"/>
      <c r="M399" s="238"/>
      <c r="N399" s="177"/>
      <c r="O399" s="179"/>
      <c r="P399" s="177"/>
      <c r="Q399" s="307"/>
      <c r="R399" s="238"/>
      <c r="S399" s="177"/>
      <c r="T399" s="179"/>
      <c r="U399" s="177"/>
      <c r="V399" s="262"/>
      <c r="W399" s="262"/>
      <c r="X399" s="175"/>
      <c r="Y399" s="175"/>
      <c r="Z399" s="175"/>
      <c r="AA399" s="175"/>
      <c r="AB399" s="175"/>
      <c r="AC399" s="175"/>
      <c r="AD399" s="175"/>
      <c r="AE399" s="175"/>
      <c r="AF399" s="175"/>
      <c r="AG399" s="179"/>
      <c r="AH399" s="179"/>
      <c r="AI399" s="177"/>
      <c r="AJ399" s="179"/>
      <c r="AK399" s="183"/>
      <c r="AL399" s="177"/>
      <c r="AM399" s="177"/>
      <c r="AN399" s="263"/>
      <c r="AO399" s="175"/>
      <c r="AP399" s="175"/>
      <c r="AQ399" s="307"/>
      <c r="AR399" s="175"/>
      <c r="AS399" s="170"/>
      <c r="AT399" s="170"/>
      <c r="AU399" s="214"/>
      <c r="AV399" s="268"/>
      <c r="AW399" s="175"/>
      <c r="AX399" s="210"/>
      <c r="AY399" s="173"/>
      <c r="AZ399" s="179"/>
      <c r="BA399" s="179"/>
      <c r="BB399" s="175"/>
      <c r="BC399" s="49" t="e">
        <f>IF(OR(#REF!="",#REF!="")=TRUE,"",NETWORKDAYS.INTL(#REF!,#REF!))</f>
        <v>#REF!</v>
      </c>
      <c r="BD399" s="175"/>
    </row>
    <row r="400" spans="1:56" s="176" customFormat="1" x14ac:dyDescent="0.45">
      <c r="A400" s="13"/>
      <c r="B400" s="155"/>
      <c r="C400" s="85"/>
      <c r="D400" s="175"/>
      <c r="E400" s="175"/>
      <c r="F400" s="175"/>
      <c r="G400" s="175"/>
      <c r="H400" s="307"/>
      <c r="I400" s="175"/>
      <c r="J400" s="175"/>
      <c r="K400" s="179"/>
      <c r="L400" s="177"/>
      <c r="M400" s="238"/>
      <c r="N400" s="177"/>
      <c r="O400" s="179"/>
      <c r="P400" s="177"/>
      <c r="Q400" s="307"/>
      <c r="R400" s="238"/>
      <c r="S400" s="177"/>
      <c r="T400" s="179"/>
      <c r="U400" s="177"/>
      <c r="V400" s="262"/>
      <c r="W400" s="262"/>
      <c r="X400" s="175"/>
      <c r="Y400" s="175"/>
      <c r="Z400" s="175"/>
      <c r="AA400" s="175"/>
      <c r="AB400" s="175"/>
      <c r="AC400" s="175"/>
      <c r="AD400" s="175"/>
      <c r="AE400" s="175"/>
      <c r="AF400" s="175"/>
      <c r="AG400" s="179"/>
      <c r="AH400" s="179"/>
      <c r="AI400" s="177"/>
      <c r="AJ400" s="179"/>
      <c r="AK400" s="183"/>
      <c r="AL400" s="177"/>
      <c r="AM400" s="177"/>
      <c r="AN400" s="263"/>
      <c r="AO400" s="175"/>
      <c r="AP400" s="175"/>
      <c r="AQ400" s="307"/>
      <c r="AR400" s="175"/>
      <c r="AS400" s="170"/>
      <c r="AT400" s="170"/>
      <c r="AU400" s="214"/>
      <c r="AV400" s="268"/>
      <c r="AW400" s="175"/>
      <c r="AX400" s="210"/>
      <c r="AY400" s="173"/>
      <c r="AZ400" s="179"/>
      <c r="BA400" s="179"/>
      <c r="BB400" s="175"/>
      <c r="BC400" s="49" t="e">
        <f>IF(OR(#REF!="",#REF!="")=TRUE,"",NETWORKDAYS.INTL(#REF!,#REF!))</f>
        <v>#REF!</v>
      </c>
      <c r="BD400" s="175"/>
    </row>
    <row r="401" spans="1:56" s="176" customFormat="1" x14ac:dyDescent="0.45">
      <c r="A401" s="13"/>
      <c r="B401" s="155"/>
      <c r="C401" s="85"/>
      <c r="D401" s="175"/>
      <c r="E401" s="175"/>
      <c r="F401" s="175"/>
      <c r="G401" s="175"/>
      <c r="H401" s="307"/>
      <c r="I401" s="175"/>
      <c r="J401" s="175"/>
      <c r="K401" s="179"/>
      <c r="L401" s="177"/>
      <c r="M401" s="238"/>
      <c r="N401" s="177"/>
      <c r="O401" s="179"/>
      <c r="P401" s="177"/>
      <c r="Q401" s="307"/>
      <c r="R401" s="238"/>
      <c r="S401" s="177"/>
      <c r="T401" s="179"/>
      <c r="U401" s="177"/>
      <c r="V401" s="262"/>
      <c r="W401" s="262"/>
      <c r="X401" s="175"/>
      <c r="Y401" s="175"/>
      <c r="Z401" s="175"/>
      <c r="AA401" s="175"/>
      <c r="AB401" s="175"/>
      <c r="AC401" s="175"/>
      <c r="AD401" s="175"/>
      <c r="AE401" s="175"/>
      <c r="AF401" s="175"/>
      <c r="AG401" s="179"/>
      <c r="AH401" s="179"/>
      <c r="AI401" s="177"/>
      <c r="AJ401" s="179"/>
      <c r="AK401" s="183"/>
      <c r="AL401" s="177"/>
      <c r="AM401" s="177"/>
      <c r="AN401" s="263"/>
      <c r="AO401" s="175"/>
      <c r="AP401" s="175"/>
      <c r="AQ401" s="307"/>
      <c r="AR401" s="175"/>
      <c r="AS401" s="170"/>
      <c r="AT401" s="170"/>
      <c r="AU401" s="214"/>
      <c r="AV401" s="268"/>
      <c r="AW401" s="175"/>
      <c r="AX401" s="210"/>
      <c r="AY401" s="173"/>
      <c r="AZ401" s="179"/>
      <c r="BA401" s="179"/>
      <c r="BB401" s="175"/>
      <c r="BC401" s="49" t="e">
        <f>IF(OR(#REF!="",#REF!="")=TRUE,"",NETWORKDAYS.INTL(#REF!,#REF!))</f>
        <v>#REF!</v>
      </c>
      <c r="BD401" s="175"/>
    </row>
    <row r="402" spans="1:56" s="176" customFormat="1" x14ac:dyDescent="0.45">
      <c r="A402" s="12"/>
      <c r="B402" s="150"/>
      <c r="C402" s="53"/>
      <c r="D402" s="175"/>
      <c r="E402" s="175"/>
      <c r="F402" s="175"/>
      <c r="G402" s="175"/>
      <c r="H402" s="307"/>
      <c r="I402" s="175"/>
      <c r="J402" s="175"/>
      <c r="K402" s="179"/>
      <c r="L402" s="177"/>
      <c r="M402" s="238"/>
      <c r="N402" s="177"/>
      <c r="O402" s="179"/>
      <c r="P402" s="177"/>
      <c r="Q402" s="307"/>
      <c r="R402" s="238"/>
      <c r="S402" s="177"/>
      <c r="T402" s="179"/>
      <c r="U402" s="177"/>
      <c r="V402" s="262"/>
      <c r="W402" s="262"/>
      <c r="X402" s="175"/>
      <c r="Y402" s="175"/>
      <c r="Z402" s="175"/>
      <c r="AA402" s="175"/>
      <c r="AB402" s="175"/>
      <c r="AC402" s="175"/>
      <c r="AD402" s="175"/>
      <c r="AE402" s="175"/>
      <c r="AF402" s="175"/>
      <c r="AG402" s="179"/>
      <c r="AH402" s="179"/>
      <c r="AI402" s="177"/>
      <c r="AJ402" s="179"/>
      <c r="AK402" s="183"/>
      <c r="AL402" s="177"/>
      <c r="AM402" s="177"/>
      <c r="AN402" s="263"/>
      <c r="AO402" s="175"/>
      <c r="AP402" s="175"/>
      <c r="AQ402" s="307"/>
      <c r="AR402" s="175"/>
      <c r="AS402" s="170"/>
      <c r="AT402" s="170"/>
      <c r="AU402" s="214"/>
      <c r="AV402" s="268"/>
      <c r="AW402" s="175"/>
      <c r="AX402" s="210"/>
      <c r="AY402" s="173"/>
      <c r="AZ402" s="179"/>
      <c r="BA402" s="179"/>
      <c r="BB402" s="175"/>
      <c r="BC402" s="49" t="e">
        <f>IF(OR(#REF!="",#REF!="")=TRUE,"",NETWORKDAYS.INTL(#REF!,#REF!))</f>
        <v>#REF!</v>
      </c>
      <c r="BD402" s="175"/>
    </row>
    <row r="403" spans="1:56" s="176" customFormat="1" x14ac:dyDescent="0.45">
      <c r="A403" s="13"/>
      <c r="B403" s="155"/>
      <c r="C403" s="85"/>
      <c r="D403" s="175"/>
      <c r="E403" s="175"/>
      <c r="F403" s="175"/>
      <c r="G403" s="175"/>
      <c r="H403" s="307"/>
      <c r="I403" s="175"/>
      <c r="J403" s="175"/>
      <c r="K403" s="179"/>
      <c r="L403" s="177"/>
      <c r="M403" s="238"/>
      <c r="N403" s="177"/>
      <c r="O403" s="179"/>
      <c r="P403" s="177"/>
      <c r="Q403" s="307"/>
      <c r="R403" s="238"/>
      <c r="S403" s="177"/>
      <c r="T403" s="179"/>
      <c r="U403" s="177"/>
      <c r="V403" s="262"/>
      <c r="W403" s="262"/>
      <c r="X403" s="175"/>
      <c r="Y403" s="175"/>
      <c r="Z403" s="175"/>
      <c r="AA403" s="175"/>
      <c r="AB403" s="175"/>
      <c r="AC403" s="175"/>
      <c r="AD403" s="175"/>
      <c r="AE403" s="175"/>
      <c r="AF403" s="175"/>
      <c r="AG403" s="179"/>
      <c r="AH403" s="179"/>
      <c r="AI403" s="177"/>
      <c r="AJ403" s="179"/>
      <c r="AK403" s="183"/>
      <c r="AL403" s="177"/>
      <c r="AM403" s="177"/>
      <c r="AN403" s="263"/>
      <c r="AO403" s="175"/>
      <c r="AP403" s="175"/>
      <c r="AQ403" s="307"/>
      <c r="AR403" s="175"/>
      <c r="AS403" s="170"/>
      <c r="AT403" s="170"/>
      <c r="AU403" s="214"/>
      <c r="AV403" s="268"/>
      <c r="AW403" s="175"/>
      <c r="AX403" s="210"/>
      <c r="AY403" s="173"/>
      <c r="AZ403" s="179"/>
      <c r="BA403" s="179"/>
      <c r="BB403" s="175"/>
      <c r="BC403" s="49" t="e">
        <f>IF(OR(#REF!="",#REF!="")=TRUE,"",NETWORKDAYS.INTL(#REF!,#REF!))</f>
        <v>#REF!</v>
      </c>
      <c r="BD403" s="175"/>
    </row>
    <row r="404" spans="1:56" s="176" customFormat="1" x14ac:dyDescent="0.45">
      <c r="A404" s="13"/>
      <c r="B404" s="155"/>
      <c r="C404" s="85"/>
      <c r="D404" s="175"/>
      <c r="E404" s="175"/>
      <c r="F404" s="175"/>
      <c r="G404" s="175"/>
      <c r="H404" s="307"/>
      <c r="I404" s="175"/>
      <c r="J404" s="175"/>
      <c r="K404" s="179"/>
      <c r="L404" s="177"/>
      <c r="M404" s="238"/>
      <c r="N404" s="177"/>
      <c r="O404" s="179"/>
      <c r="P404" s="177"/>
      <c r="Q404" s="307"/>
      <c r="R404" s="238"/>
      <c r="S404" s="177"/>
      <c r="T404" s="179"/>
      <c r="U404" s="177"/>
      <c r="V404" s="262"/>
      <c r="W404" s="262"/>
      <c r="X404" s="175"/>
      <c r="Y404" s="175"/>
      <c r="Z404" s="175"/>
      <c r="AA404" s="175"/>
      <c r="AB404" s="175"/>
      <c r="AC404" s="175"/>
      <c r="AD404" s="175"/>
      <c r="AE404" s="175"/>
      <c r="AF404" s="175"/>
      <c r="AG404" s="179"/>
      <c r="AH404" s="179"/>
      <c r="AI404" s="177"/>
      <c r="AJ404" s="179"/>
      <c r="AK404" s="183"/>
      <c r="AL404" s="177"/>
      <c r="AM404" s="177"/>
      <c r="AN404" s="263"/>
      <c r="AO404" s="175"/>
      <c r="AP404" s="175"/>
      <c r="AQ404" s="307"/>
      <c r="AR404" s="175"/>
      <c r="AS404" s="170"/>
      <c r="AT404" s="170"/>
      <c r="AU404" s="214"/>
      <c r="AV404" s="268"/>
      <c r="AW404" s="175"/>
      <c r="AX404" s="210"/>
      <c r="AY404" s="173"/>
      <c r="AZ404" s="179"/>
      <c r="BA404" s="179"/>
      <c r="BB404" s="175"/>
      <c r="BC404" s="49" t="e">
        <f>IF(OR(#REF!="",#REF!="")=TRUE,"",NETWORKDAYS.INTL(#REF!,#REF!))</f>
        <v>#REF!</v>
      </c>
      <c r="BD404" s="175"/>
    </row>
    <row r="405" spans="1:56" s="176" customFormat="1" x14ac:dyDescent="0.45">
      <c r="A405" s="12"/>
      <c r="B405" s="150"/>
      <c r="C405" s="53"/>
      <c r="D405" s="175"/>
      <c r="E405" s="175"/>
      <c r="F405" s="175"/>
      <c r="G405" s="175"/>
      <c r="H405" s="307"/>
      <c r="I405" s="175"/>
      <c r="J405" s="175"/>
      <c r="K405" s="179"/>
      <c r="L405" s="177"/>
      <c r="M405" s="238"/>
      <c r="N405" s="177"/>
      <c r="O405" s="179"/>
      <c r="P405" s="177"/>
      <c r="Q405" s="307"/>
      <c r="R405" s="238"/>
      <c r="S405" s="177"/>
      <c r="T405" s="179"/>
      <c r="U405" s="177"/>
      <c r="V405" s="262"/>
      <c r="W405" s="262"/>
      <c r="X405" s="175"/>
      <c r="Y405" s="175"/>
      <c r="Z405" s="175"/>
      <c r="AA405" s="175"/>
      <c r="AB405" s="175"/>
      <c r="AC405" s="175"/>
      <c r="AD405" s="175"/>
      <c r="AE405" s="175"/>
      <c r="AF405" s="175"/>
      <c r="AG405" s="179"/>
      <c r="AH405" s="179"/>
      <c r="AI405" s="177"/>
      <c r="AJ405" s="179"/>
      <c r="AK405" s="183"/>
      <c r="AL405" s="177"/>
      <c r="AM405" s="177"/>
      <c r="AN405" s="263"/>
      <c r="AO405" s="175"/>
      <c r="AP405" s="175"/>
      <c r="AQ405" s="307"/>
      <c r="AR405" s="175"/>
      <c r="AS405" s="170"/>
      <c r="AT405" s="170"/>
      <c r="AU405" s="214"/>
      <c r="AV405" s="268"/>
      <c r="AW405" s="175"/>
      <c r="AX405" s="210"/>
      <c r="AY405" s="173"/>
      <c r="AZ405" s="179"/>
      <c r="BA405" s="179"/>
      <c r="BB405" s="175"/>
      <c r="BC405" s="49" t="e">
        <f>IF(OR(#REF!="",#REF!="")=TRUE,"",NETWORKDAYS.INTL(#REF!,#REF!))</f>
        <v>#REF!</v>
      </c>
      <c r="BD405" s="175"/>
    </row>
    <row r="406" spans="1:56" s="176" customFormat="1" x14ac:dyDescent="0.45">
      <c r="A406" s="13"/>
      <c r="B406" s="155"/>
      <c r="C406" s="85"/>
      <c r="D406" s="175"/>
      <c r="E406" s="175"/>
      <c r="F406" s="175"/>
      <c r="G406" s="175"/>
      <c r="H406" s="307"/>
      <c r="I406" s="175"/>
      <c r="J406" s="175"/>
      <c r="K406" s="179"/>
      <c r="L406" s="177"/>
      <c r="M406" s="238"/>
      <c r="N406" s="177"/>
      <c r="O406" s="179"/>
      <c r="P406" s="177"/>
      <c r="Q406" s="307"/>
      <c r="R406" s="238"/>
      <c r="S406" s="177"/>
      <c r="T406" s="179"/>
      <c r="U406" s="177"/>
      <c r="V406" s="262"/>
      <c r="W406" s="262"/>
      <c r="X406" s="175"/>
      <c r="Y406" s="175"/>
      <c r="Z406" s="175"/>
      <c r="AA406" s="175"/>
      <c r="AB406" s="175"/>
      <c r="AC406" s="175"/>
      <c r="AD406" s="175"/>
      <c r="AE406" s="175"/>
      <c r="AF406" s="175"/>
      <c r="AG406" s="179"/>
      <c r="AH406" s="179"/>
      <c r="AI406" s="177"/>
      <c r="AJ406" s="179"/>
      <c r="AK406" s="183"/>
      <c r="AL406" s="177"/>
      <c r="AM406" s="177"/>
      <c r="AN406" s="263"/>
      <c r="AO406" s="175"/>
      <c r="AP406" s="175"/>
      <c r="AQ406" s="307"/>
      <c r="AR406" s="175"/>
      <c r="AS406" s="170"/>
      <c r="AT406" s="170"/>
      <c r="AU406" s="214"/>
      <c r="AV406" s="268"/>
      <c r="AW406" s="175"/>
      <c r="AX406" s="210"/>
      <c r="AY406" s="173"/>
      <c r="AZ406" s="179"/>
      <c r="BA406" s="179"/>
      <c r="BB406" s="175"/>
      <c r="BC406" s="49" t="e">
        <f>IF(OR(#REF!="",#REF!="")=TRUE,"",NETWORKDAYS.INTL(#REF!,#REF!))</f>
        <v>#REF!</v>
      </c>
      <c r="BD406" s="175"/>
    </row>
    <row r="407" spans="1:56" s="176" customFormat="1" x14ac:dyDescent="0.45">
      <c r="A407" s="13"/>
      <c r="B407" s="155"/>
      <c r="C407" s="85"/>
      <c r="D407" s="175"/>
      <c r="E407" s="175"/>
      <c r="F407" s="175"/>
      <c r="G407" s="175"/>
      <c r="H407" s="307"/>
      <c r="I407" s="175"/>
      <c r="J407" s="175"/>
      <c r="K407" s="179"/>
      <c r="L407" s="177"/>
      <c r="M407" s="238"/>
      <c r="N407" s="177"/>
      <c r="O407" s="179"/>
      <c r="P407" s="177"/>
      <c r="Q407" s="307"/>
      <c r="R407" s="238"/>
      <c r="S407" s="177"/>
      <c r="T407" s="179"/>
      <c r="U407" s="177"/>
      <c r="V407" s="262"/>
      <c r="W407" s="262"/>
      <c r="X407" s="175"/>
      <c r="Y407" s="175"/>
      <c r="Z407" s="175"/>
      <c r="AA407" s="175"/>
      <c r="AB407" s="175"/>
      <c r="AC407" s="175"/>
      <c r="AD407" s="175"/>
      <c r="AE407" s="175"/>
      <c r="AF407" s="175"/>
      <c r="AG407" s="179"/>
      <c r="AH407" s="179"/>
      <c r="AI407" s="177"/>
      <c r="AJ407" s="179"/>
      <c r="AK407" s="183"/>
      <c r="AL407" s="177"/>
      <c r="AM407" s="177"/>
      <c r="AN407" s="263"/>
      <c r="AO407" s="175"/>
      <c r="AP407" s="175"/>
      <c r="AQ407" s="307"/>
      <c r="AR407" s="175"/>
      <c r="AS407" s="170"/>
      <c r="AT407" s="170"/>
      <c r="AU407" s="214"/>
      <c r="AV407" s="268"/>
      <c r="AW407" s="175"/>
      <c r="AX407" s="210"/>
      <c r="AY407" s="173"/>
      <c r="AZ407" s="179"/>
      <c r="BA407" s="179"/>
      <c r="BB407" s="175"/>
      <c r="BC407" s="49" t="e">
        <f>IF(OR(#REF!="",#REF!="")=TRUE,"",NETWORKDAYS.INTL(#REF!,#REF!))</f>
        <v>#REF!</v>
      </c>
      <c r="BD407" s="175"/>
    </row>
    <row r="408" spans="1:56" s="176" customFormat="1" x14ac:dyDescent="0.45">
      <c r="A408" s="12"/>
      <c r="B408" s="150"/>
      <c r="C408" s="53"/>
      <c r="D408" s="175"/>
      <c r="E408" s="175"/>
      <c r="F408" s="175"/>
      <c r="G408" s="175"/>
      <c r="H408" s="307"/>
      <c r="I408" s="175"/>
      <c r="J408" s="175"/>
      <c r="K408" s="179"/>
      <c r="L408" s="177"/>
      <c r="M408" s="238"/>
      <c r="N408" s="177"/>
      <c r="O408" s="179"/>
      <c r="P408" s="177"/>
      <c r="Q408" s="307"/>
      <c r="R408" s="238"/>
      <c r="S408" s="177"/>
      <c r="T408" s="179"/>
      <c r="U408" s="177"/>
      <c r="V408" s="262"/>
      <c r="W408" s="262"/>
      <c r="X408" s="175"/>
      <c r="Y408" s="175"/>
      <c r="Z408" s="175"/>
      <c r="AA408" s="175"/>
      <c r="AB408" s="175"/>
      <c r="AC408" s="175"/>
      <c r="AD408" s="175"/>
      <c r="AE408" s="175"/>
      <c r="AF408" s="175"/>
      <c r="AG408" s="179"/>
      <c r="AH408" s="179"/>
      <c r="AI408" s="177"/>
      <c r="AJ408" s="179"/>
      <c r="AK408" s="183"/>
      <c r="AL408" s="177"/>
      <c r="AM408" s="177"/>
      <c r="AN408" s="263"/>
      <c r="AO408" s="175"/>
      <c r="AP408" s="175"/>
      <c r="AQ408" s="307"/>
      <c r="AR408" s="175"/>
      <c r="AS408" s="170"/>
      <c r="AT408" s="170"/>
      <c r="AU408" s="214"/>
      <c r="AV408" s="268"/>
      <c r="AW408" s="175"/>
      <c r="AX408" s="210"/>
      <c r="AY408" s="173"/>
      <c r="AZ408" s="179"/>
      <c r="BA408" s="179"/>
      <c r="BB408" s="175"/>
      <c r="BC408" s="49" t="e">
        <f>IF(OR(#REF!="",#REF!="")=TRUE,"",NETWORKDAYS.INTL(#REF!,#REF!))</f>
        <v>#REF!</v>
      </c>
      <c r="BD408" s="175"/>
    </row>
    <row r="409" spans="1:56" s="176" customFormat="1" x14ac:dyDescent="0.45">
      <c r="A409" s="13"/>
      <c r="B409" s="155"/>
      <c r="C409" s="85"/>
      <c r="D409" s="175"/>
      <c r="E409" s="175"/>
      <c r="F409" s="175"/>
      <c r="G409" s="175"/>
      <c r="H409" s="307"/>
      <c r="I409" s="175"/>
      <c r="J409" s="175"/>
      <c r="K409" s="179"/>
      <c r="L409" s="177"/>
      <c r="M409" s="238"/>
      <c r="N409" s="177"/>
      <c r="O409" s="179"/>
      <c r="P409" s="177"/>
      <c r="Q409" s="307"/>
      <c r="R409" s="238"/>
      <c r="S409" s="177"/>
      <c r="T409" s="179"/>
      <c r="U409" s="177"/>
      <c r="V409" s="262"/>
      <c r="W409" s="262"/>
      <c r="X409" s="175"/>
      <c r="Y409" s="175"/>
      <c r="Z409" s="175"/>
      <c r="AA409" s="175"/>
      <c r="AB409" s="175"/>
      <c r="AC409" s="175"/>
      <c r="AD409" s="175"/>
      <c r="AE409" s="175"/>
      <c r="AF409" s="175"/>
      <c r="AG409" s="179"/>
      <c r="AH409" s="179"/>
      <c r="AI409" s="177"/>
      <c r="AJ409" s="179"/>
      <c r="AK409" s="183"/>
      <c r="AL409" s="177"/>
      <c r="AM409" s="177"/>
      <c r="AN409" s="263"/>
      <c r="AO409" s="175"/>
      <c r="AP409" s="175"/>
      <c r="AQ409" s="307"/>
      <c r="AR409" s="175"/>
      <c r="AS409" s="170"/>
      <c r="AT409" s="170"/>
      <c r="AU409" s="214"/>
      <c r="AV409" s="268"/>
      <c r="AW409" s="175"/>
      <c r="AX409" s="210"/>
      <c r="AY409" s="173"/>
      <c r="AZ409" s="179"/>
      <c r="BA409" s="179"/>
      <c r="BB409" s="175"/>
      <c r="BC409" s="49" t="e">
        <f>IF(OR(#REF!="",#REF!="")=TRUE,"",NETWORKDAYS.INTL(#REF!,#REF!))</f>
        <v>#REF!</v>
      </c>
      <c r="BD409" s="175"/>
    </row>
    <row r="410" spans="1:56" s="176" customFormat="1" x14ac:dyDescent="0.45">
      <c r="A410" s="13"/>
      <c r="B410" s="155"/>
      <c r="C410" s="85"/>
      <c r="D410" s="175"/>
      <c r="E410" s="175"/>
      <c r="F410" s="175"/>
      <c r="G410" s="175"/>
      <c r="H410" s="307"/>
      <c r="I410" s="175"/>
      <c r="J410" s="175"/>
      <c r="K410" s="179"/>
      <c r="L410" s="177"/>
      <c r="M410" s="238"/>
      <c r="N410" s="177"/>
      <c r="O410" s="179"/>
      <c r="P410" s="177"/>
      <c r="Q410" s="307"/>
      <c r="R410" s="238"/>
      <c r="S410" s="177"/>
      <c r="T410" s="179"/>
      <c r="U410" s="177"/>
      <c r="V410" s="262"/>
      <c r="W410" s="262"/>
      <c r="X410" s="175"/>
      <c r="Y410" s="175"/>
      <c r="Z410" s="175"/>
      <c r="AA410" s="175"/>
      <c r="AB410" s="175"/>
      <c r="AC410" s="175"/>
      <c r="AD410" s="175"/>
      <c r="AE410" s="175"/>
      <c r="AF410" s="175"/>
      <c r="AG410" s="179"/>
      <c r="AH410" s="179"/>
      <c r="AI410" s="177"/>
      <c r="AJ410" s="179"/>
      <c r="AK410" s="183"/>
      <c r="AL410" s="177"/>
      <c r="AM410" s="177"/>
      <c r="AN410" s="263"/>
      <c r="AO410" s="175"/>
      <c r="AP410" s="175"/>
      <c r="AQ410" s="307"/>
      <c r="AR410" s="175"/>
      <c r="AS410" s="170"/>
      <c r="AT410" s="170"/>
      <c r="AU410" s="214"/>
      <c r="AV410" s="268"/>
      <c r="AW410" s="175"/>
      <c r="AX410" s="210"/>
      <c r="AY410" s="173"/>
      <c r="AZ410" s="179"/>
      <c r="BA410" s="179"/>
      <c r="BB410" s="175"/>
      <c r="BC410" s="49" t="e">
        <f>IF(OR(#REF!="",#REF!="")=TRUE,"",NETWORKDAYS.INTL(#REF!,#REF!))</f>
        <v>#REF!</v>
      </c>
      <c r="BD410" s="175"/>
    </row>
    <row r="411" spans="1:56" s="176" customFormat="1" x14ac:dyDescent="0.45">
      <c r="A411" s="12"/>
      <c r="B411" s="150"/>
      <c r="C411" s="53"/>
      <c r="D411" s="175"/>
      <c r="E411" s="175"/>
      <c r="F411" s="175"/>
      <c r="G411" s="175"/>
      <c r="H411" s="307"/>
      <c r="I411" s="175"/>
      <c r="J411" s="175"/>
      <c r="K411" s="179"/>
      <c r="L411" s="177"/>
      <c r="M411" s="238"/>
      <c r="N411" s="177"/>
      <c r="O411" s="179"/>
      <c r="P411" s="177"/>
      <c r="Q411" s="307"/>
      <c r="R411" s="238"/>
      <c r="S411" s="177"/>
      <c r="T411" s="179"/>
      <c r="U411" s="177"/>
      <c r="V411" s="262"/>
      <c r="W411" s="262"/>
      <c r="X411" s="175"/>
      <c r="Y411" s="175"/>
      <c r="Z411" s="175"/>
      <c r="AA411" s="175"/>
      <c r="AB411" s="175"/>
      <c r="AC411" s="175"/>
      <c r="AD411" s="175"/>
      <c r="AE411" s="175"/>
      <c r="AF411" s="175"/>
      <c r="AG411" s="179"/>
      <c r="AH411" s="179"/>
      <c r="AI411" s="177"/>
      <c r="AJ411" s="179"/>
      <c r="AK411" s="183"/>
      <c r="AL411" s="177"/>
      <c r="AM411" s="177"/>
      <c r="AN411" s="263"/>
      <c r="AO411" s="175"/>
      <c r="AP411" s="175"/>
      <c r="AQ411" s="307"/>
      <c r="AR411" s="175"/>
      <c r="AS411" s="170"/>
      <c r="AT411" s="170"/>
      <c r="AU411" s="214"/>
      <c r="AV411" s="268"/>
      <c r="AW411" s="175"/>
      <c r="AX411" s="210"/>
      <c r="AY411" s="173"/>
      <c r="AZ411" s="179"/>
      <c r="BA411" s="179"/>
      <c r="BB411" s="175"/>
      <c r="BC411" s="49" t="e">
        <f>IF(OR(#REF!="",#REF!="")=TRUE,"",NETWORKDAYS.INTL(#REF!,#REF!))</f>
        <v>#REF!</v>
      </c>
      <c r="BD411" s="175"/>
    </row>
    <row r="412" spans="1:56" s="176" customFormat="1" x14ac:dyDescent="0.45">
      <c r="A412" s="13"/>
      <c r="B412" s="155"/>
      <c r="C412" s="85"/>
      <c r="D412" s="175"/>
      <c r="E412" s="175"/>
      <c r="F412" s="175"/>
      <c r="G412" s="175"/>
      <c r="H412" s="307"/>
      <c r="I412" s="175"/>
      <c r="J412" s="175"/>
      <c r="K412" s="179"/>
      <c r="L412" s="177"/>
      <c r="M412" s="238"/>
      <c r="N412" s="177"/>
      <c r="O412" s="179"/>
      <c r="P412" s="177"/>
      <c r="Q412" s="307"/>
      <c r="R412" s="238"/>
      <c r="S412" s="177"/>
      <c r="T412" s="179"/>
      <c r="U412" s="177"/>
      <c r="V412" s="262"/>
      <c r="W412" s="262"/>
      <c r="X412" s="175"/>
      <c r="Y412" s="175"/>
      <c r="Z412" s="175"/>
      <c r="AA412" s="175"/>
      <c r="AB412" s="175"/>
      <c r="AC412" s="175"/>
      <c r="AD412" s="175"/>
      <c r="AE412" s="175"/>
      <c r="AF412" s="175"/>
      <c r="AG412" s="179"/>
      <c r="AH412" s="179"/>
      <c r="AI412" s="177"/>
      <c r="AJ412" s="179"/>
      <c r="AK412" s="183"/>
      <c r="AL412" s="177"/>
      <c r="AM412" s="177"/>
      <c r="AN412" s="263"/>
      <c r="AO412" s="175"/>
      <c r="AP412" s="175"/>
      <c r="AQ412" s="307"/>
      <c r="AR412" s="175"/>
      <c r="AS412" s="170"/>
      <c r="AT412" s="170"/>
      <c r="AU412" s="214"/>
      <c r="AV412" s="268"/>
      <c r="AW412" s="175"/>
      <c r="AX412" s="210"/>
      <c r="AY412" s="173"/>
      <c r="AZ412" s="179"/>
      <c r="BA412" s="179"/>
      <c r="BB412" s="175"/>
      <c r="BC412" s="49" t="e">
        <f>IF(OR(#REF!="",#REF!="")=TRUE,"",NETWORKDAYS.INTL(#REF!,#REF!))</f>
        <v>#REF!</v>
      </c>
      <c r="BD412" s="175"/>
    </row>
    <row r="413" spans="1:56" s="176" customFormat="1" x14ac:dyDescent="0.45">
      <c r="A413" s="13"/>
      <c r="B413" s="155"/>
      <c r="C413" s="85"/>
      <c r="D413" s="175"/>
      <c r="E413" s="175"/>
      <c r="F413" s="175"/>
      <c r="G413" s="175"/>
      <c r="H413" s="307"/>
      <c r="I413" s="175"/>
      <c r="J413" s="175"/>
      <c r="K413" s="179"/>
      <c r="L413" s="177"/>
      <c r="M413" s="238"/>
      <c r="N413" s="177"/>
      <c r="O413" s="179"/>
      <c r="P413" s="177"/>
      <c r="Q413" s="307"/>
      <c r="R413" s="238"/>
      <c r="S413" s="177"/>
      <c r="T413" s="179"/>
      <c r="U413" s="177"/>
      <c r="V413" s="262"/>
      <c r="W413" s="262"/>
      <c r="X413" s="175"/>
      <c r="Y413" s="175"/>
      <c r="Z413" s="175"/>
      <c r="AA413" s="175"/>
      <c r="AB413" s="175"/>
      <c r="AC413" s="175"/>
      <c r="AD413" s="175"/>
      <c r="AE413" s="175"/>
      <c r="AF413" s="175"/>
      <c r="AG413" s="179"/>
      <c r="AH413" s="179"/>
      <c r="AI413" s="177"/>
      <c r="AJ413" s="179"/>
      <c r="AK413" s="183"/>
      <c r="AL413" s="177"/>
      <c r="AM413" s="177"/>
      <c r="AN413" s="263"/>
      <c r="AO413" s="175"/>
      <c r="AP413" s="175"/>
      <c r="AQ413" s="307"/>
      <c r="AR413" s="175"/>
      <c r="AS413" s="170"/>
      <c r="AT413" s="170"/>
      <c r="AU413" s="214"/>
      <c r="AV413" s="268"/>
      <c r="AW413" s="175"/>
      <c r="AX413" s="210"/>
      <c r="AY413" s="173"/>
      <c r="AZ413" s="179"/>
      <c r="BA413" s="179"/>
      <c r="BB413" s="175"/>
      <c r="BC413" s="49" t="e">
        <f>IF(OR(#REF!="",#REF!="")=TRUE,"",NETWORKDAYS.INTL(#REF!,#REF!))</f>
        <v>#REF!</v>
      </c>
      <c r="BD413" s="175"/>
    </row>
    <row r="414" spans="1:56" s="176" customFormat="1" x14ac:dyDescent="0.45">
      <c r="A414" s="12"/>
      <c r="B414" s="150"/>
      <c r="C414" s="53"/>
      <c r="D414" s="175"/>
      <c r="E414" s="175"/>
      <c r="F414" s="175"/>
      <c r="G414" s="175"/>
      <c r="H414" s="307"/>
      <c r="I414" s="175"/>
      <c r="J414" s="175"/>
      <c r="K414" s="179"/>
      <c r="L414" s="177"/>
      <c r="M414" s="238"/>
      <c r="N414" s="177"/>
      <c r="O414" s="179"/>
      <c r="P414" s="177"/>
      <c r="Q414" s="307"/>
      <c r="R414" s="238"/>
      <c r="S414" s="177"/>
      <c r="T414" s="179"/>
      <c r="U414" s="177"/>
      <c r="V414" s="262"/>
      <c r="W414" s="262"/>
      <c r="X414" s="175"/>
      <c r="Y414" s="175"/>
      <c r="Z414" s="175"/>
      <c r="AA414" s="175"/>
      <c r="AB414" s="175"/>
      <c r="AC414" s="175"/>
      <c r="AD414" s="175"/>
      <c r="AE414" s="175"/>
      <c r="AF414" s="175"/>
      <c r="AG414" s="179"/>
      <c r="AH414" s="179"/>
      <c r="AI414" s="177"/>
      <c r="AJ414" s="179"/>
      <c r="AK414" s="183"/>
      <c r="AL414" s="177"/>
      <c r="AM414" s="177"/>
      <c r="AN414" s="263"/>
      <c r="AO414" s="175"/>
      <c r="AP414" s="175"/>
      <c r="AQ414" s="307"/>
      <c r="AR414" s="175"/>
      <c r="AS414" s="170"/>
      <c r="AT414" s="170"/>
      <c r="AU414" s="214"/>
      <c r="AV414" s="268"/>
      <c r="AW414" s="175"/>
      <c r="AX414" s="210"/>
      <c r="AY414" s="173"/>
      <c r="AZ414" s="179"/>
      <c r="BA414" s="179"/>
      <c r="BB414" s="175"/>
      <c r="BC414" s="49" t="e">
        <f>IF(OR(#REF!="",#REF!="")=TRUE,"",NETWORKDAYS.INTL(#REF!,#REF!))</f>
        <v>#REF!</v>
      </c>
      <c r="BD414" s="175"/>
    </row>
    <row r="415" spans="1:56" s="176" customFormat="1" x14ac:dyDescent="0.45">
      <c r="A415" s="13"/>
      <c r="B415" s="155"/>
      <c r="C415" s="85"/>
      <c r="D415" s="175"/>
      <c r="E415" s="175"/>
      <c r="F415" s="175"/>
      <c r="G415" s="175"/>
      <c r="H415" s="307"/>
      <c r="I415" s="175"/>
      <c r="J415" s="175"/>
      <c r="K415" s="179"/>
      <c r="L415" s="177"/>
      <c r="M415" s="238"/>
      <c r="N415" s="177"/>
      <c r="O415" s="179"/>
      <c r="P415" s="177"/>
      <c r="Q415" s="307"/>
      <c r="R415" s="238"/>
      <c r="S415" s="177"/>
      <c r="T415" s="179"/>
      <c r="U415" s="177"/>
      <c r="V415" s="262"/>
      <c r="W415" s="262"/>
      <c r="X415" s="175"/>
      <c r="Y415" s="175"/>
      <c r="Z415" s="175"/>
      <c r="AA415" s="175"/>
      <c r="AB415" s="175"/>
      <c r="AC415" s="175"/>
      <c r="AD415" s="175"/>
      <c r="AE415" s="175"/>
      <c r="AF415" s="175"/>
      <c r="AG415" s="179"/>
      <c r="AH415" s="179"/>
      <c r="AI415" s="177"/>
      <c r="AJ415" s="179"/>
      <c r="AK415" s="183"/>
      <c r="AL415" s="177"/>
      <c r="AM415" s="177"/>
      <c r="AN415" s="263"/>
      <c r="AO415" s="175"/>
      <c r="AP415" s="175"/>
      <c r="AQ415" s="307"/>
      <c r="AR415" s="175"/>
      <c r="AS415" s="170"/>
      <c r="AT415" s="170"/>
      <c r="AU415" s="214"/>
      <c r="AV415" s="268"/>
      <c r="AW415" s="175"/>
      <c r="AX415" s="210"/>
      <c r="AY415" s="173"/>
      <c r="AZ415" s="179"/>
      <c r="BA415" s="179"/>
      <c r="BB415" s="175"/>
      <c r="BC415" s="49" t="e">
        <f>IF(OR(#REF!="",#REF!="")=TRUE,"",NETWORKDAYS.INTL(#REF!,#REF!))</f>
        <v>#REF!</v>
      </c>
      <c r="BD415" s="175"/>
    </row>
    <row r="416" spans="1:56" s="176" customFormat="1" x14ac:dyDescent="0.45">
      <c r="A416" s="13"/>
      <c r="B416" s="155"/>
      <c r="C416" s="85"/>
      <c r="D416" s="175"/>
      <c r="E416" s="175"/>
      <c r="F416" s="175"/>
      <c r="G416" s="175"/>
      <c r="H416" s="307"/>
      <c r="I416" s="175"/>
      <c r="J416" s="175"/>
      <c r="K416" s="179"/>
      <c r="L416" s="177"/>
      <c r="M416" s="238"/>
      <c r="N416" s="177"/>
      <c r="O416" s="179"/>
      <c r="P416" s="177"/>
      <c r="Q416" s="307"/>
      <c r="R416" s="238"/>
      <c r="S416" s="177"/>
      <c r="T416" s="179"/>
      <c r="U416" s="177"/>
      <c r="V416" s="262"/>
      <c r="W416" s="262"/>
      <c r="X416" s="175"/>
      <c r="Y416" s="175"/>
      <c r="Z416" s="175"/>
      <c r="AA416" s="175"/>
      <c r="AB416" s="175"/>
      <c r="AC416" s="175"/>
      <c r="AD416" s="175"/>
      <c r="AE416" s="175"/>
      <c r="AF416" s="175"/>
      <c r="AG416" s="179"/>
      <c r="AH416" s="179"/>
      <c r="AI416" s="177"/>
      <c r="AJ416" s="179"/>
      <c r="AK416" s="183"/>
      <c r="AL416" s="177"/>
      <c r="AM416" s="177"/>
      <c r="AN416" s="263"/>
      <c r="AO416" s="175"/>
      <c r="AP416" s="175"/>
      <c r="AQ416" s="307"/>
      <c r="AR416" s="175"/>
      <c r="AS416" s="170"/>
      <c r="AT416" s="170"/>
      <c r="AU416" s="214"/>
      <c r="AV416" s="268"/>
      <c r="AW416" s="175"/>
      <c r="AX416" s="210"/>
      <c r="AY416" s="173"/>
      <c r="AZ416" s="179"/>
      <c r="BA416" s="179"/>
      <c r="BB416" s="175"/>
      <c r="BC416" s="49" t="e">
        <f>IF(OR(#REF!="",#REF!="")=TRUE,"",NETWORKDAYS.INTL(#REF!,#REF!))</f>
        <v>#REF!</v>
      </c>
      <c r="BD416" s="175"/>
    </row>
    <row r="417" spans="1:56" s="176" customFormat="1" x14ac:dyDescent="0.45">
      <c r="A417" s="12"/>
      <c r="B417" s="150"/>
      <c r="C417" s="53"/>
      <c r="D417" s="175"/>
      <c r="E417" s="175"/>
      <c r="F417" s="175"/>
      <c r="G417" s="175"/>
      <c r="H417" s="307"/>
      <c r="I417" s="175"/>
      <c r="J417" s="175"/>
      <c r="K417" s="179"/>
      <c r="L417" s="177"/>
      <c r="M417" s="238"/>
      <c r="N417" s="177"/>
      <c r="O417" s="179"/>
      <c r="P417" s="177"/>
      <c r="Q417" s="307"/>
      <c r="R417" s="238"/>
      <c r="S417" s="177"/>
      <c r="T417" s="179"/>
      <c r="U417" s="177"/>
      <c r="V417" s="262"/>
      <c r="W417" s="262"/>
      <c r="X417" s="175"/>
      <c r="Y417" s="175"/>
      <c r="Z417" s="175"/>
      <c r="AA417" s="175"/>
      <c r="AB417" s="175"/>
      <c r="AC417" s="175"/>
      <c r="AD417" s="175"/>
      <c r="AE417" s="175"/>
      <c r="AF417" s="175"/>
      <c r="AG417" s="179"/>
      <c r="AH417" s="179"/>
      <c r="AI417" s="177"/>
      <c r="AJ417" s="179"/>
      <c r="AK417" s="183"/>
      <c r="AL417" s="177"/>
      <c r="AM417" s="177"/>
      <c r="AN417" s="263"/>
      <c r="AO417" s="175"/>
      <c r="AP417" s="175"/>
      <c r="AQ417" s="307"/>
      <c r="AR417" s="175"/>
      <c r="AS417" s="170"/>
      <c r="AT417" s="170"/>
      <c r="AU417" s="214"/>
      <c r="AV417" s="268"/>
      <c r="AW417" s="175"/>
      <c r="AX417" s="210"/>
      <c r="AY417" s="173"/>
      <c r="AZ417" s="179"/>
      <c r="BA417" s="179"/>
      <c r="BB417" s="175"/>
      <c r="BC417" s="49" t="e">
        <f>IF(OR(#REF!="",#REF!="")=TRUE,"",NETWORKDAYS.INTL(#REF!,#REF!))</f>
        <v>#REF!</v>
      </c>
      <c r="BD417" s="175"/>
    </row>
    <row r="418" spans="1:56" s="176" customFormat="1" x14ac:dyDescent="0.45">
      <c r="A418" s="13"/>
      <c r="B418" s="155"/>
      <c r="C418" s="85"/>
      <c r="D418" s="175"/>
      <c r="E418" s="175"/>
      <c r="F418" s="175"/>
      <c r="G418" s="175"/>
      <c r="H418" s="307"/>
      <c r="I418" s="175"/>
      <c r="J418" s="175"/>
      <c r="K418" s="179"/>
      <c r="L418" s="177"/>
      <c r="M418" s="238"/>
      <c r="N418" s="177"/>
      <c r="O418" s="179"/>
      <c r="P418" s="177"/>
      <c r="Q418" s="307"/>
      <c r="R418" s="238"/>
      <c r="S418" s="177"/>
      <c r="T418" s="179"/>
      <c r="U418" s="177"/>
      <c r="V418" s="262"/>
      <c r="W418" s="262"/>
      <c r="X418" s="175"/>
      <c r="Y418" s="175"/>
      <c r="Z418" s="175"/>
      <c r="AA418" s="175"/>
      <c r="AB418" s="175"/>
      <c r="AC418" s="175"/>
      <c r="AD418" s="175"/>
      <c r="AE418" s="175"/>
      <c r="AF418" s="175"/>
      <c r="AG418" s="179"/>
      <c r="AH418" s="179"/>
      <c r="AI418" s="177"/>
      <c r="AJ418" s="179"/>
      <c r="AK418" s="183"/>
      <c r="AL418" s="177"/>
      <c r="AM418" s="177"/>
      <c r="AN418" s="263"/>
      <c r="AO418" s="175"/>
      <c r="AP418" s="175"/>
      <c r="AQ418" s="307"/>
      <c r="AR418" s="175"/>
      <c r="AS418" s="170"/>
      <c r="AT418" s="170"/>
      <c r="AU418" s="214"/>
      <c r="AV418" s="268"/>
      <c r="AW418" s="175"/>
      <c r="AX418" s="210"/>
      <c r="AY418" s="173"/>
      <c r="AZ418" s="179"/>
      <c r="BA418" s="179"/>
      <c r="BB418" s="175"/>
      <c r="BC418" s="49" t="e">
        <f>IF(OR(#REF!="",#REF!="")=TRUE,"",NETWORKDAYS.INTL(#REF!,#REF!))</f>
        <v>#REF!</v>
      </c>
      <c r="BD418" s="175"/>
    </row>
    <row r="419" spans="1:56" s="176" customFormat="1" x14ac:dyDescent="0.45">
      <c r="A419" s="13"/>
      <c r="B419" s="155"/>
      <c r="C419" s="85"/>
      <c r="D419" s="175"/>
      <c r="E419" s="175"/>
      <c r="F419" s="175"/>
      <c r="G419" s="175"/>
      <c r="H419" s="307"/>
      <c r="I419" s="175"/>
      <c r="J419" s="175"/>
      <c r="K419" s="179"/>
      <c r="L419" s="177"/>
      <c r="M419" s="238"/>
      <c r="N419" s="177"/>
      <c r="O419" s="179"/>
      <c r="P419" s="177"/>
      <c r="Q419" s="307"/>
      <c r="R419" s="238"/>
      <c r="S419" s="177"/>
      <c r="T419" s="179"/>
      <c r="U419" s="177"/>
      <c r="V419" s="262"/>
      <c r="W419" s="262"/>
      <c r="X419" s="175"/>
      <c r="Y419" s="175"/>
      <c r="Z419" s="175"/>
      <c r="AA419" s="175"/>
      <c r="AB419" s="175"/>
      <c r="AC419" s="175"/>
      <c r="AD419" s="175"/>
      <c r="AE419" s="175"/>
      <c r="AF419" s="175"/>
      <c r="AG419" s="179"/>
      <c r="AH419" s="179"/>
      <c r="AI419" s="177"/>
      <c r="AJ419" s="179"/>
      <c r="AK419" s="183"/>
      <c r="AL419" s="177"/>
      <c r="AM419" s="177"/>
      <c r="AN419" s="263"/>
      <c r="AO419" s="175"/>
      <c r="AP419" s="175"/>
      <c r="AQ419" s="307"/>
      <c r="AR419" s="175"/>
      <c r="AS419" s="170"/>
      <c r="AT419" s="170"/>
      <c r="AU419" s="214"/>
      <c r="AV419" s="268"/>
      <c r="AW419" s="175"/>
      <c r="AX419" s="210"/>
      <c r="AY419" s="173"/>
      <c r="AZ419" s="179"/>
      <c r="BA419" s="179"/>
      <c r="BB419" s="175"/>
      <c r="BC419" s="49" t="e">
        <f>IF(OR(#REF!="",#REF!="")=TRUE,"",NETWORKDAYS.INTL(#REF!,#REF!))</f>
        <v>#REF!</v>
      </c>
      <c r="BD419" s="175"/>
    </row>
    <row r="420" spans="1:56" x14ac:dyDescent="0.45">
      <c r="A420" s="12"/>
      <c r="B420" s="150"/>
      <c r="C420" s="53"/>
      <c r="D420" s="1"/>
      <c r="E420" s="1"/>
      <c r="F420" s="1"/>
      <c r="G420" s="1"/>
      <c r="H420" s="307"/>
      <c r="I420" s="1"/>
      <c r="J420" s="1"/>
      <c r="K420" s="15"/>
      <c r="L420" s="17"/>
      <c r="M420" s="238"/>
      <c r="N420" s="17"/>
      <c r="O420" s="15"/>
      <c r="P420" s="17"/>
      <c r="Q420" s="307"/>
      <c r="R420" s="238"/>
      <c r="S420" s="17"/>
      <c r="T420" s="15"/>
      <c r="U420" s="17"/>
      <c r="V420" s="262"/>
      <c r="W420" s="262"/>
      <c r="X420" s="1"/>
      <c r="Y420" s="1"/>
      <c r="Z420" s="1"/>
      <c r="AA420" s="1"/>
      <c r="AB420" s="1"/>
      <c r="AC420" s="1"/>
      <c r="AD420" s="1"/>
      <c r="AE420" s="1"/>
      <c r="AF420" s="1"/>
      <c r="AG420" s="15"/>
      <c r="AH420" s="15"/>
      <c r="AI420" s="17"/>
      <c r="AJ420" s="15"/>
      <c r="AK420" s="124"/>
      <c r="AL420" s="17"/>
      <c r="AM420" s="17"/>
      <c r="AN420" s="263"/>
      <c r="AO420" s="1"/>
      <c r="AP420" s="1"/>
      <c r="AQ420" s="307"/>
      <c r="AR420" s="1"/>
      <c r="AS420" s="11"/>
      <c r="AT420" s="11"/>
      <c r="AU420" s="214"/>
      <c r="AV420" s="268"/>
      <c r="AW420" s="1"/>
      <c r="AX420" s="210"/>
      <c r="AY420" s="60"/>
      <c r="AZ420" s="15"/>
      <c r="BA420" s="15"/>
      <c r="BB420" s="1"/>
      <c r="BC420" s="49" t="e">
        <f>IF(OR(#REF!="",#REF!="")=TRUE,"",NETWORKDAYS.INTL(#REF!,#REF!))</f>
        <v>#REF!</v>
      </c>
    </row>
    <row r="421" spans="1:56" x14ac:dyDescent="0.45">
      <c r="A421" s="13"/>
      <c r="B421" s="155"/>
      <c r="C421" s="85"/>
      <c r="D421" s="1"/>
      <c r="E421" s="1"/>
      <c r="F421" s="1"/>
      <c r="G421" s="1"/>
      <c r="H421" s="307"/>
      <c r="I421" s="1"/>
      <c r="J421" s="1"/>
      <c r="K421" s="15"/>
      <c r="L421" s="17"/>
      <c r="M421" s="238"/>
      <c r="N421" s="17"/>
      <c r="O421" s="15"/>
      <c r="P421" s="17"/>
      <c r="Q421" s="307"/>
      <c r="R421" s="238"/>
      <c r="S421" s="17"/>
      <c r="T421" s="15"/>
      <c r="U421" s="17"/>
      <c r="V421" s="262"/>
      <c r="W421" s="262"/>
      <c r="X421" s="1"/>
      <c r="Y421" s="1"/>
      <c r="Z421" s="1"/>
      <c r="AA421" s="1"/>
      <c r="AB421" s="1"/>
      <c r="AC421" s="1"/>
      <c r="AD421" s="1"/>
      <c r="AE421" s="1"/>
      <c r="AF421" s="1"/>
      <c r="AG421" s="15"/>
      <c r="AH421" s="15"/>
      <c r="AI421" s="17"/>
      <c r="AJ421" s="15"/>
      <c r="AK421" s="124"/>
      <c r="AL421" s="17"/>
      <c r="AM421" s="17"/>
      <c r="AN421" s="263"/>
      <c r="AO421" s="1"/>
      <c r="AP421" s="1"/>
      <c r="AQ421" s="307"/>
      <c r="AR421" s="1"/>
      <c r="AS421" s="11"/>
      <c r="AT421" s="11"/>
      <c r="AU421" s="214"/>
      <c r="AV421" s="268"/>
      <c r="AW421" s="1"/>
      <c r="AX421" s="210"/>
      <c r="AY421" s="60"/>
      <c r="AZ421" s="15"/>
      <c r="BA421" s="15"/>
      <c r="BB421" s="1"/>
      <c r="BC421" s="49" t="e">
        <f>IF(OR(#REF!="",#REF!="")=TRUE,"",NETWORKDAYS.INTL(#REF!,#REF!))</f>
        <v>#REF!</v>
      </c>
    </row>
    <row r="422" spans="1:56" x14ac:dyDescent="0.45">
      <c r="A422" s="13"/>
      <c r="B422" s="155"/>
      <c r="C422" s="85"/>
      <c r="D422" s="1"/>
      <c r="E422" s="1"/>
      <c r="F422" s="1"/>
      <c r="G422" s="1"/>
      <c r="H422" s="307"/>
      <c r="I422" s="1"/>
      <c r="J422" s="1"/>
      <c r="K422" s="15"/>
      <c r="L422" s="17"/>
      <c r="M422" s="238"/>
      <c r="N422" s="17"/>
      <c r="O422" s="15"/>
      <c r="P422" s="17"/>
      <c r="Q422" s="307"/>
      <c r="R422" s="238"/>
      <c r="S422" s="17"/>
      <c r="T422" s="15"/>
      <c r="U422" s="17"/>
      <c r="V422" s="262"/>
      <c r="W422" s="262"/>
      <c r="X422" s="1"/>
      <c r="Y422" s="1"/>
      <c r="Z422" s="1"/>
      <c r="AA422" s="1"/>
      <c r="AB422" s="1"/>
      <c r="AC422" s="1"/>
      <c r="AD422" s="1"/>
      <c r="AE422" s="1"/>
      <c r="AF422" s="1"/>
      <c r="AG422" s="15"/>
      <c r="AH422" s="15"/>
      <c r="AI422" s="17"/>
      <c r="AJ422" s="15"/>
      <c r="AK422" s="124"/>
      <c r="AL422" s="17"/>
      <c r="AM422" s="17"/>
      <c r="AN422" s="263"/>
      <c r="AO422" s="1"/>
      <c r="AP422" s="1"/>
      <c r="AQ422" s="307"/>
      <c r="AR422" s="1"/>
      <c r="AS422" s="11"/>
      <c r="AT422" s="11"/>
      <c r="AU422" s="214"/>
      <c r="AV422" s="268"/>
      <c r="AW422" s="1"/>
      <c r="AX422" s="210"/>
      <c r="AY422" s="60"/>
      <c r="AZ422" s="15"/>
      <c r="BA422" s="15"/>
      <c r="BB422" s="1"/>
      <c r="BC422" s="49" t="e">
        <f>IF(OR(#REF!="",#REF!="")=TRUE,"",NETWORKDAYS.INTL(#REF!,#REF!))</f>
        <v>#REF!</v>
      </c>
    </row>
    <row r="423" spans="1:56" x14ac:dyDescent="0.45">
      <c r="A423" s="12"/>
      <c r="B423" s="150"/>
      <c r="C423" s="53"/>
      <c r="D423" s="1"/>
      <c r="E423" s="1"/>
      <c r="F423" s="1"/>
      <c r="G423" s="1"/>
      <c r="H423" s="307"/>
      <c r="I423" s="1"/>
      <c r="J423" s="1"/>
      <c r="K423" s="15"/>
      <c r="L423" s="17"/>
      <c r="M423" s="238"/>
      <c r="N423" s="17"/>
      <c r="O423" s="15"/>
      <c r="P423" s="17"/>
      <c r="Q423" s="307"/>
      <c r="R423" s="238"/>
      <c r="S423" s="17"/>
      <c r="T423" s="15"/>
      <c r="U423" s="17"/>
      <c r="V423" s="262"/>
      <c r="W423" s="262"/>
      <c r="X423" s="1"/>
      <c r="Y423" s="1"/>
      <c r="Z423" s="1"/>
      <c r="AA423" s="1"/>
      <c r="AB423" s="1"/>
      <c r="AC423" s="1"/>
      <c r="AD423" s="1"/>
      <c r="AE423" s="1"/>
      <c r="AF423" s="1"/>
      <c r="AG423" s="15"/>
      <c r="AH423" s="15"/>
      <c r="AI423" s="17"/>
      <c r="AJ423" s="15"/>
      <c r="AK423" s="124"/>
      <c r="AL423" s="17"/>
      <c r="AM423" s="17"/>
      <c r="AN423" s="263"/>
      <c r="AO423" s="1"/>
      <c r="AP423" s="1"/>
      <c r="AQ423" s="307"/>
      <c r="AR423" s="1"/>
      <c r="AS423" s="11"/>
      <c r="AT423" s="11"/>
      <c r="AU423" s="214"/>
      <c r="AV423" s="268"/>
      <c r="AW423" s="1"/>
      <c r="AX423" s="210"/>
      <c r="AY423" s="60"/>
      <c r="AZ423" s="15"/>
      <c r="BA423" s="15"/>
      <c r="BB423" s="1"/>
      <c r="BC423" s="49" t="e">
        <f>IF(OR(#REF!="",#REF!="")=TRUE,"",NETWORKDAYS.INTL(#REF!,#REF!))</f>
        <v>#REF!</v>
      </c>
    </row>
    <row r="424" spans="1:56" x14ac:dyDescent="0.45">
      <c r="A424" s="13"/>
      <c r="B424" s="155"/>
      <c r="C424" s="85"/>
      <c r="D424" s="1"/>
      <c r="E424" s="1"/>
      <c r="F424" s="1"/>
      <c r="G424" s="1"/>
      <c r="H424" s="307"/>
      <c r="I424" s="1"/>
      <c r="J424" s="1"/>
      <c r="K424" s="15"/>
      <c r="L424" s="17"/>
      <c r="M424" s="238"/>
      <c r="N424" s="17"/>
      <c r="O424" s="15"/>
      <c r="P424" s="17"/>
      <c r="Q424" s="307"/>
      <c r="R424" s="238"/>
      <c r="S424" s="17"/>
      <c r="T424" s="15"/>
      <c r="U424" s="17"/>
      <c r="V424" s="262"/>
      <c r="W424" s="262"/>
      <c r="X424" s="1"/>
      <c r="Y424" s="1"/>
      <c r="Z424" s="1"/>
      <c r="AA424" s="1"/>
      <c r="AB424" s="1"/>
      <c r="AC424" s="1"/>
      <c r="AD424" s="1"/>
      <c r="AE424" s="1"/>
      <c r="AF424" s="1"/>
      <c r="AG424" s="15"/>
      <c r="AH424" s="15"/>
      <c r="AI424" s="17"/>
      <c r="AJ424" s="15"/>
      <c r="AK424" s="124"/>
      <c r="AL424" s="17"/>
      <c r="AM424" s="17"/>
      <c r="AN424" s="263"/>
      <c r="AO424" s="1"/>
      <c r="AP424" s="1"/>
      <c r="AQ424" s="307"/>
      <c r="AR424" s="1"/>
      <c r="AS424" s="11"/>
      <c r="AT424" s="11"/>
      <c r="AU424" s="214"/>
      <c r="AV424" s="268"/>
      <c r="AW424" s="1"/>
      <c r="AX424" s="210"/>
      <c r="AY424" s="60"/>
      <c r="AZ424" s="15"/>
      <c r="BA424" s="15"/>
      <c r="BB424" s="1"/>
      <c r="BC424" s="49" t="e">
        <f>IF(OR(#REF!="",#REF!="")=TRUE,"",NETWORKDAYS.INTL(#REF!,#REF!))</f>
        <v>#REF!</v>
      </c>
    </row>
    <row r="425" spans="1:56" x14ac:dyDescent="0.45">
      <c r="A425" s="13"/>
      <c r="B425" s="155"/>
      <c r="C425" s="85"/>
      <c r="D425" s="1"/>
      <c r="E425" s="1"/>
      <c r="F425" s="1"/>
      <c r="G425" s="1"/>
      <c r="H425" s="307"/>
      <c r="I425" s="1"/>
      <c r="J425" s="1"/>
      <c r="K425" s="15"/>
      <c r="L425" s="17"/>
      <c r="M425" s="238"/>
      <c r="N425" s="17"/>
      <c r="O425" s="15"/>
      <c r="P425" s="17"/>
      <c r="Q425" s="307"/>
      <c r="R425" s="238"/>
      <c r="S425" s="17"/>
      <c r="T425" s="15"/>
      <c r="U425" s="17"/>
      <c r="V425" s="262"/>
      <c r="W425" s="262"/>
      <c r="X425" s="1"/>
      <c r="Y425" s="1"/>
      <c r="Z425" s="1"/>
      <c r="AA425" s="1"/>
      <c r="AB425" s="1"/>
      <c r="AC425" s="1"/>
      <c r="AD425" s="1"/>
      <c r="AE425" s="1"/>
      <c r="AF425" s="1"/>
      <c r="AG425" s="15"/>
      <c r="AH425" s="15"/>
      <c r="AI425" s="17"/>
      <c r="AJ425" s="15"/>
      <c r="AK425" s="124"/>
      <c r="AL425" s="17"/>
      <c r="AM425" s="17"/>
      <c r="AN425" s="263"/>
      <c r="AO425" s="1"/>
      <c r="AP425" s="1"/>
      <c r="AQ425" s="307"/>
      <c r="AR425" s="1"/>
      <c r="AS425" s="11"/>
      <c r="AT425" s="11"/>
      <c r="AU425" s="214"/>
      <c r="AV425" s="268"/>
      <c r="AW425" s="1"/>
      <c r="AX425" s="210"/>
      <c r="AY425" s="60"/>
      <c r="AZ425" s="15"/>
      <c r="BA425" s="15"/>
      <c r="BB425" s="1"/>
      <c r="BC425" s="49" t="e">
        <f>IF(OR(#REF!="",#REF!="")=TRUE,"",NETWORKDAYS.INTL(#REF!,#REF!))</f>
        <v>#REF!</v>
      </c>
    </row>
    <row r="426" spans="1:56" x14ac:dyDescent="0.45">
      <c r="A426" s="12"/>
      <c r="B426" s="150"/>
      <c r="C426" s="53"/>
      <c r="D426" s="1"/>
      <c r="E426" s="1"/>
      <c r="F426" s="1"/>
      <c r="G426" s="1"/>
      <c r="H426" s="307"/>
      <c r="I426" s="1"/>
      <c r="J426" s="1"/>
      <c r="K426" s="15"/>
      <c r="L426" s="17"/>
      <c r="M426" s="238"/>
      <c r="N426" s="17"/>
      <c r="O426" s="15"/>
      <c r="P426" s="17"/>
      <c r="Q426" s="307"/>
      <c r="R426" s="238"/>
      <c r="S426" s="17"/>
      <c r="T426" s="15"/>
      <c r="U426" s="17"/>
      <c r="V426" s="262"/>
      <c r="W426" s="262"/>
      <c r="X426" s="1"/>
      <c r="Y426" s="1"/>
      <c r="Z426" s="1"/>
      <c r="AA426" s="1"/>
      <c r="AB426" s="1"/>
      <c r="AC426" s="1"/>
      <c r="AD426" s="1"/>
      <c r="AE426" s="1"/>
      <c r="AF426" s="1"/>
      <c r="AG426" s="15"/>
      <c r="AH426" s="15"/>
      <c r="AI426" s="17"/>
      <c r="AJ426" s="15"/>
      <c r="AK426" s="124"/>
      <c r="AL426" s="17"/>
      <c r="AM426" s="17"/>
      <c r="AN426" s="263"/>
      <c r="AO426" s="1"/>
      <c r="AP426" s="1"/>
      <c r="AQ426" s="307"/>
      <c r="AR426" s="1"/>
      <c r="AS426" s="11"/>
      <c r="AT426" s="11"/>
      <c r="AU426" s="214"/>
      <c r="AV426" s="268"/>
      <c r="AW426" s="1"/>
      <c r="AX426" s="210"/>
      <c r="AY426" s="60"/>
      <c r="AZ426" s="15"/>
      <c r="BA426" s="15"/>
      <c r="BB426" s="1"/>
      <c r="BC426" s="49" t="e">
        <f>IF(OR(#REF!="",#REF!="")=TRUE,"",NETWORKDAYS.INTL(#REF!,#REF!))</f>
        <v>#REF!</v>
      </c>
    </row>
    <row r="427" spans="1:56" x14ac:dyDescent="0.45">
      <c r="A427" s="13"/>
      <c r="B427" s="155"/>
      <c r="C427" s="85"/>
      <c r="D427" s="1"/>
      <c r="E427" s="1"/>
      <c r="F427" s="1"/>
      <c r="G427" s="1"/>
      <c r="H427" s="307"/>
      <c r="I427" s="1"/>
      <c r="J427" s="1"/>
      <c r="K427" s="15"/>
      <c r="L427" s="17"/>
      <c r="M427" s="238"/>
      <c r="N427" s="17"/>
      <c r="O427" s="15"/>
      <c r="P427" s="17"/>
      <c r="Q427" s="307"/>
      <c r="R427" s="238"/>
      <c r="S427" s="17"/>
      <c r="T427" s="15"/>
      <c r="U427" s="17"/>
      <c r="V427" s="262"/>
      <c r="W427" s="262"/>
      <c r="X427" s="1"/>
      <c r="Y427" s="1"/>
      <c r="Z427" s="1"/>
      <c r="AA427" s="1"/>
      <c r="AB427" s="1"/>
      <c r="AC427" s="1"/>
      <c r="AD427" s="1"/>
      <c r="AE427" s="1"/>
      <c r="AF427" s="1"/>
      <c r="AG427" s="15"/>
      <c r="AH427" s="15"/>
      <c r="AI427" s="17"/>
      <c r="AJ427" s="15"/>
      <c r="AK427" s="124"/>
      <c r="AL427" s="17"/>
      <c r="AM427" s="17"/>
      <c r="AN427" s="263"/>
      <c r="AO427" s="1"/>
      <c r="AP427" s="1"/>
      <c r="AQ427" s="307"/>
      <c r="AR427" s="1"/>
      <c r="AS427" s="11"/>
      <c r="AT427" s="11"/>
      <c r="AU427" s="214"/>
      <c r="AV427" s="268"/>
      <c r="AW427" s="1"/>
      <c r="AX427" s="210"/>
      <c r="AY427" s="60"/>
      <c r="AZ427" s="15"/>
      <c r="BA427" s="15"/>
      <c r="BB427" s="1"/>
      <c r="BC427" s="49" t="e">
        <f>IF(OR(#REF!="",#REF!="")=TRUE,"",NETWORKDAYS.INTL(#REF!,#REF!))</f>
        <v>#REF!</v>
      </c>
    </row>
    <row r="428" spans="1:56" x14ac:dyDescent="0.45">
      <c r="A428" s="13"/>
      <c r="B428" s="155"/>
      <c r="C428" s="85"/>
      <c r="D428" s="1"/>
      <c r="E428" s="1"/>
      <c r="F428" s="1"/>
      <c r="G428" s="1"/>
      <c r="H428" s="307"/>
      <c r="I428" s="1"/>
      <c r="J428" s="1"/>
      <c r="K428" s="15"/>
      <c r="L428" s="17"/>
      <c r="M428" s="238"/>
      <c r="N428" s="17"/>
      <c r="O428" s="15"/>
      <c r="P428" s="17"/>
      <c r="Q428" s="307"/>
      <c r="R428" s="238"/>
      <c r="S428" s="17"/>
      <c r="T428" s="15"/>
      <c r="U428" s="17"/>
      <c r="V428" s="262"/>
      <c r="W428" s="262"/>
      <c r="X428" s="1"/>
      <c r="Y428" s="1"/>
      <c r="Z428" s="1"/>
      <c r="AA428" s="1"/>
      <c r="AB428" s="1"/>
      <c r="AC428" s="1"/>
      <c r="AD428" s="1"/>
      <c r="AE428" s="1"/>
      <c r="AF428" s="1"/>
      <c r="AG428" s="15"/>
      <c r="AH428" s="15"/>
      <c r="AI428" s="17"/>
      <c r="AJ428" s="15"/>
      <c r="AK428" s="124"/>
      <c r="AL428" s="17"/>
      <c r="AM428" s="17"/>
      <c r="AN428" s="263"/>
      <c r="AO428" s="1"/>
      <c r="AP428" s="1"/>
      <c r="AQ428" s="307"/>
      <c r="AR428" s="1"/>
      <c r="AS428" s="11"/>
      <c r="AT428" s="11"/>
      <c r="AU428" s="214"/>
      <c r="AV428" s="268"/>
      <c r="AW428" s="1"/>
      <c r="AX428" s="210"/>
      <c r="AY428" s="60"/>
      <c r="AZ428" s="15"/>
      <c r="BA428" s="15"/>
      <c r="BB428" s="1"/>
      <c r="BC428" s="49" t="e">
        <f>IF(OR(#REF!="",#REF!="")=TRUE,"",NETWORKDAYS.INTL(#REF!,#REF!))</f>
        <v>#REF!</v>
      </c>
    </row>
    <row r="429" spans="1:56" x14ac:dyDescent="0.45">
      <c r="A429" s="12"/>
      <c r="B429" s="150"/>
      <c r="C429" s="53"/>
      <c r="D429" s="1"/>
      <c r="E429" s="1"/>
      <c r="F429" s="1"/>
      <c r="G429" s="1"/>
      <c r="H429" s="307"/>
      <c r="I429" s="1"/>
      <c r="J429" s="1"/>
      <c r="K429" s="15"/>
      <c r="L429" s="17"/>
      <c r="M429" s="238"/>
      <c r="N429" s="17"/>
      <c r="O429" s="15"/>
      <c r="P429" s="17"/>
      <c r="Q429" s="307"/>
      <c r="R429" s="238"/>
      <c r="S429" s="17"/>
      <c r="T429" s="15"/>
      <c r="U429" s="17"/>
      <c r="V429" s="262"/>
      <c r="W429" s="262"/>
      <c r="X429" s="1"/>
      <c r="Y429" s="1"/>
      <c r="Z429" s="1"/>
      <c r="AA429" s="1"/>
      <c r="AB429" s="1"/>
      <c r="AC429" s="1"/>
      <c r="AD429" s="1"/>
      <c r="AE429" s="1"/>
      <c r="AF429" s="1"/>
      <c r="AG429" s="15"/>
      <c r="AH429" s="15"/>
      <c r="AI429" s="17"/>
      <c r="AJ429" s="15"/>
      <c r="AK429" s="124"/>
      <c r="AL429" s="17"/>
      <c r="AM429" s="17"/>
      <c r="AN429" s="263"/>
      <c r="AO429" s="1"/>
      <c r="AP429" s="1"/>
      <c r="AQ429" s="307"/>
      <c r="AR429" s="1"/>
      <c r="AS429" s="11"/>
      <c r="AT429" s="11"/>
      <c r="AU429" s="214"/>
      <c r="AV429" s="268"/>
      <c r="AW429" s="1"/>
      <c r="AX429" s="210"/>
      <c r="AY429" s="60"/>
      <c r="AZ429" s="15"/>
      <c r="BA429" s="15"/>
      <c r="BB429" s="1"/>
      <c r="BC429" s="49" t="e">
        <f>IF(OR(#REF!="",#REF!="")=TRUE,"",NETWORKDAYS.INTL(#REF!,#REF!))</f>
        <v>#REF!</v>
      </c>
    </row>
    <row r="430" spans="1:56" x14ac:dyDescent="0.45">
      <c r="A430" s="13"/>
      <c r="B430" s="155"/>
      <c r="C430" s="85"/>
      <c r="D430" s="1"/>
      <c r="E430" s="1"/>
      <c r="F430" s="1"/>
      <c r="G430" s="1"/>
      <c r="H430" s="307"/>
      <c r="I430" s="1"/>
      <c r="J430" s="1"/>
      <c r="K430" s="15"/>
      <c r="L430" s="17"/>
      <c r="M430" s="238"/>
      <c r="N430" s="17"/>
      <c r="O430" s="15"/>
      <c r="P430" s="17"/>
      <c r="Q430" s="307"/>
      <c r="R430" s="238"/>
      <c r="S430" s="17"/>
      <c r="T430" s="15"/>
      <c r="U430" s="17"/>
      <c r="V430" s="262"/>
      <c r="W430" s="262"/>
      <c r="X430" s="1"/>
      <c r="Y430" s="1"/>
      <c r="Z430" s="1"/>
      <c r="AA430" s="1"/>
      <c r="AB430" s="1"/>
      <c r="AC430" s="1"/>
      <c r="AD430" s="1"/>
      <c r="AE430" s="1"/>
      <c r="AF430" s="1"/>
      <c r="AG430" s="15"/>
      <c r="AH430" s="15"/>
      <c r="AI430" s="17"/>
      <c r="AJ430" s="15"/>
      <c r="AK430" s="124"/>
      <c r="AL430" s="17"/>
      <c r="AM430" s="17"/>
      <c r="AN430" s="263"/>
      <c r="AO430" s="1"/>
      <c r="AP430" s="1"/>
      <c r="AQ430" s="307"/>
      <c r="AR430" s="1"/>
      <c r="AS430" s="11"/>
      <c r="AT430" s="11"/>
      <c r="AU430" s="214"/>
      <c r="AV430" s="268"/>
      <c r="AW430" s="1"/>
      <c r="AX430" s="210"/>
      <c r="AY430" s="60"/>
      <c r="AZ430" s="15"/>
      <c r="BA430" s="15"/>
      <c r="BB430" s="1"/>
      <c r="BC430" s="49" t="e">
        <f>IF(OR(#REF!="",#REF!="")=TRUE,"",NETWORKDAYS.INTL(#REF!,#REF!))</f>
        <v>#REF!</v>
      </c>
    </row>
    <row r="431" spans="1:56" x14ac:dyDescent="0.45">
      <c r="A431" s="13"/>
      <c r="B431" s="155"/>
      <c r="C431" s="85"/>
      <c r="D431" s="1"/>
      <c r="E431" s="1"/>
      <c r="F431" s="1"/>
      <c r="G431" s="1"/>
      <c r="H431" s="307"/>
      <c r="I431" s="1"/>
      <c r="J431" s="1"/>
      <c r="K431" s="15"/>
      <c r="L431" s="17"/>
      <c r="M431" s="238"/>
      <c r="N431" s="17"/>
      <c r="O431" s="15"/>
      <c r="P431" s="17"/>
      <c r="Q431" s="307"/>
      <c r="R431" s="238"/>
      <c r="S431" s="17"/>
      <c r="T431" s="15"/>
      <c r="U431" s="17"/>
      <c r="V431" s="262"/>
      <c r="W431" s="262"/>
      <c r="X431" s="1"/>
      <c r="Y431" s="1"/>
      <c r="Z431" s="1"/>
      <c r="AA431" s="1"/>
      <c r="AB431" s="1"/>
      <c r="AC431" s="1"/>
      <c r="AD431" s="1"/>
      <c r="AE431" s="1"/>
      <c r="AF431" s="1"/>
      <c r="AG431" s="15"/>
      <c r="AH431" s="15"/>
      <c r="AI431" s="17"/>
      <c r="AJ431" s="15"/>
      <c r="AK431" s="124"/>
      <c r="AL431" s="17"/>
      <c r="AM431" s="17"/>
      <c r="AN431" s="263"/>
      <c r="AO431" s="1"/>
      <c r="AP431" s="1"/>
      <c r="AQ431" s="307"/>
      <c r="AR431" s="1"/>
      <c r="AS431" s="11"/>
      <c r="AT431" s="11"/>
      <c r="AU431" s="214"/>
      <c r="AV431" s="268"/>
      <c r="AW431" s="1"/>
      <c r="AX431" s="210"/>
      <c r="AY431" s="60"/>
      <c r="AZ431" s="15"/>
      <c r="BA431" s="15"/>
      <c r="BB431" s="1"/>
      <c r="BC431" s="49" t="e">
        <f>IF(OR(#REF!="",#REF!="")=TRUE,"",NETWORKDAYS.INTL(#REF!,#REF!))</f>
        <v>#REF!</v>
      </c>
    </row>
    <row r="432" spans="1:56" x14ac:dyDescent="0.45">
      <c r="A432" s="12"/>
      <c r="B432" s="150"/>
      <c r="C432" s="53"/>
      <c r="D432" s="1"/>
      <c r="E432" s="1"/>
      <c r="F432" s="1"/>
      <c r="G432" s="1"/>
      <c r="H432" s="307"/>
      <c r="I432" s="1"/>
      <c r="J432" s="1"/>
      <c r="K432" s="15"/>
      <c r="L432" s="17"/>
      <c r="M432" s="238"/>
      <c r="N432" s="17"/>
      <c r="O432" s="15"/>
      <c r="P432" s="17"/>
      <c r="Q432" s="307"/>
      <c r="R432" s="238"/>
      <c r="S432" s="17"/>
      <c r="T432" s="15"/>
      <c r="U432" s="17"/>
      <c r="V432" s="262"/>
      <c r="W432" s="262"/>
      <c r="X432" s="1"/>
      <c r="Y432" s="1"/>
      <c r="Z432" s="1"/>
      <c r="AA432" s="1"/>
      <c r="AB432" s="1"/>
      <c r="AC432" s="1"/>
      <c r="AD432" s="1"/>
      <c r="AE432" s="1"/>
      <c r="AF432" s="1"/>
      <c r="AG432" s="15"/>
      <c r="AH432" s="15"/>
      <c r="AI432" s="17"/>
      <c r="AJ432" s="15"/>
      <c r="AK432" s="124"/>
      <c r="AL432" s="17"/>
      <c r="AM432" s="17"/>
      <c r="AN432" s="263"/>
      <c r="AO432" s="1"/>
      <c r="AP432" s="1"/>
      <c r="AQ432" s="307"/>
      <c r="AR432" s="1"/>
      <c r="AS432" s="11"/>
      <c r="AT432" s="11"/>
      <c r="AU432" s="214"/>
      <c r="AV432" s="268"/>
      <c r="AW432" s="1"/>
      <c r="AX432" s="210"/>
      <c r="AY432" s="60"/>
      <c r="AZ432" s="15"/>
      <c r="BA432" s="15"/>
      <c r="BB432" s="1"/>
      <c r="BC432" s="49" t="e">
        <f>IF(OR(#REF!="",#REF!="")=TRUE,"",NETWORKDAYS.INTL(#REF!,#REF!))</f>
        <v>#REF!</v>
      </c>
    </row>
    <row r="433" spans="1:55" x14ac:dyDescent="0.45">
      <c r="A433" s="13"/>
      <c r="B433" s="155"/>
      <c r="C433" s="85"/>
      <c r="D433" s="1"/>
      <c r="E433" s="1"/>
      <c r="F433" s="1"/>
      <c r="G433" s="1"/>
      <c r="H433" s="307"/>
      <c r="I433" s="1"/>
      <c r="J433" s="1"/>
      <c r="K433" s="15"/>
      <c r="L433" s="17"/>
      <c r="M433" s="238"/>
      <c r="N433" s="17"/>
      <c r="O433" s="15"/>
      <c r="P433" s="17"/>
      <c r="Q433" s="307"/>
      <c r="R433" s="238"/>
      <c r="S433" s="17"/>
      <c r="T433" s="15"/>
      <c r="U433" s="17"/>
      <c r="V433" s="262"/>
      <c r="W433" s="262"/>
      <c r="X433" s="1"/>
      <c r="Y433" s="1"/>
      <c r="Z433" s="1"/>
      <c r="AA433" s="1"/>
      <c r="AB433" s="1"/>
      <c r="AC433" s="1"/>
      <c r="AD433" s="1"/>
      <c r="AE433" s="1"/>
      <c r="AF433" s="1"/>
      <c r="AG433" s="15"/>
      <c r="AH433" s="15"/>
      <c r="AI433" s="17"/>
      <c r="AJ433" s="15"/>
      <c r="AK433" s="124"/>
      <c r="AL433" s="17"/>
      <c r="AM433" s="17"/>
      <c r="AN433" s="263"/>
      <c r="AO433" s="1"/>
      <c r="AP433" s="1"/>
      <c r="AQ433" s="307"/>
      <c r="AR433" s="1"/>
      <c r="AS433" s="11"/>
      <c r="AT433" s="11"/>
      <c r="AU433" s="214"/>
      <c r="AV433" s="268"/>
      <c r="AW433" s="1"/>
      <c r="AX433" s="210"/>
      <c r="AY433" s="60"/>
      <c r="AZ433" s="15"/>
      <c r="BA433" s="15"/>
      <c r="BB433" s="1"/>
      <c r="BC433" s="49" t="e">
        <f>IF(OR(#REF!="",#REF!="")=TRUE,"",NETWORKDAYS.INTL(#REF!,#REF!))</f>
        <v>#REF!</v>
      </c>
    </row>
    <row r="434" spans="1:55" x14ac:dyDescent="0.45">
      <c r="A434" s="13"/>
      <c r="B434" s="155"/>
      <c r="C434" s="85"/>
      <c r="D434" s="1"/>
      <c r="E434" s="1"/>
      <c r="F434" s="1"/>
      <c r="G434" s="1"/>
      <c r="H434" s="307"/>
      <c r="I434" s="1"/>
      <c r="J434" s="1"/>
      <c r="K434" s="15"/>
      <c r="L434" s="17"/>
      <c r="M434" s="238"/>
      <c r="N434" s="17"/>
      <c r="O434" s="15"/>
      <c r="P434" s="17"/>
      <c r="Q434" s="307"/>
      <c r="R434" s="238"/>
      <c r="S434" s="17"/>
      <c r="T434" s="15"/>
      <c r="U434" s="17"/>
      <c r="V434" s="262"/>
      <c r="W434" s="262"/>
      <c r="X434" s="1"/>
      <c r="Y434" s="1"/>
      <c r="Z434" s="1"/>
      <c r="AA434" s="1"/>
      <c r="AB434" s="1"/>
      <c r="AC434" s="1"/>
      <c r="AD434" s="1"/>
      <c r="AE434" s="1"/>
      <c r="AF434" s="1"/>
      <c r="AG434" s="15"/>
      <c r="AH434" s="15"/>
      <c r="AI434" s="17"/>
      <c r="AJ434" s="15"/>
      <c r="AK434" s="124"/>
      <c r="AL434" s="17"/>
      <c r="AM434" s="17"/>
      <c r="AN434" s="263"/>
      <c r="AO434" s="1"/>
      <c r="AP434" s="1"/>
      <c r="AQ434" s="307"/>
      <c r="AR434" s="1"/>
      <c r="AS434" s="11"/>
      <c r="AT434" s="11"/>
      <c r="AU434" s="214"/>
      <c r="AV434" s="268"/>
      <c r="AW434" s="1"/>
      <c r="AX434" s="210"/>
      <c r="AY434" s="60"/>
      <c r="AZ434" s="15"/>
      <c r="BA434" s="15"/>
      <c r="BB434" s="1"/>
      <c r="BC434" s="49" t="e">
        <f>IF(OR(#REF!="",#REF!="")=TRUE,"",NETWORKDAYS.INTL(#REF!,#REF!))</f>
        <v>#REF!</v>
      </c>
    </row>
    <row r="435" spans="1:55" x14ac:dyDescent="0.45">
      <c r="A435" s="12"/>
      <c r="B435" s="150"/>
      <c r="C435" s="53"/>
      <c r="D435" s="1"/>
      <c r="E435" s="1"/>
      <c r="F435" s="1"/>
      <c r="G435" s="1"/>
      <c r="H435" s="307"/>
      <c r="I435" s="1"/>
      <c r="J435" s="1"/>
      <c r="K435" s="15"/>
      <c r="L435" s="17"/>
      <c r="M435" s="238"/>
      <c r="N435" s="17"/>
      <c r="O435" s="15"/>
      <c r="P435" s="17"/>
      <c r="Q435" s="307"/>
      <c r="R435" s="238"/>
      <c r="S435" s="17"/>
      <c r="T435" s="15"/>
      <c r="U435" s="17"/>
      <c r="V435" s="262"/>
      <c r="W435" s="262"/>
      <c r="X435" s="1"/>
      <c r="Y435" s="1"/>
      <c r="Z435" s="1"/>
      <c r="AA435" s="1"/>
      <c r="AB435" s="1"/>
      <c r="AC435" s="1"/>
      <c r="AD435" s="1"/>
      <c r="AE435" s="1"/>
      <c r="AF435" s="1"/>
      <c r="AG435" s="15"/>
      <c r="AH435" s="15"/>
      <c r="AI435" s="17"/>
      <c r="AJ435" s="15"/>
      <c r="AK435" s="124"/>
      <c r="AL435" s="17"/>
      <c r="AM435" s="17"/>
      <c r="AN435" s="263"/>
      <c r="AO435" s="1"/>
      <c r="AP435" s="1"/>
      <c r="AQ435" s="307"/>
      <c r="AR435" s="1"/>
      <c r="AS435" s="11"/>
      <c r="AT435" s="11"/>
      <c r="AU435" s="214"/>
      <c r="AV435" s="268"/>
      <c r="AW435" s="1"/>
      <c r="AX435" s="210"/>
      <c r="AY435" s="60"/>
      <c r="AZ435" s="15"/>
      <c r="BA435" s="15"/>
      <c r="BB435" s="1"/>
      <c r="BC435" s="49" t="e">
        <f>IF(OR(#REF!="",#REF!="")=TRUE,"",NETWORKDAYS.INTL(#REF!,#REF!))</f>
        <v>#REF!</v>
      </c>
    </row>
    <row r="436" spans="1:55" x14ac:dyDescent="0.45">
      <c r="A436" s="13"/>
      <c r="B436" s="155"/>
      <c r="C436" s="85"/>
      <c r="D436" s="1"/>
      <c r="E436" s="1"/>
      <c r="F436" s="1"/>
      <c r="G436" s="1"/>
      <c r="H436" s="307"/>
      <c r="I436" s="1"/>
      <c r="J436" s="1"/>
      <c r="K436" s="15"/>
      <c r="L436" s="17"/>
      <c r="M436" s="238"/>
      <c r="N436" s="17"/>
      <c r="O436" s="15"/>
      <c r="P436" s="17"/>
      <c r="Q436" s="307"/>
      <c r="R436" s="238"/>
      <c r="S436" s="17"/>
      <c r="T436" s="15"/>
      <c r="U436" s="17"/>
      <c r="V436" s="262"/>
      <c r="W436" s="262"/>
      <c r="X436" s="1"/>
      <c r="Y436" s="1"/>
      <c r="Z436" s="1"/>
      <c r="AA436" s="1"/>
      <c r="AB436" s="1"/>
      <c r="AC436" s="1"/>
      <c r="AD436" s="1"/>
      <c r="AE436" s="1"/>
      <c r="AF436" s="1"/>
      <c r="AG436" s="15"/>
      <c r="AH436" s="15"/>
      <c r="AI436" s="17"/>
      <c r="AJ436" s="15"/>
      <c r="AK436" s="124"/>
      <c r="AL436" s="17"/>
      <c r="AM436" s="17"/>
      <c r="AN436" s="263"/>
      <c r="AO436" s="1"/>
      <c r="AP436" s="1"/>
      <c r="AQ436" s="307"/>
      <c r="AR436" s="1"/>
      <c r="AS436" s="11"/>
      <c r="AT436" s="11"/>
      <c r="AU436" s="214"/>
      <c r="AV436" s="268"/>
      <c r="AW436" s="1"/>
      <c r="AX436" s="210"/>
      <c r="AY436" s="60"/>
      <c r="AZ436" s="15"/>
      <c r="BA436" s="15"/>
      <c r="BB436" s="1"/>
      <c r="BC436" s="49" t="e">
        <f>IF(OR(#REF!="",#REF!="")=TRUE,"",NETWORKDAYS.INTL(#REF!,#REF!))</f>
        <v>#REF!</v>
      </c>
    </row>
    <row r="437" spans="1:55" x14ac:dyDescent="0.45">
      <c r="A437" s="13"/>
      <c r="B437" s="155"/>
      <c r="C437" s="85"/>
      <c r="D437" s="1"/>
      <c r="E437" s="1"/>
      <c r="F437" s="1"/>
      <c r="G437" s="1"/>
      <c r="H437" s="307"/>
      <c r="I437" s="1"/>
      <c r="J437" s="1"/>
      <c r="K437" s="15"/>
      <c r="L437" s="17"/>
      <c r="M437" s="238"/>
      <c r="N437" s="17"/>
      <c r="O437" s="15"/>
      <c r="P437" s="17"/>
      <c r="Q437" s="307"/>
      <c r="R437" s="238"/>
      <c r="S437" s="17"/>
      <c r="T437" s="15"/>
      <c r="U437" s="17"/>
      <c r="V437" s="262"/>
      <c r="W437" s="262"/>
      <c r="X437" s="1"/>
      <c r="Y437" s="1"/>
      <c r="Z437" s="1"/>
      <c r="AA437" s="1"/>
      <c r="AB437" s="1"/>
      <c r="AC437" s="1"/>
      <c r="AD437" s="1"/>
      <c r="AE437" s="1"/>
      <c r="AF437" s="1"/>
      <c r="AG437" s="15"/>
      <c r="AH437" s="15"/>
      <c r="AI437" s="17"/>
      <c r="AJ437" s="15"/>
      <c r="AK437" s="124"/>
      <c r="AL437" s="17"/>
      <c r="AM437" s="17"/>
      <c r="AN437" s="263"/>
      <c r="AO437" s="1"/>
      <c r="AP437" s="1"/>
      <c r="AQ437" s="307"/>
      <c r="AR437" s="1"/>
      <c r="AS437" s="11"/>
      <c r="AT437" s="11"/>
      <c r="AU437" s="214"/>
      <c r="AV437" s="268"/>
      <c r="AW437" s="1"/>
      <c r="AX437" s="210"/>
      <c r="AY437" s="60"/>
      <c r="AZ437" s="15"/>
      <c r="BA437" s="15"/>
      <c r="BB437" s="1"/>
      <c r="BC437" s="49" t="e">
        <f>IF(OR(#REF!="",#REF!="")=TRUE,"",NETWORKDAYS.INTL(#REF!,#REF!))</f>
        <v>#REF!</v>
      </c>
    </row>
    <row r="438" spans="1:55" x14ac:dyDescent="0.45">
      <c r="A438" s="12"/>
      <c r="B438" s="150"/>
      <c r="C438" s="53"/>
      <c r="D438" s="1"/>
      <c r="E438" s="1"/>
      <c r="F438" s="1"/>
      <c r="G438" s="1"/>
      <c r="H438" s="307"/>
      <c r="I438" s="1"/>
      <c r="J438" s="1"/>
      <c r="K438" s="15"/>
      <c r="L438" s="17"/>
      <c r="M438" s="238"/>
      <c r="N438" s="17"/>
      <c r="O438" s="15"/>
      <c r="P438" s="17"/>
      <c r="Q438" s="307"/>
      <c r="R438" s="238"/>
      <c r="S438" s="17"/>
      <c r="T438" s="15"/>
      <c r="U438" s="17"/>
      <c r="V438" s="262"/>
      <c r="W438" s="262"/>
      <c r="X438" s="1"/>
      <c r="Y438" s="1"/>
      <c r="Z438" s="1"/>
      <c r="AA438" s="1"/>
      <c r="AB438" s="1"/>
      <c r="AC438" s="1"/>
      <c r="AD438" s="1"/>
      <c r="AE438" s="1"/>
      <c r="AF438" s="1"/>
      <c r="AG438" s="15"/>
      <c r="AH438" s="15"/>
      <c r="AI438" s="17"/>
      <c r="AJ438" s="15"/>
      <c r="AK438" s="124"/>
      <c r="AL438" s="17"/>
      <c r="AM438" s="17"/>
      <c r="AN438" s="263"/>
      <c r="AO438" s="1"/>
      <c r="AP438" s="1"/>
      <c r="AQ438" s="307"/>
      <c r="AR438" s="1"/>
      <c r="AS438" s="11"/>
      <c r="AT438" s="11"/>
      <c r="AU438" s="214"/>
      <c r="AV438" s="268"/>
      <c r="AW438" s="1"/>
      <c r="AX438" s="210"/>
      <c r="AY438" s="60"/>
      <c r="AZ438" s="15"/>
      <c r="BA438" s="15"/>
      <c r="BB438" s="1"/>
      <c r="BC438" s="49" t="e">
        <f>IF(OR(#REF!="",#REF!="")=TRUE,"",NETWORKDAYS.INTL(#REF!,#REF!))</f>
        <v>#REF!</v>
      </c>
    </row>
    <row r="439" spans="1:55" x14ac:dyDescent="0.45">
      <c r="A439" s="13"/>
      <c r="B439" s="155"/>
      <c r="C439" s="85"/>
      <c r="D439" s="1"/>
      <c r="E439" s="1"/>
      <c r="F439" s="1"/>
      <c r="G439" s="1"/>
      <c r="H439" s="307"/>
      <c r="I439" s="1"/>
      <c r="J439" s="1"/>
      <c r="K439" s="15"/>
      <c r="L439" s="17"/>
      <c r="M439" s="238"/>
      <c r="N439" s="17"/>
      <c r="O439" s="15"/>
      <c r="P439" s="17"/>
      <c r="Q439" s="307"/>
      <c r="R439" s="238"/>
      <c r="S439" s="17"/>
      <c r="T439" s="15"/>
      <c r="U439" s="17"/>
      <c r="V439" s="262"/>
      <c r="W439" s="262"/>
      <c r="X439" s="1"/>
      <c r="Y439" s="1"/>
      <c r="Z439" s="1"/>
      <c r="AA439" s="1"/>
      <c r="AB439" s="1"/>
      <c r="AC439" s="1"/>
      <c r="AD439" s="1"/>
      <c r="AE439" s="1"/>
      <c r="AF439" s="1"/>
      <c r="AG439" s="15"/>
      <c r="AH439" s="15"/>
      <c r="AI439" s="17"/>
      <c r="AJ439" s="15"/>
      <c r="AK439" s="124"/>
      <c r="AL439" s="17"/>
      <c r="AM439" s="17"/>
      <c r="AN439" s="263"/>
      <c r="AO439" s="1"/>
      <c r="AP439" s="1"/>
      <c r="AQ439" s="307"/>
      <c r="AR439" s="1"/>
      <c r="AS439" s="11"/>
      <c r="AT439" s="11"/>
      <c r="AU439" s="214"/>
      <c r="AV439" s="268"/>
      <c r="AW439" s="1"/>
      <c r="AX439" s="210"/>
      <c r="AY439" s="60"/>
      <c r="AZ439" s="15"/>
      <c r="BA439" s="15"/>
      <c r="BB439" s="1"/>
      <c r="BC439" s="49" t="e">
        <f>IF(OR(#REF!="",#REF!="")=TRUE,"",NETWORKDAYS.INTL(#REF!,#REF!))</f>
        <v>#REF!</v>
      </c>
    </row>
    <row r="440" spans="1:55" x14ac:dyDescent="0.45">
      <c r="A440" s="13"/>
      <c r="B440" s="155"/>
      <c r="C440" s="85"/>
      <c r="D440" s="1"/>
      <c r="E440" s="1"/>
      <c r="F440" s="1"/>
      <c r="G440" s="1"/>
      <c r="H440" s="307"/>
      <c r="I440" s="1"/>
      <c r="J440" s="1"/>
      <c r="K440" s="15"/>
      <c r="L440" s="17"/>
      <c r="M440" s="238"/>
      <c r="N440" s="17"/>
      <c r="O440" s="15"/>
      <c r="P440" s="17"/>
      <c r="Q440" s="307"/>
      <c r="R440" s="238"/>
      <c r="S440" s="17"/>
      <c r="T440" s="15"/>
      <c r="U440" s="17"/>
      <c r="V440" s="262"/>
      <c r="W440" s="262"/>
      <c r="X440" s="1"/>
      <c r="Y440" s="1"/>
      <c r="Z440" s="1"/>
      <c r="AA440" s="1"/>
      <c r="AB440" s="1"/>
      <c r="AC440" s="1"/>
      <c r="AD440" s="1"/>
      <c r="AE440" s="1"/>
      <c r="AF440" s="1"/>
      <c r="AG440" s="15"/>
      <c r="AH440" s="15"/>
      <c r="AI440" s="17"/>
      <c r="AJ440" s="15"/>
      <c r="AK440" s="124"/>
      <c r="AL440" s="17"/>
      <c r="AM440" s="17"/>
      <c r="AN440" s="263"/>
      <c r="AO440" s="1"/>
      <c r="AP440" s="1"/>
      <c r="AQ440" s="307"/>
      <c r="AR440" s="1"/>
      <c r="AS440" s="11"/>
      <c r="AT440" s="11"/>
      <c r="AU440" s="214"/>
      <c r="AV440" s="268"/>
      <c r="AW440" s="1"/>
      <c r="AX440" s="210"/>
      <c r="AY440" s="60"/>
      <c r="AZ440" s="15"/>
      <c r="BA440" s="15"/>
      <c r="BB440" s="1"/>
      <c r="BC440" s="49" t="e">
        <f>IF(OR(#REF!="",#REF!="")=TRUE,"",NETWORKDAYS.INTL(#REF!,#REF!))</f>
        <v>#REF!</v>
      </c>
    </row>
    <row r="441" spans="1:55" x14ac:dyDescent="0.45">
      <c r="A441" s="12"/>
      <c r="B441" s="150"/>
      <c r="C441" s="53"/>
      <c r="D441" s="1"/>
      <c r="E441" s="1"/>
      <c r="F441" s="1"/>
      <c r="G441" s="1"/>
      <c r="H441" s="307"/>
      <c r="I441" s="1"/>
      <c r="J441" s="1"/>
      <c r="K441" s="15"/>
      <c r="L441" s="17"/>
      <c r="M441" s="238"/>
      <c r="N441" s="17"/>
      <c r="O441" s="15"/>
      <c r="P441" s="17"/>
      <c r="Q441" s="307"/>
      <c r="R441" s="238"/>
      <c r="S441" s="17"/>
      <c r="T441" s="15"/>
      <c r="U441" s="17"/>
      <c r="V441" s="262"/>
      <c r="W441" s="262"/>
      <c r="X441" s="1"/>
      <c r="Y441" s="1"/>
      <c r="Z441" s="1"/>
      <c r="AA441" s="1"/>
      <c r="AB441" s="1"/>
      <c r="AC441" s="1"/>
      <c r="AD441" s="1"/>
      <c r="AE441" s="1"/>
      <c r="AF441" s="1"/>
      <c r="AG441" s="15"/>
      <c r="AH441" s="15"/>
      <c r="AI441" s="17"/>
      <c r="AJ441" s="15"/>
      <c r="AK441" s="124"/>
      <c r="AL441" s="17"/>
      <c r="AM441" s="17"/>
      <c r="AN441" s="263"/>
      <c r="AO441" s="1"/>
      <c r="AP441" s="1"/>
      <c r="AQ441" s="307"/>
      <c r="AR441" s="1"/>
      <c r="AS441" s="11"/>
      <c r="AT441" s="11"/>
      <c r="AU441" s="214"/>
      <c r="AV441" s="268"/>
      <c r="AW441" s="1"/>
      <c r="AX441" s="210"/>
      <c r="AY441" s="60"/>
      <c r="AZ441" s="15"/>
      <c r="BA441" s="15"/>
      <c r="BB441" s="1"/>
      <c r="BC441" s="49" t="e">
        <f>IF(OR(#REF!="",#REF!="")=TRUE,"",NETWORKDAYS.INTL(#REF!,#REF!))</f>
        <v>#REF!</v>
      </c>
    </row>
    <row r="442" spans="1:55" x14ac:dyDescent="0.45">
      <c r="A442" s="13"/>
      <c r="B442" s="155"/>
      <c r="C442" s="85"/>
      <c r="D442" s="1"/>
      <c r="E442" s="1"/>
      <c r="F442" s="1"/>
      <c r="G442" s="1"/>
      <c r="H442" s="307"/>
      <c r="I442" s="1"/>
      <c r="J442" s="1"/>
      <c r="K442" s="15"/>
      <c r="L442" s="17"/>
      <c r="M442" s="238"/>
      <c r="N442" s="17"/>
      <c r="O442" s="15"/>
      <c r="P442" s="17"/>
      <c r="Q442" s="307"/>
      <c r="R442" s="238"/>
      <c r="S442" s="17"/>
      <c r="T442" s="15"/>
      <c r="U442" s="17"/>
      <c r="V442" s="262"/>
      <c r="W442" s="262"/>
      <c r="X442" s="1"/>
      <c r="Y442" s="1"/>
      <c r="Z442" s="1"/>
      <c r="AA442" s="1"/>
      <c r="AB442" s="1"/>
      <c r="AC442" s="1"/>
      <c r="AD442" s="1"/>
      <c r="AE442" s="1"/>
      <c r="AF442" s="1"/>
      <c r="AG442" s="15"/>
      <c r="AH442" s="15"/>
      <c r="AI442" s="17"/>
      <c r="AJ442" s="15"/>
      <c r="AK442" s="124"/>
      <c r="AL442" s="17"/>
      <c r="AM442" s="17"/>
      <c r="AN442" s="263"/>
      <c r="AO442" s="1"/>
      <c r="AP442" s="1"/>
      <c r="AQ442" s="307"/>
      <c r="AR442" s="1"/>
      <c r="AS442" s="11"/>
      <c r="AT442" s="11"/>
      <c r="AU442" s="214"/>
      <c r="AV442" s="268"/>
      <c r="AW442" s="1"/>
      <c r="AX442" s="210"/>
      <c r="AY442" s="60"/>
      <c r="AZ442" s="15"/>
      <c r="BA442" s="15"/>
      <c r="BB442" s="1"/>
      <c r="BC442" s="49" t="e">
        <f>IF(OR(#REF!="",#REF!="")=TRUE,"",NETWORKDAYS.INTL(#REF!,#REF!))</f>
        <v>#REF!</v>
      </c>
    </row>
    <row r="443" spans="1:55" x14ac:dyDescent="0.45">
      <c r="A443" s="13"/>
      <c r="B443" s="155"/>
      <c r="C443" s="85"/>
      <c r="D443" s="1"/>
      <c r="E443" s="1"/>
      <c r="F443" s="1"/>
      <c r="G443" s="1"/>
      <c r="H443" s="307"/>
      <c r="I443" s="1"/>
      <c r="J443" s="1"/>
      <c r="K443" s="15"/>
      <c r="L443" s="17"/>
      <c r="M443" s="238"/>
      <c r="N443" s="17"/>
      <c r="O443" s="15"/>
      <c r="P443" s="17"/>
      <c r="Q443" s="307"/>
      <c r="R443" s="238"/>
      <c r="S443" s="17"/>
      <c r="T443" s="15"/>
      <c r="U443" s="17"/>
      <c r="V443" s="262"/>
      <c r="W443" s="262"/>
      <c r="X443" s="1"/>
      <c r="Y443" s="1"/>
      <c r="Z443" s="1"/>
      <c r="AA443" s="1"/>
      <c r="AB443" s="1"/>
      <c r="AC443" s="1"/>
      <c r="AD443" s="1"/>
      <c r="AE443" s="1"/>
      <c r="AF443" s="1"/>
      <c r="AG443" s="15"/>
      <c r="AH443" s="15"/>
      <c r="AI443" s="17"/>
      <c r="AJ443" s="15"/>
      <c r="AK443" s="124"/>
      <c r="AL443" s="17"/>
      <c r="AM443" s="17"/>
      <c r="AN443" s="263"/>
      <c r="AO443" s="1"/>
      <c r="AP443" s="1"/>
      <c r="AQ443" s="307"/>
      <c r="AR443" s="1"/>
      <c r="AS443" s="11"/>
      <c r="AT443" s="11"/>
      <c r="AU443" s="214"/>
      <c r="AV443" s="268"/>
      <c r="AW443" s="1"/>
      <c r="AX443" s="210"/>
      <c r="AY443" s="60"/>
      <c r="AZ443" s="15"/>
      <c r="BA443" s="15"/>
      <c r="BB443" s="1"/>
      <c r="BC443" s="49" t="e">
        <f>IF(OR(#REF!="",#REF!="")=TRUE,"",NETWORKDAYS.INTL(#REF!,#REF!))</f>
        <v>#REF!</v>
      </c>
    </row>
    <row r="444" spans="1:55" x14ac:dyDescent="0.45">
      <c r="A444" s="12"/>
      <c r="B444" s="150"/>
      <c r="C444" s="53"/>
      <c r="D444" s="1"/>
      <c r="E444" s="1"/>
      <c r="F444" s="1"/>
      <c r="G444" s="1"/>
      <c r="H444" s="307"/>
      <c r="I444" s="1"/>
      <c r="J444" s="1"/>
      <c r="K444" s="15"/>
      <c r="L444" s="17"/>
      <c r="M444" s="238"/>
      <c r="N444" s="17"/>
      <c r="O444" s="15"/>
      <c r="P444" s="17"/>
      <c r="Q444" s="307"/>
      <c r="R444" s="238"/>
      <c r="S444" s="17"/>
      <c r="T444" s="15"/>
      <c r="U444" s="17"/>
      <c r="V444" s="262"/>
      <c r="W444" s="262"/>
      <c r="X444" s="1"/>
      <c r="Y444" s="1"/>
      <c r="Z444" s="1"/>
      <c r="AA444" s="1"/>
      <c r="AB444" s="1"/>
      <c r="AC444" s="1"/>
      <c r="AD444" s="1"/>
      <c r="AE444" s="1"/>
      <c r="AF444" s="1"/>
      <c r="AG444" s="15"/>
      <c r="AH444" s="15"/>
      <c r="AI444" s="17"/>
      <c r="AJ444" s="15"/>
      <c r="AK444" s="124"/>
      <c r="AL444" s="17"/>
      <c r="AM444" s="17"/>
      <c r="AN444" s="263"/>
      <c r="AO444" s="1"/>
      <c r="AP444" s="1"/>
      <c r="AQ444" s="307"/>
      <c r="AR444" s="1"/>
      <c r="AS444" s="11"/>
      <c r="AT444" s="11"/>
      <c r="AU444" s="214"/>
      <c r="AV444" s="268"/>
      <c r="AW444" s="1"/>
      <c r="AX444" s="210"/>
      <c r="AY444" s="60"/>
      <c r="AZ444" s="15"/>
      <c r="BA444" s="15"/>
      <c r="BB444" s="1"/>
      <c r="BC444" s="49" t="e">
        <f>IF(OR(#REF!="",#REF!="")=TRUE,"",NETWORKDAYS.INTL(#REF!,#REF!))</f>
        <v>#REF!</v>
      </c>
    </row>
    <row r="445" spans="1:55" x14ac:dyDescent="0.45">
      <c r="A445" s="13"/>
      <c r="B445" s="155"/>
      <c r="C445" s="85"/>
      <c r="D445" s="1"/>
      <c r="E445" s="1"/>
      <c r="F445" s="1"/>
      <c r="G445" s="1"/>
      <c r="H445" s="307"/>
      <c r="I445" s="1"/>
      <c r="J445" s="1"/>
      <c r="K445" s="15"/>
      <c r="L445" s="17"/>
      <c r="M445" s="238"/>
      <c r="N445" s="17"/>
      <c r="O445" s="15"/>
      <c r="P445" s="17"/>
      <c r="Q445" s="307"/>
      <c r="R445" s="238"/>
      <c r="S445" s="17"/>
      <c r="T445" s="15"/>
      <c r="U445" s="17"/>
      <c r="V445" s="262"/>
      <c r="W445" s="262"/>
      <c r="X445" s="1"/>
      <c r="Y445" s="1"/>
      <c r="Z445" s="1"/>
      <c r="AA445" s="1"/>
      <c r="AB445" s="1"/>
      <c r="AC445" s="1"/>
      <c r="AD445" s="1"/>
      <c r="AE445" s="1"/>
      <c r="AF445" s="1"/>
      <c r="AG445" s="15"/>
      <c r="AH445" s="15"/>
      <c r="AI445" s="17"/>
      <c r="AJ445" s="15"/>
      <c r="AK445" s="124"/>
      <c r="AL445" s="17"/>
      <c r="AM445" s="17"/>
      <c r="AN445" s="263"/>
      <c r="AO445" s="1"/>
      <c r="AP445" s="1"/>
      <c r="AQ445" s="307"/>
      <c r="AR445" s="1"/>
      <c r="AS445" s="11"/>
      <c r="AT445" s="11"/>
      <c r="AU445" s="214"/>
      <c r="AV445" s="268"/>
      <c r="AW445" s="1"/>
      <c r="AX445" s="210"/>
      <c r="AY445" s="60"/>
      <c r="AZ445" s="15"/>
      <c r="BA445" s="15"/>
      <c r="BB445" s="1"/>
      <c r="BC445" s="49" t="e">
        <f>IF(OR(#REF!="",#REF!="")=TRUE,"",NETWORKDAYS.INTL(#REF!,#REF!))</f>
        <v>#REF!</v>
      </c>
    </row>
    <row r="446" spans="1:55" x14ac:dyDescent="0.45">
      <c r="A446" s="13"/>
      <c r="B446" s="155"/>
      <c r="C446" s="85"/>
      <c r="D446" s="1"/>
      <c r="E446" s="1"/>
      <c r="F446" s="1"/>
      <c r="G446" s="1"/>
      <c r="H446" s="307"/>
      <c r="I446" s="1"/>
      <c r="J446" s="1"/>
      <c r="K446" s="15"/>
      <c r="L446" s="17"/>
      <c r="M446" s="238"/>
      <c r="N446" s="17"/>
      <c r="O446" s="15"/>
      <c r="P446" s="17"/>
      <c r="Q446" s="307"/>
      <c r="R446" s="238"/>
      <c r="S446" s="17"/>
      <c r="T446" s="15"/>
      <c r="U446" s="17"/>
      <c r="V446" s="262"/>
      <c r="W446" s="262"/>
      <c r="X446" s="1"/>
      <c r="Y446" s="1"/>
      <c r="Z446" s="1"/>
      <c r="AA446" s="1"/>
      <c r="AB446" s="1"/>
      <c r="AC446" s="1"/>
      <c r="AD446" s="1"/>
      <c r="AE446" s="1"/>
      <c r="AF446" s="1"/>
      <c r="AG446" s="15"/>
      <c r="AH446" s="15"/>
      <c r="AI446" s="17"/>
      <c r="AJ446" s="15"/>
      <c r="AK446" s="124"/>
      <c r="AL446" s="17"/>
      <c r="AM446" s="17"/>
      <c r="AN446" s="263"/>
      <c r="AO446" s="1"/>
      <c r="AP446" s="1"/>
      <c r="AQ446" s="307"/>
      <c r="AR446" s="1"/>
      <c r="AS446" s="11"/>
      <c r="AT446" s="11"/>
      <c r="AU446" s="214"/>
      <c r="AV446" s="268"/>
      <c r="AW446" s="1"/>
      <c r="AX446" s="210"/>
      <c r="AY446" s="60"/>
      <c r="AZ446" s="15"/>
      <c r="BA446" s="15"/>
      <c r="BB446" s="1"/>
      <c r="BC446" s="49" t="e">
        <f>IF(OR(#REF!="",#REF!="")=TRUE,"",NETWORKDAYS.INTL(#REF!,#REF!))</f>
        <v>#REF!</v>
      </c>
    </row>
    <row r="447" spans="1:55" x14ac:dyDescent="0.45">
      <c r="A447" s="12"/>
      <c r="B447" s="150"/>
      <c r="C447" s="53"/>
      <c r="D447" s="1"/>
      <c r="E447" s="1"/>
      <c r="F447" s="1"/>
      <c r="G447" s="1"/>
      <c r="H447" s="307"/>
      <c r="I447" s="1"/>
      <c r="J447" s="1"/>
      <c r="K447" s="15"/>
      <c r="L447" s="17"/>
      <c r="M447" s="238"/>
      <c r="N447" s="17"/>
      <c r="O447" s="15"/>
      <c r="P447" s="17"/>
      <c r="Q447" s="307"/>
      <c r="R447" s="238"/>
      <c r="S447" s="17"/>
      <c r="T447" s="15"/>
      <c r="U447" s="17"/>
      <c r="V447" s="262"/>
      <c r="W447" s="262"/>
      <c r="X447" s="1"/>
      <c r="Y447" s="1"/>
      <c r="Z447" s="1"/>
      <c r="AA447" s="1"/>
      <c r="AB447" s="1"/>
      <c r="AC447" s="1"/>
      <c r="AD447" s="1"/>
      <c r="AE447" s="1"/>
      <c r="AF447" s="1"/>
      <c r="AG447" s="15"/>
      <c r="AH447" s="15"/>
      <c r="AI447" s="17"/>
      <c r="AJ447" s="15"/>
      <c r="AK447" s="124"/>
      <c r="AL447" s="17"/>
      <c r="AM447" s="17"/>
      <c r="AN447" s="263"/>
      <c r="AO447" s="1"/>
      <c r="AP447" s="1"/>
      <c r="AQ447" s="307"/>
      <c r="AR447" s="1"/>
      <c r="AS447" s="11"/>
      <c r="AT447" s="11"/>
      <c r="AU447" s="214"/>
      <c r="AV447" s="268"/>
      <c r="AW447" s="1"/>
      <c r="AX447" s="210"/>
      <c r="AY447" s="60"/>
      <c r="AZ447" s="15"/>
      <c r="BA447" s="15"/>
      <c r="BB447" s="1"/>
      <c r="BC447" s="49" t="e">
        <f>IF(OR(#REF!="",#REF!="")=TRUE,"",NETWORKDAYS.INTL(#REF!,#REF!))</f>
        <v>#REF!</v>
      </c>
    </row>
    <row r="448" spans="1:55" x14ac:dyDescent="0.45">
      <c r="A448" s="13"/>
      <c r="B448" s="155"/>
      <c r="C448" s="85"/>
      <c r="D448" s="1"/>
      <c r="E448" s="1"/>
      <c r="F448" s="1"/>
      <c r="G448" s="1"/>
      <c r="H448" s="307"/>
      <c r="I448" s="1"/>
      <c r="J448" s="1"/>
      <c r="K448" s="15"/>
      <c r="L448" s="17"/>
      <c r="M448" s="238"/>
      <c r="N448" s="17"/>
      <c r="O448" s="15"/>
      <c r="P448" s="17"/>
      <c r="Q448" s="307"/>
      <c r="R448" s="238"/>
      <c r="S448" s="17"/>
      <c r="T448" s="15"/>
      <c r="U448" s="17"/>
      <c r="V448" s="262"/>
      <c r="W448" s="262"/>
      <c r="X448" s="1"/>
      <c r="Y448" s="1"/>
      <c r="Z448" s="1"/>
      <c r="AA448" s="1"/>
      <c r="AB448" s="1"/>
      <c r="AC448" s="1"/>
      <c r="AD448" s="1"/>
      <c r="AE448" s="1"/>
      <c r="AF448" s="1"/>
      <c r="AG448" s="15"/>
      <c r="AH448" s="15"/>
      <c r="AI448" s="17"/>
      <c r="AJ448" s="15"/>
      <c r="AK448" s="124"/>
      <c r="AL448" s="17"/>
      <c r="AM448" s="17"/>
      <c r="AN448" s="263"/>
      <c r="AO448" s="1"/>
      <c r="AP448" s="1"/>
      <c r="AQ448" s="307"/>
      <c r="AR448" s="1"/>
      <c r="AS448" s="11"/>
      <c r="AT448" s="11"/>
      <c r="AU448" s="214"/>
      <c r="AV448" s="268"/>
      <c r="AW448" s="1"/>
      <c r="AX448" s="210"/>
      <c r="AY448" s="60"/>
      <c r="AZ448" s="15"/>
      <c r="BA448" s="15"/>
      <c r="BB448" s="1"/>
      <c r="BC448" s="49" t="e">
        <f>IF(OR(#REF!="",#REF!="")=TRUE,"",NETWORKDAYS.INTL(#REF!,#REF!))</f>
        <v>#REF!</v>
      </c>
    </row>
    <row r="449" spans="1:55" x14ac:dyDescent="0.45">
      <c r="A449" s="13"/>
      <c r="B449" s="155"/>
      <c r="C449" s="85"/>
      <c r="D449" s="1"/>
      <c r="E449" s="1"/>
      <c r="F449" s="1"/>
      <c r="G449" s="1"/>
      <c r="H449" s="307"/>
      <c r="I449" s="1"/>
      <c r="J449" s="1"/>
      <c r="K449" s="15"/>
      <c r="L449" s="17"/>
      <c r="M449" s="238"/>
      <c r="N449" s="17"/>
      <c r="O449" s="15"/>
      <c r="P449" s="17"/>
      <c r="Q449" s="307"/>
      <c r="R449" s="238"/>
      <c r="S449" s="17"/>
      <c r="T449" s="15"/>
      <c r="U449" s="17"/>
      <c r="V449" s="262"/>
      <c r="W449" s="262"/>
      <c r="X449" s="1"/>
      <c r="Y449" s="1"/>
      <c r="Z449" s="1"/>
      <c r="AA449" s="1"/>
      <c r="AB449" s="1"/>
      <c r="AC449" s="1"/>
      <c r="AD449" s="1"/>
      <c r="AE449" s="1"/>
      <c r="AF449" s="1"/>
      <c r="AG449" s="15"/>
      <c r="AH449" s="15"/>
      <c r="AI449" s="17"/>
      <c r="AJ449" s="15"/>
      <c r="AK449" s="124"/>
      <c r="AL449" s="17"/>
      <c r="AM449" s="17"/>
      <c r="AN449" s="263"/>
      <c r="AO449" s="1"/>
      <c r="AP449" s="1"/>
      <c r="AQ449" s="307"/>
      <c r="AR449" s="1"/>
      <c r="AS449" s="11"/>
      <c r="AT449" s="11"/>
      <c r="AU449" s="214"/>
      <c r="AV449" s="268"/>
      <c r="AW449" s="1"/>
      <c r="AX449" s="210"/>
      <c r="AY449" s="60"/>
      <c r="AZ449" s="15"/>
      <c r="BA449" s="15"/>
      <c r="BB449" s="1"/>
      <c r="BC449" s="49" t="e">
        <f>IF(OR(#REF!="",#REF!="")=TRUE,"",NETWORKDAYS.INTL(#REF!,#REF!))</f>
        <v>#REF!</v>
      </c>
    </row>
    <row r="450" spans="1:55" x14ac:dyDescent="0.45">
      <c r="A450" s="12"/>
      <c r="B450" s="150"/>
      <c r="C450" s="53"/>
      <c r="D450" s="1"/>
      <c r="E450" s="1"/>
      <c r="F450" s="1"/>
      <c r="G450" s="1"/>
      <c r="H450" s="307"/>
      <c r="I450" s="1"/>
      <c r="J450" s="1"/>
      <c r="K450" s="15"/>
      <c r="L450" s="17"/>
      <c r="M450" s="238"/>
      <c r="N450" s="17"/>
      <c r="O450" s="15"/>
      <c r="P450" s="17"/>
      <c r="Q450" s="307"/>
      <c r="R450" s="238"/>
      <c r="S450" s="17"/>
      <c r="T450" s="15"/>
      <c r="U450" s="17"/>
      <c r="V450" s="262"/>
      <c r="W450" s="262"/>
      <c r="X450" s="1"/>
      <c r="Y450" s="1"/>
      <c r="Z450" s="1"/>
      <c r="AA450" s="1"/>
      <c r="AB450" s="1"/>
      <c r="AC450" s="1"/>
      <c r="AD450" s="1"/>
      <c r="AE450" s="1"/>
      <c r="AF450" s="1"/>
      <c r="AG450" s="15"/>
      <c r="AH450" s="15"/>
      <c r="AI450" s="17"/>
      <c r="AJ450" s="15"/>
      <c r="AK450" s="124"/>
      <c r="AL450" s="17"/>
      <c r="AM450" s="17"/>
      <c r="AN450" s="263"/>
      <c r="AO450" s="1"/>
      <c r="AP450" s="1"/>
      <c r="AQ450" s="307"/>
      <c r="AR450" s="1"/>
      <c r="AS450" s="11"/>
      <c r="AT450" s="11"/>
      <c r="AU450" s="214"/>
      <c r="AV450" s="268"/>
      <c r="AW450" s="1"/>
      <c r="AX450" s="210"/>
      <c r="AY450" s="60"/>
      <c r="AZ450" s="15"/>
      <c r="BA450" s="15"/>
      <c r="BB450" s="1"/>
      <c r="BC450" s="49" t="e">
        <f>IF(OR(#REF!="",#REF!="")=TRUE,"",NETWORKDAYS.INTL(#REF!,#REF!))</f>
        <v>#REF!</v>
      </c>
    </row>
    <row r="451" spans="1:55" x14ac:dyDescent="0.45">
      <c r="A451" s="13"/>
      <c r="B451" s="155"/>
      <c r="C451" s="85"/>
      <c r="D451" s="1"/>
      <c r="E451" s="1"/>
      <c r="F451" s="1"/>
      <c r="G451" s="1"/>
      <c r="H451" s="307"/>
      <c r="I451" s="1"/>
      <c r="J451" s="1"/>
      <c r="K451" s="15"/>
      <c r="L451" s="17"/>
      <c r="M451" s="238"/>
      <c r="N451" s="17"/>
      <c r="O451" s="15"/>
      <c r="P451" s="17"/>
      <c r="Q451" s="307"/>
      <c r="R451" s="238"/>
      <c r="S451" s="17"/>
      <c r="T451" s="15"/>
      <c r="U451" s="17"/>
      <c r="V451" s="262"/>
      <c r="W451" s="262"/>
      <c r="X451" s="1"/>
      <c r="Y451" s="1"/>
      <c r="Z451" s="1"/>
      <c r="AA451" s="1"/>
      <c r="AB451" s="1"/>
      <c r="AC451" s="1"/>
      <c r="AD451" s="1"/>
      <c r="AE451" s="1"/>
      <c r="AF451" s="1"/>
      <c r="AG451" s="15"/>
      <c r="AH451" s="15"/>
      <c r="AI451" s="17"/>
      <c r="AJ451" s="15"/>
      <c r="AK451" s="124"/>
      <c r="AL451" s="17"/>
      <c r="AM451" s="17"/>
      <c r="AN451" s="263"/>
      <c r="AO451" s="1"/>
      <c r="AP451" s="1"/>
      <c r="AQ451" s="307"/>
      <c r="AR451" s="1"/>
      <c r="AS451" s="11"/>
      <c r="AT451" s="11"/>
      <c r="AU451" s="214"/>
      <c r="AV451" s="268"/>
      <c r="AW451" s="1"/>
      <c r="AX451" s="210"/>
      <c r="AY451" s="60"/>
      <c r="AZ451" s="15"/>
      <c r="BA451" s="15"/>
      <c r="BB451" s="1"/>
      <c r="BC451" s="49" t="e">
        <f>IF(OR(#REF!="",#REF!="")=TRUE,"",NETWORKDAYS.INTL(#REF!,#REF!))</f>
        <v>#REF!</v>
      </c>
    </row>
    <row r="452" spans="1:55" x14ac:dyDescent="0.45">
      <c r="A452" s="13"/>
      <c r="B452" s="155"/>
      <c r="C452" s="85"/>
      <c r="D452" s="1"/>
      <c r="E452" s="1"/>
      <c r="F452" s="1"/>
      <c r="G452" s="1"/>
      <c r="H452" s="307"/>
      <c r="I452" s="1"/>
      <c r="J452" s="1"/>
      <c r="K452" s="15"/>
      <c r="L452" s="17"/>
      <c r="M452" s="238"/>
      <c r="N452" s="17"/>
      <c r="O452" s="15"/>
      <c r="P452" s="17"/>
      <c r="Q452" s="307"/>
      <c r="R452" s="238"/>
      <c r="S452" s="17"/>
      <c r="T452" s="15"/>
      <c r="U452" s="17"/>
      <c r="V452" s="262"/>
      <c r="W452" s="262"/>
      <c r="X452" s="1"/>
      <c r="Y452" s="1"/>
      <c r="Z452" s="1"/>
      <c r="AA452" s="1"/>
      <c r="AB452" s="1"/>
      <c r="AC452" s="1"/>
      <c r="AD452" s="1"/>
      <c r="AE452" s="1"/>
      <c r="AF452" s="1"/>
      <c r="AG452" s="15"/>
      <c r="AH452" s="15"/>
      <c r="AI452" s="17"/>
      <c r="AJ452" s="15"/>
      <c r="AK452" s="124"/>
      <c r="AL452" s="17"/>
      <c r="AM452" s="17"/>
      <c r="AN452" s="263"/>
      <c r="AO452" s="1"/>
      <c r="AP452" s="1"/>
      <c r="AQ452" s="307"/>
      <c r="AR452" s="1"/>
      <c r="AS452" s="11"/>
      <c r="AT452" s="11"/>
      <c r="AU452" s="214"/>
      <c r="AV452" s="268"/>
      <c r="AW452" s="1"/>
      <c r="AX452" s="210"/>
      <c r="AY452" s="60"/>
      <c r="AZ452" s="15"/>
      <c r="BA452" s="15"/>
      <c r="BB452" s="1"/>
      <c r="BC452" s="49" t="e">
        <f>IF(OR(#REF!="",#REF!="")=TRUE,"",NETWORKDAYS.INTL(#REF!,#REF!))</f>
        <v>#REF!</v>
      </c>
    </row>
    <row r="453" spans="1:55" x14ac:dyDescent="0.45">
      <c r="A453" s="12"/>
      <c r="B453" s="150"/>
      <c r="C453" s="53"/>
      <c r="D453" s="1"/>
      <c r="E453" s="1"/>
      <c r="F453" s="1"/>
      <c r="G453" s="1"/>
      <c r="H453" s="307"/>
      <c r="I453" s="1"/>
      <c r="J453" s="1"/>
      <c r="K453" s="15"/>
      <c r="L453" s="17"/>
      <c r="M453" s="238"/>
      <c r="N453" s="17"/>
      <c r="O453" s="15"/>
      <c r="P453" s="17"/>
      <c r="Q453" s="307"/>
      <c r="R453" s="238"/>
      <c r="S453" s="17"/>
      <c r="T453" s="15"/>
      <c r="U453" s="17"/>
      <c r="V453" s="262"/>
      <c r="W453" s="262"/>
      <c r="X453" s="1"/>
      <c r="Y453" s="1"/>
      <c r="Z453" s="1"/>
      <c r="AA453" s="1"/>
      <c r="AB453" s="1"/>
      <c r="AC453" s="1"/>
      <c r="AD453" s="1"/>
      <c r="AE453" s="1"/>
      <c r="AF453" s="1"/>
      <c r="AG453" s="15"/>
      <c r="AH453" s="15"/>
      <c r="AI453" s="17"/>
      <c r="AJ453" s="15"/>
      <c r="AK453" s="124"/>
      <c r="AL453" s="17"/>
      <c r="AM453" s="17"/>
      <c r="AN453" s="263"/>
      <c r="AO453" s="1"/>
      <c r="AP453" s="1"/>
      <c r="AQ453" s="307"/>
      <c r="AR453" s="1"/>
      <c r="AS453" s="11"/>
      <c r="AT453" s="11"/>
      <c r="AU453" s="214"/>
      <c r="AV453" s="268"/>
      <c r="AW453" s="1"/>
      <c r="AX453" s="210"/>
      <c r="AY453" s="60"/>
      <c r="AZ453" s="15"/>
      <c r="BA453" s="15"/>
      <c r="BB453" s="1"/>
      <c r="BC453" s="49" t="e">
        <f>IF(OR(#REF!="",#REF!="")=TRUE,"",NETWORKDAYS.INTL(#REF!,#REF!))</f>
        <v>#REF!</v>
      </c>
    </row>
    <row r="454" spans="1:55" x14ac:dyDescent="0.45">
      <c r="A454" s="13"/>
      <c r="B454" s="155"/>
      <c r="C454" s="85"/>
      <c r="D454" s="1"/>
      <c r="E454" s="1"/>
      <c r="F454" s="1"/>
      <c r="G454" s="1"/>
      <c r="H454" s="307"/>
      <c r="I454" s="1"/>
      <c r="J454" s="1"/>
      <c r="K454" s="15"/>
      <c r="L454" s="17"/>
      <c r="M454" s="238"/>
      <c r="N454" s="17"/>
      <c r="O454" s="15"/>
      <c r="P454" s="17"/>
      <c r="Q454" s="307"/>
      <c r="R454" s="238"/>
      <c r="S454" s="17"/>
      <c r="T454" s="15"/>
      <c r="U454" s="17"/>
      <c r="V454" s="262"/>
      <c r="W454" s="262"/>
      <c r="X454" s="1"/>
      <c r="Y454" s="1"/>
      <c r="Z454" s="1"/>
      <c r="AA454" s="1"/>
      <c r="AB454" s="1"/>
      <c r="AC454" s="1"/>
      <c r="AD454" s="1"/>
      <c r="AE454" s="1"/>
      <c r="AF454" s="1"/>
      <c r="AG454" s="15"/>
      <c r="AH454" s="15"/>
      <c r="AI454" s="17"/>
      <c r="AJ454" s="15"/>
      <c r="AK454" s="124"/>
      <c r="AL454" s="17"/>
      <c r="AM454" s="17"/>
      <c r="AN454" s="263"/>
      <c r="AO454" s="1"/>
      <c r="AP454" s="1"/>
      <c r="AQ454" s="307"/>
      <c r="AR454" s="1"/>
      <c r="AS454" s="11"/>
      <c r="AT454" s="11"/>
      <c r="AU454" s="214"/>
      <c r="AV454" s="268"/>
      <c r="AW454" s="1"/>
      <c r="AX454" s="210"/>
      <c r="AY454" s="60"/>
      <c r="AZ454" s="15"/>
      <c r="BA454" s="15"/>
      <c r="BB454" s="1"/>
      <c r="BC454" s="49" t="e">
        <f>IF(OR(#REF!="",#REF!="")=TRUE,"",NETWORKDAYS.INTL(#REF!,#REF!))</f>
        <v>#REF!</v>
      </c>
    </row>
    <row r="455" spans="1:55" x14ac:dyDescent="0.45">
      <c r="A455" s="13"/>
      <c r="B455" s="155"/>
      <c r="C455" s="85"/>
      <c r="D455" s="1"/>
      <c r="E455" s="1"/>
      <c r="F455" s="1"/>
      <c r="G455" s="1"/>
      <c r="H455" s="307"/>
      <c r="I455" s="1"/>
      <c r="J455" s="1"/>
      <c r="K455" s="15"/>
      <c r="L455" s="17"/>
      <c r="M455" s="238"/>
      <c r="N455" s="17"/>
      <c r="O455" s="15"/>
      <c r="P455" s="17"/>
      <c r="Q455" s="307"/>
      <c r="R455" s="238"/>
      <c r="S455" s="17"/>
      <c r="T455" s="15"/>
      <c r="U455" s="17"/>
      <c r="V455" s="262"/>
      <c r="W455" s="262"/>
      <c r="X455" s="1"/>
      <c r="Y455" s="1"/>
      <c r="Z455" s="1"/>
      <c r="AA455" s="1"/>
      <c r="AB455" s="1"/>
      <c r="AC455" s="1"/>
      <c r="AD455" s="1"/>
      <c r="AE455" s="1"/>
      <c r="AF455" s="1"/>
      <c r="AG455" s="15"/>
      <c r="AH455" s="15"/>
      <c r="AI455" s="17"/>
      <c r="AJ455" s="15"/>
      <c r="AK455" s="124"/>
      <c r="AL455" s="17"/>
      <c r="AM455" s="17"/>
      <c r="AN455" s="263"/>
      <c r="AO455" s="1"/>
      <c r="AP455" s="1"/>
      <c r="AQ455" s="307"/>
      <c r="AR455" s="1"/>
      <c r="AS455" s="11"/>
      <c r="AT455" s="11"/>
      <c r="AU455" s="214"/>
      <c r="AV455" s="268"/>
      <c r="AW455" s="1"/>
      <c r="AX455" s="210"/>
      <c r="AY455" s="60"/>
      <c r="AZ455" s="15"/>
      <c r="BA455" s="15"/>
      <c r="BB455" s="1"/>
      <c r="BC455" s="49" t="e">
        <f>IF(OR(#REF!="",#REF!="")=TRUE,"",NETWORKDAYS.INTL(#REF!,#REF!))</f>
        <v>#REF!</v>
      </c>
    </row>
    <row r="456" spans="1:55" x14ac:dyDescent="0.45">
      <c r="A456" s="12"/>
      <c r="B456" s="150"/>
      <c r="C456" s="53"/>
      <c r="D456" s="1"/>
      <c r="E456" s="1"/>
      <c r="F456" s="1"/>
      <c r="G456" s="1"/>
      <c r="H456" s="307"/>
      <c r="I456" s="1"/>
      <c r="J456" s="1"/>
      <c r="K456" s="15"/>
      <c r="L456" s="17"/>
      <c r="M456" s="238"/>
      <c r="N456" s="17"/>
      <c r="O456" s="15"/>
      <c r="P456" s="17"/>
      <c r="Q456" s="307"/>
      <c r="R456" s="238"/>
      <c r="S456" s="17"/>
      <c r="T456" s="15"/>
      <c r="U456" s="17"/>
      <c r="V456" s="262"/>
      <c r="W456" s="262"/>
      <c r="X456" s="1"/>
      <c r="Y456" s="1"/>
      <c r="Z456" s="1"/>
      <c r="AA456" s="1"/>
      <c r="AB456" s="1"/>
      <c r="AC456" s="1"/>
      <c r="AD456" s="1"/>
      <c r="AE456" s="1"/>
      <c r="AF456" s="1"/>
      <c r="AG456" s="15"/>
      <c r="AH456" s="15"/>
      <c r="AI456" s="17"/>
      <c r="AJ456" s="15"/>
      <c r="AK456" s="124"/>
      <c r="AL456" s="17"/>
      <c r="AM456" s="17"/>
      <c r="AN456" s="263"/>
      <c r="AO456" s="1"/>
      <c r="AP456" s="1"/>
      <c r="AQ456" s="307"/>
      <c r="AR456" s="1"/>
      <c r="AS456" s="11"/>
      <c r="AT456" s="11"/>
      <c r="AU456" s="214"/>
      <c r="AV456" s="268"/>
      <c r="AW456" s="1"/>
      <c r="AX456" s="210"/>
      <c r="AY456" s="60"/>
      <c r="AZ456" s="15"/>
      <c r="BA456" s="15"/>
      <c r="BB456" s="1"/>
      <c r="BC456" s="49" t="e">
        <f>IF(OR(#REF!="",#REF!="")=TRUE,"",NETWORKDAYS.INTL(#REF!,#REF!))</f>
        <v>#REF!</v>
      </c>
    </row>
    <row r="457" spans="1:55" x14ac:dyDescent="0.45">
      <c r="A457" s="13"/>
      <c r="B457" s="155"/>
      <c r="C457" s="85"/>
      <c r="D457" s="1"/>
      <c r="E457" s="1"/>
      <c r="F457" s="1"/>
      <c r="G457" s="1"/>
      <c r="H457" s="307"/>
      <c r="I457" s="1"/>
      <c r="J457" s="1"/>
      <c r="K457" s="15"/>
      <c r="L457" s="17"/>
      <c r="M457" s="238"/>
      <c r="N457" s="17"/>
      <c r="O457" s="15"/>
      <c r="P457" s="17"/>
      <c r="Q457" s="307"/>
      <c r="R457" s="238"/>
      <c r="S457" s="17"/>
      <c r="T457" s="15"/>
      <c r="U457" s="17"/>
      <c r="V457" s="262"/>
      <c r="W457" s="262"/>
      <c r="X457" s="1"/>
      <c r="Y457" s="1"/>
      <c r="Z457" s="1"/>
      <c r="AA457" s="1"/>
      <c r="AB457" s="1"/>
      <c r="AC457" s="1"/>
      <c r="AD457" s="1"/>
      <c r="AE457" s="1"/>
      <c r="AF457" s="1"/>
      <c r="AG457" s="15"/>
      <c r="AH457" s="15"/>
      <c r="AI457" s="17"/>
      <c r="AJ457" s="15"/>
      <c r="AK457" s="124"/>
      <c r="AL457" s="17"/>
      <c r="AM457" s="17"/>
      <c r="AN457" s="263"/>
      <c r="AO457" s="1"/>
      <c r="AP457" s="1"/>
      <c r="AQ457" s="307"/>
      <c r="AR457" s="1"/>
      <c r="AS457" s="11"/>
      <c r="AT457" s="11"/>
      <c r="AU457" s="214"/>
      <c r="AV457" s="268"/>
      <c r="AW457" s="1"/>
      <c r="AX457" s="210"/>
      <c r="AY457" s="60"/>
      <c r="AZ457" s="15"/>
      <c r="BA457" s="15"/>
      <c r="BB457" s="1"/>
      <c r="BC457" s="49" t="e">
        <f>IF(OR(#REF!="",#REF!="")=TRUE,"",NETWORKDAYS.INTL(#REF!,#REF!))</f>
        <v>#REF!</v>
      </c>
    </row>
    <row r="458" spans="1:55" x14ac:dyDescent="0.45">
      <c r="A458" s="13"/>
      <c r="B458" s="155"/>
      <c r="C458" s="85"/>
      <c r="D458" s="1"/>
      <c r="E458" s="1"/>
      <c r="F458" s="1"/>
      <c r="G458" s="1"/>
      <c r="H458" s="307"/>
      <c r="I458" s="1"/>
      <c r="J458" s="1"/>
      <c r="K458" s="15"/>
      <c r="L458" s="17"/>
      <c r="M458" s="238"/>
      <c r="N458" s="17"/>
      <c r="O458" s="15"/>
      <c r="P458" s="17"/>
      <c r="Q458" s="307"/>
      <c r="R458" s="238"/>
      <c r="S458" s="17"/>
      <c r="T458" s="15"/>
      <c r="U458" s="17"/>
      <c r="V458" s="262"/>
      <c r="W458" s="262"/>
      <c r="X458" s="1"/>
      <c r="Y458" s="1"/>
      <c r="Z458" s="1"/>
      <c r="AA458" s="1"/>
      <c r="AB458" s="1"/>
      <c r="AC458" s="1"/>
      <c r="AD458" s="1"/>
      <c r="AE458" s="1"/>
      <c r="AF458" s="1"/>
      <c r="AG458" s="15"/>
      <c r="AH458" s="15"/>
      <c r="AI458" s="17"/>
      <c r="AJ458" s="15"/>
      <c r="AK458" s="124"/>
      <c r="AL458" s="17"/>
      <c r="AM458" s="17"/>
      <c r="AN458" s="263"/>
      <c r="AO458" s="1"/>
      <c r="AP458" s="1"/>
      <c r="AQ458" s="307"/>
      <c r="AR458" s="1"/>
      <c r="AS458" s="11"/>
      <c r="AT458" s="11"/>
      <c r="AU458" s="214"/>
      <c r="AV458" s="268"/>
      <c r="AW458" s="1"/>
      <c r="AX458" s="210"/>
      <c r="AY458" s="60"/>
      <c r="AZ458" s="15"/>
      <c r="BA458" s="15"/>
      <c r="BB458" s="1"/>
      <c r="BC458" s="49" t="e">
        <f>IF(OR(#REF!="",#REF!="")=TRUE,"",NETWORKDAYS.INTL(#REF!,#REF!))</f>
        <v>#REF!</v>
      </c>
    </row>
    <row r="459" spans="1:55" x14ac:dyDescent="0.45">
      <c r="A459" s="12"/>
      <c r="B459" s="150"/>
      <c r="C459" s="53"/>
      <c r="D459" s="1"/>
      <c r="E459" s="1"/>
      <c r="F459" s="1"/>
      <c r="G459" s="1"/>
      <c r="H459" s="307"/>
      <c r="I459" s="1"/>
      <c r="J459" s="1"/>
      <c r="K459" s="15"/>
      <c r="L459" s="17"/>
      <c r="M459" s="238"/>
      <c r="N459" s="17"/>
      <c r="O459" s="15"/>
      <c r="P459" s="17"/>
      <c r="Q459" s="307"/>
      <c r="R459" s="238"/>
      <c r="S459" s="17"/>
      <c r="T459" s="15"/>
      <c r="U459" s="17"/>
      <c r="V459" s="262"/>
      <c r="W459" s="262"/>
      <c r="X459" s="1"/>
      <c r="Y459" s="1"/>
      <c r="Z459" s="1"/>
      <c r="AA459" s="1"/>
      <c r="AB459" s="1"/>
      <c r="AC459" s="1"/>
      <c r="AD459" s="1"/>
      <c r="AE459" s="1"/>
      <c r="AF459" s="1"/>
      <c r="AG459" s="15"/>
      <c r="AH459" s="15"/>
      <c r="AI459" s="17"/>
      <c r="AJ459" s="15"/>
      <c r="AK459" s="124"/>
      <c r="AL459" s="17"/>
      <c r="AM459" s="17"/>
      <c r="AN459" s="263"/>
      <c r="AO459" s="1"/>
      <c r="AP459" s="1"/>
      <c r="AQ459" s="307"/>
      <c r="AR459" s="1"/>
      <c r="AS459" s="11"/>
      <c r="AT459" s="11"/>
      <c r="AU459" s="214"/>
      <c r="AV459" s="268"/>
      <c r="AW459" s="1"/>
      <c r="AX459" s="210"/>
      <c r="AY459" s="60"/>
      <c r="AZ459" s="15"/>
      <c r="BA459" s="15"/>
      <c r="BB459" s="1"/>
      <c r="BC459" s="49" t="e">
        <f>IF(OR(#REF!="",#REF!="")=TRUE,"",NETWORKDAYS.INTL(#REF!,#REF!))</f>
        <v>#REF!</v>
      </c>
    </row>
    <row r="460" spans="1:55" x14ac:dyDescent="0.45">
      <c r="A460" s="13"/>
      <c r="B460" s="155"/>
      <c r="C460" s="85"/>
      <c r="D460" s="1"/>
      <c r="E460" s="1"/>
      <c r="F460" s="1"/>
      <c r="G460" s="1"/>
      <c r="H460" s="307"/>
      <c r="I460" s="1"/>
      <c r="J460" s="1"/>
      <c r="K460" s="15"/>
      <c r="L460" s="17"/>
      <c r="M460" s="238"/>
      <c r="N460" s="17"/>
      <c r="O460" s="15"/>
      <c r="P460" s="17"/>
      <c r="Q460" s="307"/>
      <c r="R460" s="238"/>
      <c r="S460" s="17"/>
      <c r="T460" s="15"/>
      <c r="U460" s="17"/>
      <c r="V460" s="262"/>
      <c r="W460" s="262"/>
      <c r="X460" s="1"/>
      <c r="Y460" s="1"/>
      <c r="Z460" s="1"/>
      <c r="AA460" s="1"/>
      <c r="AB460" s="1"/>
      <c r="AC460" s="1"/>
      <c r="AD460" s="1"/>
      <c r="AE460" s="1"/>
      <c r="AF460" s="1"/>
      <c r="AG460" s="15"/>
      <c r="AH460" s="15"/>
      <c r="AI460" s="17"/>
      <c r="AJ460" s="15"/>
      <c r="AK460" s="124"/>
      <c r="AL460" s="17"/>
      <c r="AM460" s="17"/>
      <c r="AN460" s="263"/>
      <c r="AO460" s="1"/>
      <c r="AP460" s="1"/>
      <c r="AQ460" s="307"/>
      <c r="AR460" s="1"/>
      <c r="AS460" s="11"/>
      <c r="AT460" s="11"/>
      <c r="AU460" s="214"/>
      <c r="AV460" s="268"/>
      <c r="AW460" s="1"/>
      <c r="AX460" s="210"/>
      <c r="AY460" s="60"/>
      <c r="AZ460" s="15"/>
      <c r="BA460" s="15"/>
      <c r="BB460" s="1"/>
      <c r="BC460" s="49" t="e">
        <f>IF(OR(#REF!="",#REF!="")=TRUE,"",NETWORKDAYS.INTL(#REF!,#REF!))</f>
        <v>#REF!</v>
      </c>
    </row>
    <row r="461" spans="1:55" x14ac:dyDescent="0.45">
      <c r="A461" s="13"/>
      <c r="B461" s="155"/>
      <c r="C461" s="85"/>
      <c r="D461" s="1"/>
      <c r="E461" s="1"/>
      <c r="F461" s="1"/>
      <c r="G461" s="1"/>
      <c r="H461" s="307"/>
      <c r="I461" s="1"/>
      <c r="J461" s="1"/>
      <c r="K461" s="15"/>
      <c r="L461" s="17"/>
      <c r="M461" s="238"/>
      <c r="N461" s="17"/>
      <c r="O461" s="15"/>
      <c r="P461" s="17"/>
      <c r="Q461" s="307"/>
      <c r="R461" s="238"/>
      <c r="S461" s="17"/>
      <c r="T461" s="15"/>
      <c r="U461" s="17"/>
      <c r="V461" s="262"/>
      <c r="W461" s="262"/>
      <c r="X461" s="1"/>
      <c r="Y461" s="1"/>
      <c r="Z461" s="1"/>
      <c r="AA461" s="1"/>
      <c r="AB461" s="1"/>
      <c r="AC461" s="1"/>
      <c r="AD461" s="1"/>
      <c r="AE461" s="1"/>
      <c r="AF461" s="1"/>
      <c r="AG461" s="15"/>
      <c r="AH461" s="15"/>
      <c r="AI461" s="17"/>
      <c r="AJ461" s="15"/>
      <c r="AK461" s="124"/>
      <c r="AL461" s="17"/>
      <c r="AM461" s="17"/>
      <c r="AN461" s="263"/>
      <c r="AO461" s="1"/>
      <c r="AP461" s="1"/>
      <c r="AQ461" s="307"/>
      <c r="AR461" s="1"/>
      <c r="AS461" s="11"/>
      <c r="AT461" s="11"/>
      <c r="AU461" s="214"/>
      <c r="AV461" s="268"/>
      <c r="AW461" s="1"/>
      <c r="AX461" s="210"/>
      <c r="AY461" s="60"/>
      <c r="AZ461" s="15"/>
      <c r="BA461" s="15"/>
      <c r="BB461" s="1"/>
      <c r="BC461" s="49" t="e">
        <f>IF(OR(#REF!="",#REF!="")=TRUE,"",NETWORKDAYS.INTL(#REF!,#REF!))</f>
        <v>#REF!</v>
      </c>
    </row>
    <row r="462" spans="1:55" x14ac:dyDescent="0.45">
      <c r="A462" s="12"/>
      <c r="B462" s="150"/>
      <c r="C462" s="53"/>
      <c r="D462" s="1"/>
      <c r="E462" s="1"/>
      <c r="F462" s="1"/>
      <c r="G462" s="1"/>
      <c r="H462" s="307"/>
      <c r="I462" s="1"/>
      <c r="J462" s="1"/>
      <c r="K462" s="15"/>
      <c r="L462" s="17"/>
      <c r="M462" s="238"/>
      <c r="N462" s="17"/>
      <c r="O462" s="15"/>
      <c r="P462" s="17"/>
      <c r="Q462" s="307"/>
      <c r="R462" s="238"/>
      <c r="S462" s="17"/>
      <c r="T462" s="15"/>
      <c r="U462" s="17"/>
      <c r="V462" s="262"/>
      <c r="W462" s="262"/>
      <c r="X462" s="1"/>
      <c r="Y462" s="1"/>
      <c r="Z462" s="1"/>
      <c r="AA462" s="1"/>
      <c r="AB462" s="1"/>
      <c r="AC462" s="1"/>
      <c r="AD462" s="1"/>
      <c r="AE462" s="1"/>
      <c r="AF462" s="1"/>
      <c r="AG462" s="15"/>
      <c r="AH462" s="15"/>
      <c r="AI462" s="17"/>
      <c r="AJ462" s="15"/>
      <c r="AK462" s="124"/>
      <c r="AL462" s="17"/>
      <c r="AM462" s="17"/>
      <c r="AN462" s="263"/>
      <c r="AO462" s="1"/>
      <c r="AP462" s="1"/>
      <c r="AQ462" s="307"/>
      <c r="AR462" s="1"/>
      <c r="AS462" s="11"/>
      <c r="AT462" s="11"/>
      <c r="AU462" s="214"/>
      <c r="AV462" s="268"/>
      <c r="AW462" s="1"/>
      <c r="AX462" s="210"/>
      <c r="AY462" s="60"/>
      <c r="AZ462" s="15"/>
      <c r="BA462" s="15"/>
      <c r="BB462" s="1"/>
      <c r="BC462" s="49" t="e">
        <f>IF(OR(#REF!="",#REF!="")=TRUE,"",NETWORKDAYS.INTL(#REF!,#REF!))</f>
        <v>#REF!</v>
      </c>
    </row>
    <row r="463" spans="1:55" x14ac:dyDescent="0.45">
      <c r="A463" s="13"/>
      <c r="B463" s="155"/>
      <c r="C463" s="85"/>
      <c r="D463" s="1"/>
      <c r="E463" s="1"/>
      <c r="F463" s="1"/>
      <c r="G463" s="1"/>
      <c r="H463" s="307"/>
      <c r="I463" s="1"/>
      <c r="J463" s="1"/>
      <c r="K463" s="15"/>
      <c r="L463" s="17"/>
      <c r="M463" s="238"/>
      <c r="N463" s="17"/>
      <c r="O463" s="15"/>
      <c r="P463" s="17"/>
      <c r="Q463" s="307"/>
      <c r="R463" s="238"/>
      <c r="S463" s="17"/>
      <c r="T463" s="15"/>
      <c r="U463" s="17"/>
      <c r="V463" s="262"/>
      <c r="W463" s="262"/>
      <c r="X463" s="1"/>
      <c r="Y463" s="1"/>
      <c r="Z463" s="1"/>
      <c r="AA463" s="1"/>
      <c r="AB463" s="1"/>
      <c r="AC463" s="1"/>
      <c r="AD463" s="1"/>
      <c r="AE463" s="1"/>
      <c r="AF463" s="1"/>
      <c r="AG463" s="15"/>
      <c r="AH463" s="15"/>
      <c r="AI463" s="17"/>
      <c r="AJ463" s="15"/>
      <c r="AK463" s="124"/>
      <c r="AL463" s="17"/>
      <c r="AM463" s="17"/>
      <c r="AN463" s="263"/>
      <c r="AO463" s="1"/>
      <c r="AP463" s="1"/>
      <c r="AQ463" s="307"/>
      <c r="AR463" s="1"/>
      <c r="AS463" s="11"/>
      <c r="AT463" s="11"/>
      <c r="AU463" s="214"/>
      <c r="AV463" s="268"/>
      <c r="AW463" s="1"/>
      <c r="AX463" s="210"/>
      <c r="AY463" s="60"/>
      <c r="AZ463" s="15"/>
      <c r="BA463" s="15"/>
      <c r="BB463" s="1"/>
      <c r="BC463" s="49" t="e">
        <f>IF(OR(#REF!="",#REF!="")=TRUE,"",NETWORKDAYS.INTL(#REF!,#REF!))</f>
        <v>#REF!</v>
      </c>
    </row>
    <row r="464" spans="1:55" x14ac:dyDescent="0.45">
      <c r="A464" s="13"/>
      <c r="B464" s="155"/>
      <c r="C464" s="85"/>
      <c r="D464" s="1"/>
      <c r="E464" s="1"/>
      <c r="F464" s="1"/>
      <c r="G464" s="1"/>
      <c r="H464" s="307"/>
      <c r="I464" s="1"/>
      <c r="J464" s="1"/>
      <c r="K464" s="15"/>
      <c r="L464" s="17"/>
      <c r="M464" s="238"/>
      <c r="N464" s="17"/>
      <c r="O464" s="15"/>
      <c r="P464" s="17"/>
      <c r="Q464" s="307"/>
      <c r="R464" s="238"/>
      <c r="S464" s="17"/>
      <c r="T464" s="15"/>
      <c r="U464" s="17"/>
      <c r="V464" s="262"/>
      <c r="W464" s="262"/>
      <c r="X464" s="1"/>
      <c r="Y464" s="1"/>
      <c r="Z464" s="1"/>
      <c r="AA464" s="1"/>
      <c r="AB464" s="1"/>
      <c r="AC464" s="1"/>
      <c r="AD464" s="1"/>
      <c r="AE464" s="1"/>
      <c r="AF464" s="1"/>
      <c r="AG464" s="15"/>
      <c r="AH464" s="15"/>
      <c r="AI464" s="17"/>
      <c r="AJ464" s="15"/>
      <c r="AK464" s="124"/>
      <c r="AL464" s="17"/>
      <c r="AM464" s="17"/>
      <c r="AN464" s="263"/>
      <c r="AO464" s="1"/>
      <c r="AP464" s="1"/>
      <c r="AQ464" s="307"/>
      <c r="AR464" s="1"/>
      <c r="AS464" s="11"/>
      <c r="AT464" s="11"/>
      <c r="AU464" s="214"/>
      <c r="AV464" s="268"/>
      <c r="AW464" s="1"/>
      <c r="AX464" s="210"/>
      <c r="AY464" s="60"/>
      <c r="AZ464" s="15"/>
      <c r="BA464" s="15"/>
      <c r="BB464" s="1"/>
      <c r="BC464" s="49" t="e">
        <f>IF(OR(#REF!="",#REF!="")=TRUE,"",NETWORKDAYS.INTL(#REF!,#REF!))</f>
        <v>#REF!</v>
      </c>
    </row>
    <row r="465" spans="1:55" x14ac:dyDescent="0.45">
      <c r="A465" s="12"/>
      <c r="B465" s="150"/>
      <c r="C465" s="53"/>
      <c r="D465" s="1"/>
      <c r="E465" s="1"/>
      <c r="F465" s="1"/>
      <c r="G465" s="1"/>
      <c r="H465" s="307"/>
      <c r="I465" s="1"/>
      <c r="J465" s="1"/>
      <c r="K465" s="15"/>
      <c r="L465" s="17"/>
      <c r="M465" s="238"/>
      <c r="N465" s="17"/>
      <c r="O465" s="15"/>
      <c r="P465" s="17"/>
      <c r="Q465" s="307"/>
      <c r="R465" s="238"/>
      <c r="S465" s="17"/>
      <c r="T465" s="15"/>
      <c r="U465" s="17"/>
      <c r="V465" s="262"/>
      <c r="W465" s="262"/>
      <c r="X465" s="1"/>
      <c r="Y465" s="1"/>
      <c r="Z465" s="1"/>
      <c r="AA465" s="1"/>
      <c r="AB465" s="1"/>
      <c r="AC465" s="1"/>
      <c r="AD465" s="1"/>
      <c r="AE465" s="1"/>
      <c r="AF465" s="1"/>
      <c r="AG465" s="15"/>
      <c r="AH465" s="15"/>
      <c r="AI465" s="17"/>
      <c r="AJ465" s="15"/>
      <c r="AK465" s="124"/>
      <c r="AL465" s="17"/>
      <c r="AM465" s="17"/>
      <c r="AN465" s="263"/>
      <c r="AO465" s="1"/>
      <c r="AP465" s="1"/>
      <c r="AQ465" s="307"/>
      <c r="AR465" s="1"/>
      <c r="AS465" s="11"/>
      <c r="AT465" s="11"/>
      <c r="AU465" s="214"/>
      <c r="AV465" s="268"/>
      <c r="AW465" s="1"/>
      <c r="AX465" s="210"/>
      <c r="AY465" s="60"/>
      <c r="AZ465" s="15"/>
      <c r="BA465" s="15"/>
      <c r="BB465" s="1"/>
      <c r="BC465" s="49" t="e">
        <f>IF(OR(#REF!="",#REF!="")=TRUE,"",NETWORKDAYS.INTL(#REF!,#REF!))</f>
        <v>#REF!</v>
      </c>
    </row>
    <row r="466" spans="1:55" x14ac:dyDescent="0.45">
      <c r="A466" s="13"/>
      <c r="B466" s="155"/>
      <c r="C466" s="85"/>
      <c r="D466" s="1"/>
      <c r="E466" s="1"/>
      <c r="F466" s="1"/>
      <c r="G466" s="1"/>
      <c r="H466" s="307"/>
      <c r="I466" s="1"/>
      <c r="J466" s="1"/>
      <c r="K466" s="15"/>
      <c r="L466" s="17"/>
      <c r="M466" s="238"/>
      <c r="N466" s="17"/>
      <c r="O466" s="15"/>
      <c r="P466" s="17"/>
      <c r="Q466" s="307"/>
      <c r="R466" s="238"/>
      <c r="S466" s="17"/>
      <c r="T466" s="15"/>
      <c r="U466" s="17"/>
      <c r="V466" s="262"/>
      <c r="W466" s="262"/>
      <c r="X466" s="1"/>
      <c r="Y466" s="1"/>
      <c r="Z466" s="1"/>
      <c r="AA466" s="1"/>
      <c r="AB466" s="1"/>
      <c r="AC466" s="1"/>
      <c r="AD466" s="1"/>
      <c r="AE466" s="1"/>
      <c r="AF466" s="1"/>
      <c r="AG466" s="15"/>
      <c r="AH466" s="15"/>
      <c r="AI466" s="17"/>
      <c r="AJ466" s="15"/>
      <c r="AK466" s="124"/>
      <c r="AL466" s="17"/>
      <c r="AM466" s="17"/>
      <c r="AN466" s="263"/>
      <c r="AO466" s="1"/>
      <c r="AP466" s="1"/>
      <c r="AQ466" s="307"/>
      <c r="AR466" s="1"/>
      <c r="AS466" s="11"/>
      <c r="AT466" s="11"/>
      <c r="AU466" s="214"/>
      <c r="AV466" s="268"/>
      <c r="AW466" s="1"/>
      <c r="AX466" s="210"/>
      <c r="AY466" s="60"/>
      <c r="AZ466" s="15"/>
      <c r="BA466" s="15"/>
      <c r="BB466" s="1"/>
      <c r="BC466" s="49" t="e">
        <f>IF(OR(#REF!="",#REF!="")=TRUE,"",NETWORKDAYS.INTL(#REF!,#REF!))</f>
        <v>#REF!</v>
      </c>
    </row>
    <row r="467" spans="1:55" x14ac:dyDescent="0.45">
      <c r="A467" s="13"/>
      <c r="B467" s="155"/>
      <c r="C467" s="85"/>
      <c r="D467" s="1"/>
      <c r="E467" s="1"/>
      <c r="F467" s="1"/>
      <c r="G467" s="1"/>
      <c r="H467" s="307"/>
      <c r="I467" s="1"/>
      <c r="J467" s="1"/>
      <c r="K467" s="15"/>
      <c r="L467" s="17"/>
      <c r="M467" s="238"/>
      <c r="N467" s="17"/>
      <c r="O467" s="15"/>
      <c r="P467" s="17"/>
      <c r="Q467" s="307"/>
      <c r="R467" s="238"/>
      <c r="S467" s="17"/>
      <c r="T467" s="15"/>
      <c r="U467" s="17"/>
      <c r="V467" s="262"/>
      <c r="W467" s="262"/>
      <c r="X467" s="1"/>
      <c r="Y467" s="1"/>
      <c r="Z467" s="1"/>
      <c r="AA467" s="1"/>
      <c r="AB467" s="1"/>
      <c r="AC467" s="1"/>
      <c r="AD467" s="1"/>
      <c r="AE467" s="1"/>
      <c r="AF467" s="1"/>
      <c r="AG467" s="15"/>
      <c r="AH467" s="15"/>
      <c r="AI467" s="17"/>
      <c r="AJ467" s="15"/>
      <c r="AK467" s="124"/>
      <c r="AL467" s="17"/>
      <c r="AM467" s="17"/>
      <c r="AN467" s="263"/>
      <c r="AO467" s="1"/>
      <c r="AP467" s="1"/>
      <c r="AQ467" s="307"/>
      <c r="AR467" s="1"/>
      <c r="AS467" s="11"/>
      <c r="AT467" s="11"/>
      <c r="AU467" s="214"/>
      <c r="AV467" s="268"/>
      <c r="AW467" s="1"/>
      <c r="AX467" s="210"/>
      <c r="AY467" s="60"/>
      <c r="AZ467" s="15"/>
      <c r="BA467" s="15"/>
      <c r="BB467" s="1"/>
      <c r="BC467" s="49" t="e">
        <f>IF(OR(#REF!="",#REF!="")=TRUE,"",NETWORKDAYS.INTL(#REF!,#REF!))</f>
        <v>#REF!</v>
      </c>
    </row>
    <row r="468" spans="1:55" x14ac:dyDescent="0.45">
      <c r="A468" s="12"/>
      <c r="B468" s="150"/>
      <c r="C468" s="53"/>
      <c r="D468" s="1"/>
      <c r="E468" s="1"/>
      <c r="F468" s="1"/>
      <c r="G468" s="1"/>
      <c r="H468" s="307"/>
      <c r="I468" s="1"/>
      <c r="J468" s="1"/>
      <c r="K468" s="15"/>
      <c r="L468" s="17"/>
      <c r="M468" s="238"/>
      <c r="N468" s="17"/>
      <c r="O468" s="15"/>
      <c r="P468" s="17"/>
      <c r="Q468" s="307"/>
      <c r="R468" s="238"/>
      <c r="S468" s="17"/>
      <c r="T468" s="15"/>
      <c r="U468" s="17"/>
      <c r="V468" s="262"/>
      <c r="W468" s="262"/>
      <c r="X468" s="1"/>
      <c r="Y468" s="1"/>
      <c r="Z468" s="1"/>
      <c r="AA468" s="1"/>
      <c r="AB468" s="1"/>
      <c r="AC468" s="1"/>
      <c r="AD468" s="1"/>
      <c r="AE468" s="1"/>
      <c r="AF468" s="1"/>
      <c r="AG468" s="15"/>
      <c r="AH468" s="15"/>
      <c r="AI468" s="17"/>
      <c r="AJ468" s="15"/>
      <c r="AK468" s="124"/>
      <c r="AL468" s="17"/>
      <c r="AM468" s="17"/>
      <c r="AN468" s="263"/>
      <c r="AO468" s="1"/>
      <c r="AP468" s="1"/>
      <c r="AQ468" s="307"/>
      <c r="AR468" s="1"/>
      <c r="AS468" s="11"/>
      <c r="AT468" s="11"/>
      <c r="AU468" s="214"/>
      <c r="AV468" s="268"/>
      <c r="AW468" s="1"/>
      <c r="AX468" s="210"/>
      <c r="AY468" s="60"/>
      <c r="AZ468" s="15"/>
      <c r="BA468" s="15"/>
      <c r="BB468" s="1"/>
      <c r="BC468" s="49" t="e">
        <f>IF(OR(#REF!="",#REF!="")=TRUE,"",NETWORKDAYS.INTL(#REF!,#REF!))</f>
        <v>#REF!</v>
      </c>
    </row>
    <row r="469" spans="1:55" x14ac:dyDescent="0.45">
      <c r="A469" s="13"/>
      <c r="B469" s="155"/>
      <c r="C469" s="85"/>
      <c r="D469" s="1"/>
      <c r="E469" s="1"/>
      <c r="F469" s="1"/>
      <c r="G469" s="1"/>
      <c r="H469" s="307"/>
      <c r="I469" s="1"/>
      <c r="J469" s="1"/>
      <c r="K469" s="15"/>
      <c r="L469" s="17"/>
      <c r="M469" s="238"/>
      <c r="N469" s="17"/>
      <c r="O469" s="15"/>
      <c r="P469" s="17"/>
      <c r="Q469" s="307"/>
      <c r="R469" s="238"/>
      <c r="S469" s="17"/>
      <c r="T469" s="15"/>
      <c r="U469" s="17"/>
      <c r="V469" s="262"/>
      <c r="W469" s="262"/>
      <c r="X469" s="1"/>
      <c r="Y469" s="1"/>
      <c r="Z469" s="1"/>
      <c r="AA469" s="1"/>
      <c r="AB469" s="1"/>
      <c r="AC469" s="1"/>
      <c r="AD469" s="1"/>
      <c r="AE469" s="1"/>
      <c r="AF469" s="1"/>
      <c r="AG469" s="15"/>
      <c r="AH469" s="15"/>
      <c r="AI469" s="17"/>
      <c r="AJ469" s="15"/>
      <c r="AK469" s="124"/>
      <c r="AL469" s="17"/>
      <c r="AM469" s="17"/>
      <c r="AN469" s="263"/>
      <c r="AO469" s="1"/>
      <c r="AP469" s="1"/>
      <c r="AQ469" s="307"/>
      <c r="AR469" s="1"/>
      <c r="AS469" s="11"/>
      <c r="AT469" s="11"/>
      <c r="AU469" s="214"/>
      <c r="AV469" s="268"/>
      <c r="AW469" s="1"/>
      <c r="AX469" s="210"/>
      <c r="AY469" s="60"/>
      <c r="AZ469" s="15"/>
      <c r="BA469" s="15"/>
      <c r="BB469" s="1"/>
      <c r="BC469" s="49" t="e">
        <f>IF(OR(#REF!="",#REF!="")=TRUE,"",NETWORKDAYS.INTL(#REF!,#REF!))</f>
        <v>#REF!</v>
      </c>
    </row>
    <row r="470" spans="1:55" x14ac:dyDescent="0.45">
      <c r="A470" s="13"/>
      <c r="B470" s="155"/>
      <c r="C470" s="85"/>
      <c r="D470" s="1"/>
      <c r="E470" s="1"/>
      <c r="F470" s="1"/>
      <c r="G470" s="1"/>
      <c r="H470" s="307"/>
      <c r="I470" s="1"/>
      <c r="J470" s="1"/>
      <c r="K470" s="15"/>
      <c r="L470" s="17"/>
      <c r="M470" s="238"/>
      <c r="N470" s="17"/>
      <c r="O470" s="15"/>
      <c r="P470" s="17"/>
      <c r="Q470" s="307"/>
      <c r="R470" s="238"/>
      <c r="S470" s="17"/>
      <c r="T470" s="15"/>
      <c r="U470" s="17"/>
      <c r="V470" s="262"/>
      <c r="W470" s="262"/>
      <c r="X470" s="1"/>
      <c r="Y470" s="1"/>
      <c r="Z470" s="1"/>
      <c r="AA470" s="1"/>
      <c r="AB470" s="1"/>
      <c r="AC470" s="1"/>
      <c r="AD470" s="1"/>
      <c r="AE470" s="1"/>
      <c r="AF470" s="1"/>
      <c r="AG470" s="15"/>
      <c r="AH470" s="15"/>
      <c r="AI470" s="17"/>
      <c r="AJ470" s="15"/>
      <c r="AK470" s="124"/>
      <c r="AL470" s="17"/>
      <c r="AM470" s="17"/>
      <c r="AN470" s="263"/>
      <c r="AO470" s="1"/>
      <c r="AP470" s="1"/>
      <c r="AQ470" s="307"/>
      <c r="AR470" s="1"/>
      <c r="AS470" s="11"/>
      <c r="AT470" s="11"/>
      <c r="AU470" s="214"/>
      <c r="AV470" s="268"/>
      <c r="AW470" s="1"/>
      <c r="AX470" s="210"/>
      <c r="AY470" s="60"/>
      <c r="AZ470" s="15"/>
      <c r="BA470" s="15"/>
      <c r="BB470" s="1"/>
      <c r="BC470" s="49" t="e">
        <f>IF(OR(#REF!="",#REF!="")=TRUE,"",NETWORKDAYS.INTL(#REF!,#REF!))</f>
        <v>#REF!</v>
      </c>
    </row>
    <row r="471" spans="1:55" x14ac:dyDescent="0.45">
      <c r="A471" s="12"/>
      <c r="B471" s="150"/>
      <c r="C471" s="53"/>
      <c r="D471" s="1"/>
      <c r="E471" s="1"/>
      <c r="F471" s="1"/>
      <c r="G471" s="1"/>
      <c r="H471" s="307"/>
      <c r="I471" s="1"/>
      <c r="J471" s="1"/>
      <c r="K471" s="15"/>
      <c r="L471" s="17"/>
      <c r="M471" s="238"/>
      <c r="N471" s="17"/>
      <c r="O471" s="15"/>
      <c r="P471" s="17"/>
      <c r="Q471" s="307"/>
      <c r="R471" s="238"/>
      <c r="S471" s="17"/>
      <c r="T471" s="15"/>
      <c r="U471" s="17"/>
      <c r="V471" s="262"/>
      <c r="W471" s="262"/>
      <c r="X471" s="1"/>
      <c r="Y471" s="1"/>
      <c r="Z471" s="1"/>
      <c r="AA471" s="1"/>
      <c r="AB471" s="1"/>
      <c r="AC471" s="1"/>
      <c r="AD471" s="1"/>
      <c r="AE471" s="1"/>
      <c r="AF471" s="1"/>
      <c r="AG471" s="15"/>
      <c r="AH471" s="15"/>
      <c r="AI471" s="17"/>
      <c r="AJ471" s="15"/>
      <c r="AK471" s="124"/>
      <c r="AL471" s="17"/>
      <c r="AM471" s="17"/>
      <c r="AN471" s="263"/>
      <c r="AO471" s="1"/>
      <c r="AP471" s="1"/>
      <c r="AQ471" s="307"/>
      <c r="AR471" s="1"/>
      <c r="AS471" s="11"/>
      <c r="AT471" s="11"/>
      <c r="AU471" s="214"/>
      <c r="AV471" s="268"/>
      <c r="AW471" s="1"/>
      <c r="AX471" s="210"/>
      <c r="AY471" s="60"/>
      <c r="AZ471" s="15"/>
      <c r="BA471" s="15"/>
      <c r="BB471" s="1"/>
      <c r="BC471" s="49" t="e">
        <f>IF(OR(#REF!="",#REF!="")=TRUE,"",NETWORKDAYS.INTL(#REF!,#REF!))</f>
        <v>#REF!</v>
      </c>
    </row>
    <row r="472" spans="1:55" x14ac:dyDescent="0.45">
      <c r="A472" s="13"/>
      <c r="B472" s="155"/>
      <c r="C472" s="85"/>
      <c r="D472" s="1"/>
      <c r="E472" s="1"/>
      <c r="F472" s="1"/>
      <c r="G472" s="1"/>
      <c r="H472" s="307"/>
      <c r="I472" s="1"/>
      <c r="J472" s="1"/>
      <c r="K472" s="15"/>
      <c r="L472" s="17"/>
      <c r="M472" s="238"/>
      <c r="N472" s="17"/>
      <c r="O472" s="15"/>
      <c r="P472" s="17"/>
      <c r="Q472" s="307"/>
      <c r="R472" s="238"/>
      <c r="S472" s="17"/>
      <c r="T472" s="15"/>
      <c r="U472" s="17"/>
      <c r="V472" s="262"/>
      <c r="W472" s="262"/>
      <c r="X472" s="1"/>
      <c r="Y472" s="1"/>
      <c r="Z472" s="1"/>
      <c r="AA472" s="1"/>
      <c r="AB472" s="1"/>
      <c r="AC472" s="1"/>
      <c r="AD472" s="1"/>
      <c r="AE472" s="1"/>
      <c r="AF472" s="1"/>
      <c r="AG472" s="15"/>
      <c r="AH472" s="15"/>
      <c r="AI472" s="17"/>
      <c r="AJ472" s="15"/>
      <c r="AK472" s="124"/>
      <c r="AL472" s="17"/>
      <c r="AM472" s="17"/>
      <c r="AN472" s="263"/>
      <c r="AO472" s="1"/>
      <c r="AP472" s="1"/>
      <c r="AQ472" s="307"/>
      <c r="AR472" s="1"/>
      <c r="AS472" s="11"/>
      <c r="AT472" s="11"/>
      <c r="AU472" s="214"/>
      <c r="AV472" s="268"/>
      <c r="AW472" s="1"/>
      <c r="AX472" s="210"/>
      <c r="AY472" s="60"/>
      <c r="AZ472" s="15"/>
      <c r="BA472" s="15"/>
      <c r="BB472" s="1"/>
      <c r="BC472" s="49" t="e">
        <f>IF(OR(#REF!="",#REF!="")=TRUE,"",NETWORKDAYS.INTL(#REF!,#REF!))</f>
        <v>#REF!</v>
      </c>
    </row>
    <row r="473" spans="1:55" x14ac:dyDescent="0.45">
      <c r="A473" s="13"/>
      <c r="B473" s="155"/>
      <c r="C473" s="85"/>
      <c r="D473" s="1"/>
      <c r="E473" s="1"/>
      <c r="F473" s="1"/>
      <c r="G473" s="1"/>
      <c r="H473" s="307"/>
      <c r="I473" s="1"/>
      <c r="J473" s="1"/>
      <c r="K473" s="15"/>
      <c r="L473" s="17"/>
      <c r="M473" s="238"/>
      <c r="N473" s="17"/>
      <c r="O473" s="15"/>
      <c r="P473" s="17"/>
      <c r="Q473" s="307"/>
      <c r="R473" s="238"/>
      <c r="S473" s="17"/>
      <c r="T473" s="15"/>
      <c r="U473" s="17"/>
      <c r="V473" s="262"/>
      <c r="W473" s="262"/>
      <c r="X473" s="1"/>
      <c r="Y473" s="1"/>
      <c r="Z473" s="1"/>
      <c r="AA473" s="1"/>
      <c r="AB473" s="1"/>
      <c r="AC473" s="1"/>
      <c r="AD473" s="1"/>
      <c r="AE473" s="1"/>
      <c r="AF473" s="1"/>
      <c r="AG473" s="15"/>
      <c r="AH473" s="15"/>
      <c r="AI473" s="17"/>
      <c r="AJ473" s="15"/>
      <c r="AK473" s="124"/>
      <c r="AL473" s="17"/>
      <c r="AM473" s="17"/>
      <c r="AN473" s="263"/>
      <c r="AO473" s="1"/>
      <c r="AP473" s="1"/>
      <c r="AQ473" s="307"/>
      <c r="AR473" s="1"/>
      <c r="AS473" s="11"/>
      <c r="AT473" s="11"/>
      <c r="AU473" s="214"/>
      <c r="AV473" s="268"/>
      <c r="AW473" s="1"/>
      <c r="AX473" s="210"/>
      <c r="AY473" s="60"/>
      <c r="AZ473" s="15"/>
      <c r="BA473" s="15"/>
      <c r="BB473" s="1"/>
      <c r="BC473" s="49" t="e">
        <f>IF(OR(#REF!="",#REF!="")=TRUE,"",NETWORKDAYS.INTL(#REF!,#REF!))</f>
        <v>#REF!</v>
      </c>
    </row>
    <row r="474" spans="1:55" x14ac:dyDescent="0.45">
      <c r="A474" s="12"/>
      <c r="B474" s="150"/>
      <c r="C474" s="53"/>
      <c r="D474" s="1"/>
      <c r="E474" s="1"/>
      <c r="F474" s="1"/>
      <c r="G474" s="1"/>
      <c r="H474" s="307"/>
      <c r="I474" s="1"/>
      <c r="J474" s="1"/>
      <c r="K474" s="15"/>
      <c r="L474" s="17"/>
      <c r="M474" s="238"/>
      <c r="N474" s="17"/>
      <c r="O474" s="15"/>
      <c r="P474" s="17"/>
      <c r="Q474" s="307"/>
      <c r="R474" s="238"/>
      <c r="S474" s="17"/>
      <c r="T474" s="15"/>
      <c r="U474" s="17"/>
      <c r="V474" s="262"/>
      <c r="W474" s="262"/>
      <c r="X474" s="1"/>
      <c r="Y474" s="1"/>
      <c r="Z474" s="1"/>
      <c r="AA474" s="1"/>
      <c r="AB474" s="1"/>
      <c r="AC474" s="1"/>
      <c r="AD474" s="1"/>
      <c r="AE474" s="1"/>
      <c r="AF474" s="1"/>
      <c r="AG474" s="15"/>
      <c r="AH474" s="15"/>
      <c r="AI474" s="17"/>
      <c r="AJ474" s="15"/>
      <c r="AK474" s="124"/>
      <c r="AL474" s="17"/>
      <c r="AM474" s="17"/>
      <c r="AN474" s="263"/>
      <c r="AO474" s="1"/>
      <c r="AP474" s="1"/>
      <c r="AQ474" s="307"/>
      <c r="AR474" s="1"/>
      <c r="AS474" s="11"/>
      <c r="AT474" s="11"/>
      <c r="AU474" s="214"/>
      <c r="AV474" s="268"/>
      <c r="AW474" s="1"/>
      <c r="AX474" s="210"/>
      <c r="AY474" s="60"/>
      <c r="AZ474" s="15"/>
      <c r="BA474" s="15"/>
      <c r="BB474" s="1"/>
      <c r="BC474" s="49" t="e">
        <f>IF(OR(#REF!="",#REF!="")=TRUE,"",NETWORKDAYS.INTL(#REF!,#REF!))</f>
        <v>#REF!</v>
      </c>
    </row>
    <row r="475" spans="1:55" x14ac:dyDescent="0.45">
      <c r="A475" s="13"/>
      <c r="B475" s="155"/>
      <c r="C475" s="85"/>
      <c r="D475" s="1"/>
      <c r="E475" s="1"/>
      <c r="F475" s="1"/>
      <c r="G475" s="1"/>
      <c r="H475" s="307"/>
      <c r="I475" s="1"/>
      <c r="J475" s="1"/>
      <c r="K475" s="15"/>
      <c r="L475" s="17"/>
      <c r="M475" s="238"/>
      <c r="N475" s="17"/>
      <c r="O475" s="15"/>
      <c r="P475" s="17"/>
      <c r="Q475" s="307"/>
      <c r="R475" s="238"/>
      <c r="S475" s="17"/>
      <c r="T475" s="15"/>
      <c r="U475" s="17"/>
      <c r="V475" s="262"/>
      <c r="W475" s="262"/>
      <c r="X475" s="1"/>
      <c r="Y475" s="1"/>
      <c r="Z475" s="1"/>
      <c r="AA475" s="1"/>
      <c r="AB475" s="1"/>
      <c r="AC475" s="1"/>
      <c r="AD475" s="1"/>
      <c r="AE475" s="1"/>
      <c r="AF475" s="1"/>
      <c r="AG475" s="15"/>
      <c r="AH475" s="15"/>
      <c r="AI475" s="17"/>
      <c r="AJ475" s="15"/>
      <c r="AK475" s="124"/>
      <c r="AL475" s="17"/>
      <c r="AM475" s="17"/>
      <c r="AN475" s="263"/>
      <c r="AO475" s="1"/>
      <c r="AP475" s="1"/>
      <c r="AQ475" s="307"/>
      <c r="AR475" s="1"/>
      <c r="AS475" s="11"/>
      <c r="AT475" s="11"/>
      <c r="AU475" s="214"/>
      <c r="AV475" s="268"/>
      <c r="AW475" s="1"/>
      <c r="AX475" s="210"/>
      <c r="AY475" s="60"/>
      <c r="AZ475" s="15"/>
      <c r="BA475" s="15"/>
      <c r="BB475" s="1"/>
      <c r="BC475" s="49" t="e">
        <f>IF(OR(#REF!="",#REF!="")=TRUE,"",NETWORKDAYS.INTL(#REF!,#REF!))</f>
        <v>#REF!</v>
      </c>
    </row>
    <row r="476" spans="1:55" x14ac:dyDescent="0.45">
      <c r="A476" s="13"/>
      <c r="B476" s="155"/>
      <c r="C476" s="85"/>
      <c r="D476" s="1"/>
      <c r="E476" s="1"/>
      <c r="F476" s="1"/>
      <c r="G476" s="1"/>
      <c r="H476" s="307"/>
      <c r="I476" s="1"/>
      <c r="J476" s="1"/>
      <c r="K476" s="15"/>
      <c r="L476" s="17"/>
      <c r="M476" s="238"/>
      <c r="N476" s="17"/>
      <c r="O476" s="15"/>
      <c r="P476" s="17"/>
      <c r="Q476" s="307"/>
      <c r="R476" s="238"/>
      <c r="S476" s="17"/>
      <c r="T476" s="15"/>
      <c r="U476" s="17"/>
      <c r="V476" s="262"/>
      <c r="W476" s="262"/>
      <c r="X476" s="1"/>
      <c r="Y476" s="1"/>
      <c r="Z476" s="1"/>
      <c r="AA476" s="1"/>
      <c r="AB476" s="1"/>
      <c r="AC476" s="1"/>
      <c r="AD476" s="1"/>
      <c r="AE476" s="1"/>
      <c r="AF476" s="1"/>
      <c r="AG476" s="15"/>
      <c r="AH476" s="15"/>
      <c r="AI476" s="17"/>
      <c r="AJ476" s="15"/>
      <c r="AK476" s="124"/>
      <c r="AL476" s="17"/>
      <c r="AM476" s="17"/>
      <c r="AN476" s="263"/>
      <c r="AO476" s="1"/>
      <c r="AP476" s="1"/>
      <c r="AQ476" s="307"/>
      <c r="AR476" s="1"/>
      <c r="AS476" s="11"/>
      <c r="AT476" s="11"/>
      <c r="AU476" s="214"/>
      <c r="AV476" s="268"/>
      <c r="AW476" s="1"/>
      <c r="AX476" s="210"/>
      <c r="AY476" s="60"/>
      <c r="AZ476" s="15"/>
      <c r="BA476" s="15"/>
      <c r="BB476" s="1"/>
      <c r="BC476" s="49" t="e">
        <f>IF(OR(#REF!="",#REF!="")=TRUE,"",NETWORKDAYS.INTL(#REF!,#REF!))</f>
        <v>#REF!</v>
      </c>
    </row>
    <row r="477" spans="1:55" x14ac:dyDescent="0.45">
      <c r="A477" s="12"/>
      <c r="B477" s="150"/>
      <c r="C477" s="53"/>
      <c r="D477" s="1"/>
      <c r="E477" s="1"/>
      <c r="F477" s="1"/>
      <c r="G477" s="1"/>
      <c r="H477" s="307"/>
      <c r="I477" s="1"/>
      <c r="J477" s="1"/>
      <c r="K477" s="15"/>
      <c r="L477" s="17"/>
      <c r="M477" s="238"/>
      <c r="N477" s="17"/>
      <c r="O477" s="15"/>
      <c r="P477" s="17"/>
      <c r="Q477" s="307"/>
      <c r="R477" s="238"/>
      <c r="S477" s="17"/>
      <c r="T477" s="15"/>
      <c r="U477" s="17"/>
      <c r="V477" s="262"/>
      <c r="W477" s="262"/>
      <c r="X477" s="1"/>
      <c r="Y477" s="1"/>
      <c r="Z477" s="1"/>
      <c r="AA477" s="1"/>
      <c r="AB477" s="1"/>
      <c r="AC477" s="1"/>
      <c r="AD477" s="1"/>
      <c r="AE477" s="1"/>
      <c r="AF477" s="1"/>
      <c r="AG477" s="15"/>
      <c r="AH477" s="15"/>
      <c r="AI477" s="17"/>
      <c r="AJ477" s="15"/>
      <c r="AK477" s="124"/>
      <c r="AL477" s="17"/>
      <c r="AM477" s="17"/>
      <c r="AN477" s="263"/>
      <c r="AO477" s="1"/>
      <c r="AP477" s="1"/>
      <c r="AQ477" s="307"/>
      <c r="AR477" s="1"/>
      <c r="AS477" s="11"/>
      <c r="AT477" s="11"/>
      <c r="AU477" s="214"/>
      <c r="AV477" s="268"/>
      <c r="AW477" s="1"/>
      <c r="AX477" s="210"/>
      <c r="AY477" s="60"/>
      <c r="AZ477" s="15"/>
      <c r="BA477" s="15"/>
      <c r="BB477" s="1"/>
      <c r="BC477" s="49" t="e">
        <f>IF(OR(#REF!="",#REF!="")=TRUE,"",NETWORKDAYS.INTL(#REF!,#REF!))</f>
        <v>#REF!</v>
      </c>
    </row>
    <row r="478" spans="1:55" x14ac:dyDescent="0.45">
      <c r="A478" s="13">
        <v>473</v>
      </c>
      <c r="B478" s="155"/>
      <c r="C478" s="85"/>
      <c r="D478" s="1"/>
      <c r="E478" s="1"/>
      <c r="F478" s="1"/>
      <c r="G478" s="1"/>
      <c r="H478" s="307"/>
      <c r="I478" s="1"/>
      <c r="J478" s="1"/>
      <c r="K478" s="15"/>
      <c r="L478" s="17"/>
      <c r="M478" s="238"/>
      <c r="N478" s="17"/>
      <c r="O478" s="15"/>
      <c r="P478" s="17"/>
      <c r="Q478" s="307"/>
      <c r="R478" s="238"/>
      <c r="S478" s="17"/>
      <c r="T478" s="15"/>
      <c r="U478" s="17"/>
      <c r="V478" s="262"/>
      <c r="W478" s="262"/>
      <c r="X478" s="1"/>
      <c r="Y478" s="1"/>
      <c r="Z478" s="1"/>
      <c r="AA478" s="1"/>
      <c r="AB478" s="1"/>
      <c r="AC478" s="1"/>
      <c r="AD478" s="1"/>
      <c r="AE478" s="1"/>
      <c r="AF478" s="1"/>
      <c r="AG478" s="15"/>
      <c r="AH478" s="15"/>
      <c r="AI478" s="17"/>
      <c r="AJ478" s="15"/>
      <c r="AK478" s="124"/>
      <c r="AL478" s="17"/>
      <c r="AM478" s="17"/>
      <c r="AN478" s="263"/>
      <c r="AO478" s="1"/>
      <c r="AP478" s="1"/>
      <c r="AQ478" s="307"/>
      <c r="AR478" s="1"/>
      <c r="AS478" s="11"/>
      <c r="AT478" s="11"/>
      <c r="AU478" s="214"/>
      <c r="AV478" s="268"/>
      <c r="AW478" s="1"/>
      <c r="AX478" s="210"/>
      <c r="AY478" s="60"/>
      <c r="AZ478" s="15"/>
      <c r="BA478" s="15"/>
      <c r="BB478" s="1"/>
      <c r="BC478" s="49" t="e">
        <f>IF(OR(#REF!="",#REF!="")=TRUE,"",NETWORKDAYS.INTL(#REF!,#REF!))</f>
        <v>#REF!</v>
      </c>
    </row>
    <row r="479" spans="1:55" x14ac:dyDescent="0.45">
      <c r="A479" s="13">
        <v>474</v>
      </c>
      <c r="B479" s="155"/>
      <c r="C479" s="85"/>
      <c r="D479" s="1"/>
      <c r="E479" s="1"/>
      <c r="F479" s="1"/>
      <c r="G479" s="1"/>
      <c r="H479" s="307"/>
      <c r="I479" s="1"/>
      <c r="J479" s="1"/>
      <c r="K479" s="15"/>
      <c r="L479" s="17"/>
      <c r="M479" s="238"/>
      <c r="N479" s="17"/>
      <c r="O479" s="15"/>
      <c r="P479" s="17"/>
      <c r="Q479" s="307"/>
      <c r="R479" s="238"/>
      <c r="S479" s="17"/>
      <c r="T479" s="15"/>
      <c r="U479" s="17"/>
      <c r="V479" s="262"/>
      <c r="W479" s="262"/>
      <c r="X479" s="1"/>
      <c r="Y479" s="1"/>
      <c r="Z479" s="1"/>
      <c r="AA479" s="1"/>
      <c r="AB479" s="1"/>
      <c r="AC479" s="1"/>
      <c r="AD479" s="1"/>
      <c r="AE479" s="1"/>
      <c r="AF479" s="1"/>
      <c r="AG479" s="15"/>
      <c r="AH479" s="15"/>
      <c r="AI479" s="17"/>
      <c r="AJ479" s="15"/>
      <c r="AK479" s="124"/>
      <c r="AL479" s="17"/>
      <c r="AM479" s="17"/>
      <c r="AN479" s="263"/>
      <c r="AO479" s="1"/>
      <c r="AP479" s="1"/>
      <c r="AQ479" s="307"/>
      <c r="AR479" s="1"/>
      <c r="AS479" s="11"/>
      <c r="AT479" s="11"/>
      <c r="AU479" s="214"/>
      <c r="AV479" s="268"/>
      <c r="AW479" s="1"/>
      <c r="AX479" s="210"/>
      <c r="AY479" s="60"/>
      <c r="AZ479" s="15"/>
      <c r="BA479" s="15"/>
      <c r="BB479" s="1"/>
      <c r="BC479" s="49" t="e">
        <f>IF(OR(#REF!="",#REF!="")=TRUE,"",NETWORKDAYS.INTL(#REF!,#REF!))</f>
        <v>#REF!</v>
      </c>
    </row>
    <row r="480" spans="1:55" x14ac:dyDescent="0.45">
      <c r="A480" s="12">
        <v>475</v>
      </c>
      <c r="B480" s="150"/>
      <c r="C480" s="53"/>
      <c r="D480" s="1"/>
      <c r="E480" s="1"/>
      <c r="F480" s="1"/>
      <c r="G480" s="1"/>
      <c r="H480" s="307"/>
      <c r="I480" s="1"/>
      <c r="J480" s="1"/>
      <c r="K480" s="15"/>
      <c r="L480" s="17"/>
      <c r="M480" s="238"/>
      <c r="N480" s="17"/>
      <c r="O480" s="15"/>
      <c r="P480" s="17"/>
      <c r="Q480" s="307"/>
      <c r="R480" s="238"/>
      <c r="S480" s="17"/>
      <c r="T480" s="15"/>
      <c r="U480" s="17"/>
      <c r="V480" s="262"/>
      <c r="W480" s="262"/>
      <c r="X480" s="1"/>
      <c r="Y480" s="1"/>
      <c r="Z480" s="1"/>
      <c r="AA480" s="1"/>
      <c r="AB480" s="1"/>
      <c r="AC480" s="1"/>
      <c r="AD480" s="1"/>
      <c r="AE480" s="1"/>
      <c r="AF480" s="1"/>
      <c r="AG480" s="15"/>
      <c r="AH480" s="15"/>
      <c r="AI480" s="17"/>
      <c r="AJ480" s="15"/>
      <c r="AK480" s="124"/>
      <c r="AL480" s="17"/>
      <c r="AM480" s="17"/>
      <c r="AN480" s="263"/>
      <c r="AO480" s="1"/>
      <c r="AP480" s="1"/>
      <c r="AQ480" s="307"/>
      <c r="AR480" s="1"/>
      <c r="AS480" s="11"/>
      <c r="AT480" s="11"/>
      <c r="AU480" s="214"/>
      <c r="AV480" s="268"/>
      <c r="AW480" s="1"/>
      <c r="AX480" s="210"/>
      <c r="AY480" s="60"/>
      <c r="AZ480" s="15"/>
      <c r="BA480" s="15"/>
      <c r="BB480" s="1"/>
      <c r="BC480" s="49" t="e">
        <f>IF(OR(#REF!="",#REF!="")=TRUE,"",NETWORKDAYS.INTL(#REF!,#REF!))</f>
        <v>#REF!</v>
      </c>
    </row>
    <row r="481" spans="1:55" x14ac:dyDescent="0.45">
      <c r="A481" s="13">
        <v>476</v>
      </c>
      <c r="B481" s="155"/>
      <c r="C481" s="85"/>
      <c r="D481" s="1"/>
      <c r="E481" s="1"/>
      <c r="F481" s="1"/>
      <c r="G481" s="1"/>
      <c r="H481" s="307"/>
      <c r="I481" s="1"/>
      <c r="J481" s="1"/>
      <c r="K481" s="15"/>
      <c r="L481" s="17"/>
      <c r="M481" s="238"/>
      <c r="N481" s="17"/>
      <c r="O481" s="15"/>
      <c r="P481" s="17"/>
      <c r="Q481" s="307"/>
      <c r="R481" s="238"/>
      <c r="S481" s="17"/>
      <c r="T481" s="15"/>
      <c r="U481" s="17"/>
      <c r="V481" s="262"/>
      <c r="W481" s="262"/>
      <c r="X481" s="1"/>
      <c r="Y481" s="1"/>
      <c r="Z481" s="1"/>
      <c r="AA481" s="1"/>
      <c r="AB481" s="1"/>
      <c r="AC481" s="1"/>
      <c r="AD481" s="1"/>
      <c r="AE481" s="1"/>
      <c r="AF481" s="1"/>
      <c r="AG481" s="15"/>
      <c r="AH481" s="15"/>
      <c r="AI481" s="17"/>
      <c r="AJ481" s="15"/>
      <c r="AK481" s="124"/>
      <c r="AL481" s="17"/>
      <c r="AM481" s="17"/>
      <c r="AN481" s="263"/>
      <c r="AO481" s="1"/>
      <c r="AP481" s="1"/>
      <c r="AQ481" s="307"/>
      <c r="AR481" s="1"/>
      <c r="AS481" s="11"/>
      <c r="AT481" s="11"/>
      <c r="AU481" s="214"/>
      <c r="AV481" s="268"/>
      <c r="AW481" s="1"/>
      <c r="AX481" s="210"/>
      <c r="AY481" s="60"/>
      <c r="AZ481" s="15"/>
      <c r="BA481" s="15"/>
      <c r="BB481" s="1"/>
      <c r="BC481" s="49" t="e">
        <f>IF(OR(#REF!="",#REF!="")=TRUE,"",NETWORKDAYS.INTL(#REF!,#REF!))</f>
        <v>#REF!</v>
      </c>
    </row>
    <row r="482" spans="1:55" x14ac:dyDescent="0.45">
      <c r="A482" s="13">
        <v>477</v>
      </c>
      <c r="B482" s="155"/>
      <c r="C482" s="85"/>
      <c r="D482" s="1"/>
      <c r="E482" s="1"/>
      <c r="F482" s="1"/>
      <c r="G482" s="1"/>
      <c r="H482" s="307"/>
      <c r="I482" s="1"/>
      <c r="J482" s="1"/>
      <c r="K482" s="15"/>
      <c r="L482" s="17"/>
      <c r="M482" s="238"/>
      <c r="N482" s="17"/>
      <c r="O482" s="15"/>
      <c r="P482" s="17"/>
      <c r="Q482" s="307"/>
      <c r="R482" s="238"/>
      <c r="S482" s="17"/>
      <c r="T482" s="15"/>
      <c r="U482" s="17"/>
      <c r="V482" s="262"/>
      <c r="W482" s="262"/>
      <c r="X482" s="1"/>
      <c r="Y482" s="1"/>
      <c r="Z482" s="1"/>
      <c r="AA482" s="1"/>
      <c r="AB482" s="1"/>
      <c r="AC482" s="1"/>
      <c r="AD482" s="1"/>
      <c r="AE482" s="1"/>
      <c r="AF482" s="1"/>
      <c r="AG482" s="15"/>
      <c r="AH482" s="15"/>
      <c r="AI482" s="17"/>
      <c r="AJ482" s="15"/>
      <c r="AK482" s="124"/>
      <c r="AL482" s="17"/>
      <c r="AM482" s="17"/>
      <c r="AN482" s="263"/>
      <c r="AO482" s="1"/>
      <c r="AP482" s="1"/>
      <c r="AQ482" s="307"/>
      <c r="AR482" s="1"/>
      <c r="AS482" s="11"/>
      <c r="AT482" s="11"/>
      <c r="AU482" s="214"/>
      <c r="AV482" s="268"/>
      <c r="AW482" s="1"/>
      <c r="AX482" s="210"/>
      <c r="AY482" s="60"/>
      <c r="AZ482" s="15"/>
      <c r="BA482" s="15"/>
      <c r="BB482" s="1"/>
      <c r="BC482" s="49" t="e">
        <f>IF(OR(#REF!="",#REF!="")=TRUE,"",NETWORKDAYS.INTL(#REF!,#REF!))</f>
        <v>#REF!</v>
      </c>
    </row>
    <row r="483" spans="1:55" x14ac:dyDescent="0.45">
      <c r="A483" s="12">
        <v>478</v>
      </c>
      <c r="B483" s="150"/>
      <c r="C483" s="53"/>
      <c r="D483" s="1"/>
      <c r="E483" s="1"/>
      <c r="F483" s="1"/>
      <c r="G483" s="1"/>
      <c r="H483" s="307"/>
      <c r="I483" s="1"/>
      <c r="J483" s="1"/>
      <c r="K483" s="15"/>
      <c r="L483" s="17"/>
      <c r="M483" s="238"/>
      <c r="N483" s="17"/>
      <c r="O483" s="15"/>
      <c r="P483" s="17"/>
      <c r="Q483" s="307"/>
      <c r="R483" s="238"/>
      <c r="S483" s="17"/>
      <c r="T483" s="15"/>
      <c r="U483" s="17"/>
      <c r="V483" s="262"/>
      <c r="W483" s="262"/>
      <c r="X483" s="1"/>
      <c r="Y483" s="1"/>
      <c r="Z483" s="1"/>
      <c r="AA483" s="1"/>
      <c r="AB483" s="1"/>
      <c r="AC483" s="1"/>
      <c r="AD483" s="1"/>
      <c r="AE483" s="1"/>
      <c r="AF483" s="1"/>
      <c r="AG483" s="15"/>
      <c r="AH483" s="15"/>
      <c r="AI483" s="17"/>
      <c r="AJ483" s="15"/>
      <c r="AK483" s="124"/>
      <c r="AL483" s="17"/>
      <c r="AM483" s="17"/>
      <c r="AN483" s="263"/>
      <c r="AO483" s="1"/>
      <c r="AP483" s="1"/>
      <c r="AQ483" s="307"/>
      <c r="AR483" s="1"/>
      <c r="AS483" s="11"/>
      <c r="AT483" s="11"/>
      <c r="AU483" s="214"/>
      <c r="AV483" s="268"/>
      <c r="AW483" s="1"/>
      <c r="AX483" s="210"/>
      <c r="AY483" s="60"/>
      <c r="AZ483" s="15"/>
      <c r="BA483" s="15"/>
      <c r="BB483" s="1"/>
      <c r="BC483" s="49" t="e">
        <f>IF(OR(#REF!="",#REF!="")=TRUE,"",NETWORKDAYS.INTL(#REF!,#REF!))</f>
        <v>#REF!</v>
      </c>
    </row>
    <row r="484" spans="1:55" x14ac:dyDescent="0.45">
      <c r="A484" s="13">
        <v>479</v>
      </c>
      <c r="B484" s="155"/>
      <c r="C484" s="85"/>
      <c r="D484" s="1"/>
      <c r="E484" s="1"/>
      <c r="F484" s="1"/>
      <c r="G484" s="1"/>
      <c r="H484" s="307"/>
      <c r="I484" s="1"/>
      <c r="J484" s="1"/>
      <c r="K484" s="15"/>
      <c r="L484" s="17"/>
      <c r="M484" s="238"/>
      <c r="N484" s="17"/>
      <c r="O484" s="15"/>
      <c r="P484" s="17"/>
      <c r="Q484" s="307"/>
      <c r="R484" s="238"/>
      <c r="S484" s="17"/>
      <c r="T484" s="15"/>
      <c r="U484" s="17"/>
      <c r="V484" s="262"/>
      <c r="W484" s="262"/>
      <c r="X484" s="1"/>
      <c r="Y484" s="1"/>
      <c r="Z484" s="1"/>
      <c r="AA484" s="1"/>
      <c r="AB484" s="1"/>
      <c r="AC484" s="1"/>
      <c r="AD484" s="1"/>
      <c r="AE484" s="1"/>
      <c r="AF484" s="1"/>
      <c r="AG484" s="15"/>
      <c r="AH484" s="15"/>
      <c r="AI484" s="17"/>
      <c r="AJ484" s="15"/>
      <c r="AK484" s="124"/>
      <c r="AL484" s="17"/>
      <c r="AM484" s="17"/>
      <c r="AN484" s="263"/>
      <c r="AO484" s="1"/>
      <c r="AP484" s="1"/>
      <c r="AQ484" s="307"/>
      <c r="AR484" s="1"/>
      <c r="AS484" s="11"/>
      <c r="AT484" s="11"/>
      <c r="AU484" s="214"/>
      <c r="AV484" s="268"/>
      <c r="AW484" s="1"/>
      <c r="AX484" s="210"/>
      <c r="AY484" s="60"/>
      <c r="AZ484" s="15"/>
      <c r="BA484" s="15"/>
      <c r="BB484" s="1"/>
      <c r="BC484" s="49" t="e">
        <f>IF(OR(#REF!="",#REF!="")=TRUE,"",NETWORKDAYS.INTL(#REF!,#REF!))</f>
        <v>#REF!</v>
      </c>
    </row>
    <row r="485" spans="1:55" x14ac:dyDescent="0.45">
      <c r="A485" s="13">
        <v>480</v>
      </c>
      <c r="B485" s="155"/>
      <c r="C485" s="85"/>
      <c r="D485" s="1"/>
      <c r="E485" s="1"/>
      <c r="F485" s="1"/>
      <c r="G485" s="1"/>
      <c r="H485" s="307"/>
      <c r="I485" s="1"/>
      <c r="J485" s="1"/>
      <c r="K485" s="15"/>
      <c r="L485" s="17"/>
      <c r="M485" s="238"/>
      <c r="N485" s="17"/>
      <c r="O485" s="15"/>
      <c r="P485" s="17"/>
      <c r="Q485" s="307"/>
      <c r="R485" s="238"/>
      <c r="S485" s="17"/>
      <c r="T485" s="15"/>
      <c r="U485" s="17"/>
      <c r="V485" s="262"/>
      <c r="W485" s="262"/>
      <c r="X485" s="1"/>
      <c r="Y485" s="1"/>
      <c r="Z485" s="1"/>
      <c r="AA485" s="1"/>
      <c r="AB485" s="1"/>
      <c r="AC485" s="1"/>
      <c r="AD485" s="1"/>
      <c r="AE485" s="1"/>
      <c r="AF485" s="1"/>
      <c r="AG485" s="15"/>
      <c r="AH485" s="15"/>
      <c r="AI485" s="17"/>
      <c r="AJ485" s="15"/>
      <c r="AK485" s="124"/>
      <c r="AL485" s="17"/>
      <c r="AM485" s="17"/>
      <c r="AN485" s="263"/>
      <c r="AO485" s="1"/>
      <c r="AP485" s="1"/>
      <c r="AQ485" s="307"/>
      <c r="AR485" s="1"/>
      <c r="AS485" s="11"/>
      <c r="AT485" s="11"/>
      <c r="AU485" s="214"/>
      <c r="AV485" s="268"/>
      <c r="AW485" s="1"/>
      <c r="AX485" s="210"/>
      <c r="AY485" s="60"/>
      <c r="AZ485" s="15"/>
      <c r="BA485" s="15"/>
      <c r="BB485" s="1"/>
      <c r="BC485" s="49" t="e">
        <f>IF(OR(#REF!="",#REF!="")=TRUE,"",NETWORKDAYS.INTL(#REF!,#REF!))</f>
        <v>#REF!</v>
      </c>
    </row>
    <row r="486" spans="1:55" x14ac:dyDescent="0.45">
      <c r="A486" s="12">
        <v>481</v>
      </c>
      <c r="B486" s="150"/>
      <c r="C486" s="53"/>
      <c r="D486" s="1"/>
      <c r="E486" s="1"/>
      <c r="F486" s="1"/>
      <c r="G486" s="1"/>
      <c r="H486" s="307"/>
      <c r="I486" s="1"/>
      <c r="J486" s="1"/>
      <c r="K486" s="15"/>
      <c r="L486" s="17"/>
      <c r="M486" s="238"/>
      <c r="N486" s="17"/>
      <c r="O486" s="15"/>
      <c r="P486" s="17"/>
      <c r="Q486" s="307"/>
      <c r="R486" s="238"/>
      <c r="S486" s="17"/>
      <c r="T486" s="15"/>
      <c r="U486" s="17"/>
      <c r="V486" s="262"/>
      <c r="W486" s="262"/>
      <c r="X486" s="1"/>
      <c r="Y486" s="1"/>
      <c r="Z486" s="1"/>
      <c r="AA486" s="1"/>
      <c r="AB486" s="1"/>
      <c r="AC486" s="1"/>
      <c r="AD486" s="1"/>
      <c r="AE486" s="1"/>
      <c r="AF486" s="1"/>
      <c r="AG486" s="15"/>
      <c r="AH486" s="15"/>
      <c r="AI486" s="17"/>
      <c r="AJ486" s="15"/>
      <c r="AK486" s="124"/>
      <c r="AL486" s="17"/>
      <c r="AM486" s="17"/>
      <c r="AN486" s="263"/>
      <c r="AO486" s="1"/>
      <c r="AP486" s="1"/>
      <c r="AQ486" s="307"/>
      <c r="AR486" s="1"/>
      <c r="AS486" s="11"/>
      <c r="AT486" s="11"/>
      <c r="AU486" s="214"/>
      <c r="AV486" s="268"/>
      <c r="AW486" s="1"/>
      <c r="AX486" s="210"/>
      <c r="AY486" s="60"/>
      <c r="AZ486" s="15"/>
      <c r="BA486" s="15"/>
      <c r="BB486" s="1"/>
      <c r="BC486" s="49" t="e">
        <f>IF(OR(#REF!="",#REF!="")=TRUE,"",NETWORKDAYS.INTL(#REF!,#REF!))</f>
        <v>#REF!</v>
      </c>
    </row>
    <row r="487" spans="1:55" x14ac:dyDescent="0.45">
      <c r="A487" s="13">
        <v>482</v>
      </c>
      <c r="B487" s="155"/>
      <c r="C487" s="85"/>
      <c r="D487" s="1"/>
      <c r="E487" s="1"/>
      <c r="F487" s="1"/>
      <c r="G487" s="1"/>
      <c r="H487" s="307"/>
      <c r="I487" s="1"/>
      <c r="J487" s="1"/>
      <c r="K487" s="15"/>
      <c r="L487" s="17"/>
      <c r="M487" s="238"/>
      <c r="N487" s="17"/>
      <c r="O487" s="15"/>
      <c r="P487" s="17"/>
      <c r="Q487" s="307"/>
      <c r="R487" s="238"/>
      <c r="S487" s="17"/>
      <c r="T487" s="15"/>
      <c r="U487" s="17"/>
      <c r="V487" s="262"/>
      <c r="W487" s="262"/>
      <c r="X487" s="1"/>
      <c r="Y487" s="1"/>
      <c r="Z487" s="1"/>
      <c r="AA487" s="1"/>
      <c r="AB487" s="1"/>
      <c r="AC487" s="1"/>
      <c r="AD487" s="1"/>
      <c r="AE487" s="1"/>
      <c r="AF487" s="1"/>
      <c r="AG487" s="15"/>
      <c r="AH487" s="15"/>
      <c r="AI487" s="17"/>
      <c r="AJ487" s="15"/>
      <c r="AK487" s="124"/>
      <c r="AL487" s="17"/>
      <c r="AM487" s="17"/>
      <c r="AN487" s="263"/>
      <c r="AO487" s="1"/>
      <c r="AP487" s="1"/>
      <c r="AQ487" s="307"/>
      <c r="AR487" s="1"/>
      <c r="AS487" s="11"/>
      <c r="AT487" s="11"/>
      <c r="AU487" s="214"/>
      <c r="AV487" s="268"/>
      <c r="AW487" s="1"/>
      <c r="AX487" s="210"/>
      <c r="AY487" s="60"/>
      <c r="AZ487" s="15"/>
      <c r="BA487" s="15"/>
      <c r="BB487" s="1"/>
      <c r="BC487" s="49" t="e">
        <f>IF(OR(#REF!="",#REF!="")=TRUE,"",NETWORKDAYS.INTL(#REF!,#REF!))</f>
        <v>#REF!</v>
      </c>
    </row>
    <row r="488" spans="1:55" x14ac:dyDescent="0.45">
      <c r="A488" s="13">
        <v>483</v>
      </c>
      <c r="B488" s="155"/>
      <c r="C488" s="85"/>
      <c r="D488" s="1"/>
      <c r="E488" s="1"/>
      <c r="F488" s="1"/>
      <c r="G488" s="1"/>
      <c r="H488" s="307"/>
      <c r="I488" s="1"/>
      <c r="J488" s="1"/>
      <c r="K488" s="15"/>
      <c r="L488" s="17"/>
      <c r="M488" s="238"/>
      <c r="N488" s="17"/>
      <c r="O488" s="15"/>
      <c r="P488" s="17"/>
      <c r="Q488" s="307"/>
      <c r="R488" s="238"/>
      <c r="S488" s="17"/>
      <c r="T488" s="15"/>
      <c r="U488" s="17"/>
      <c r="V488" s="262"/>
      <c r="W488" s="262"/>
      <c r="X488" s="1"/>
      <c r="Y488" s="1"/>
      <c r="Z488" s="1"/>
      <c r="AA488" s="1"/>
      <c r="AB488" s="1"/>
      <c r="AC488" s="1"/>
      <c r="AD488" s="1"/>
      <c r="AE488" s="1"/>
      <c r="AF488" s="1"/>
      <c r="AG488" s="15"/>
      <c r="AH488" s="15"/>
      <c r="AI488" s="17"/>
      <c r="AJ488" s="15"/>
      <c r="AK488" s="124"/>
      <c r="AL488" s="17"/>
      <c r="AM488" s="17"/>
      <c r="AN488" s="263"/>
      <c r="AO488" s="1"/>
      <c r="AP488" s="1"/>
      <c r="AQ488" s="307"/>
      <c r="AR488" s="1"/>
      <c r="AS488" s="11"/>
      <c r="AT488" s="11"/>
      <c r="AU488" s="214"/>
      <c r="AV488" s="268"/>
      <c r="AW488" s="1"/>
      <c r="AX488" s="210"/>
      <c r="AY488" s="60"/>
      <c r="AZ488" s="15"/>
      <c r="BA488" s="15"/>
      <c r="BB488" s="1"/>
      <c r="BC488" s="49" t="e">
        <f>IF(OR(#REF!="",#REF!="")=TRUE,"",NETWORKDAYS.INTL(#REF!,#REF!))</f>
        <v>#REF!</v>
      </c>
    </row>
    <row r="489" spans="1:55" x14ac:dyDescent="0.45">
      <c r="A489" s="12">
        <v>484</v>
      </c>
      <c r="B489" s="150"/>
      <c r="C489" s="53"/>
      <c r="D489" s="1"/>
      <c r="E489" s="1"/>
      <c r="F489" s="1"/>
      <c r="G489" s="1"/>
      <c r="H489" s="307"/>
      <c r="I489" s="1"/>
      <c r="J489" s="1"/>
      <c r="K489" s="15"/>
      <c r="L489" s="17"/>
      <c r="M489" s="238"/>
      <c r="N489" s="17"/>
      <c r="O489" s="15"/>
      <c r="P489" s="17"/>
      <c r="Q489" s="307"/>
      <c r="R489" s="238"/>
      <c r="S489" s="17"/>
      <c r="T489" s="15"/>
      <c r="U489" s="17"/>
      <c r="V489" s="262"/>
      <c r="W489" s="262"/>
      <c r="X489" s="1"/>
      <c r="Y489" s="1"/>
      <c r="Z489" s="1"/>
      <c r="AA489" s="1"/>
      <c r="AB489" s="1"/>
      <c r="AC489" s="1"/>
      <c r="AD489" s="1"/>
      <c r="AE489" s="1"/>
      <c r="AF489" s="1"/>
      <c r="AG489" s="15"/>
      <c r="AH489" s="15"/>
      <c r="AI489" s="17"/>
      <c r="AJ489" s="15"/>
      <c r="AK489" s="124"/>
      <c r="AL489" s="17"/>
      <c r="AM489" s="17"/>
      <c r="AN489" s="263"/>
      <c r="AO489" s="1"/>
      <c r="AP489" s="1"/>
      <c r="AQ489" s="307"/>
      <c r="AR489" s="1"/>
      <c r="AS489" s="11"/>
      <c r="AT489" s="11"/>
      <c r="AU489" s="214"/>
      <c r="AV489" s="268"/>
      <c r="AW489" s="1"/>
      <c r="AX489" s="210"/>
      <c r="AY489" s="60"/>
      <c r="AZ489" s="15"/>
      <c r="BA489" s="15"/>
      <c r="BB489" s="1"/>
      <c r="BC489" s="49" t="e">
        <f>IF(OR(#REF!="",#REF!="")=TRUE,"",NETWORKDAYS.INTL(#REF!,#REF!))</f>
        <v>#REF!</v>
      </c>
    </row>
    <row r="490" spans="1:55" x14ac:dyDescent="0.45">
      <c r="A490" s="13">
        <v>485</v>
      </c>
      <c r="B490" s="155"/>
      <c r="C490" s="85"/>
      <c r="D490" s="1"/>
      <c r="E490" s="1"/>
      <c r="F490" s="1"/>
      <c r="G490" s="1"/>
      <c r="H490" s="307"/>
      <c r="I490" s="1"/>
      <c r="J490" s="1"/>
      <c r="K490" s="15"/>
      <c r="L490" s="17"/>
      <c r="M490" s="238"/>
      <c r="N490" s="17"/>
      <c r="O490" s="15"/>
      <c r="P490" s="17"/>
      <c r="Q490" s="307"/>
      <c r="R490" s="238"/>
      <c r="S490" s="17"/>
      <c r="T490" s="15"/>
      <c r="U490" s="17"/>
      <c r="V490" s="262"/>
      <c r="W490" s="262"/>
      <c r="X490" s="1"/>
      <c r="Y490" s="1"/>
      <c r="Z490" s="1"/>
      <c r="AA490" s="1"/>
      <c r="AB490" s="1"/>
      <c r="AC490" s="1"/>
      <c r="AD490" s="1"/>
      <c r="AE490" s="1"/>
      <c r="AF490" s="1"/>
      <c r="AG490" s="15"/>
      <c r="AH490" s="15"/>
      <c r="AI490" s="17"/>
      <c r="AJ490" s="15"/>
      <c r="AK490" s="124"/>
      <c r="AL490" s="17"/>
      <c r="AM490" s="17"/>
      <c r="AN490" s="263"/>
      <c r="AO490" s="1"/>
      <c r="AP490" s="1"/>
      <c r="AQ490" s="307"/>
      <c r="AR490" s="1"/>
      <c r="AS490" s="11"/>
      <c r="AT490" s="11"/>
      <c r="AU490" s="214"/>
      <c r="AV490" s="268"/>
      <c r="AW490" s="1"/>
      <c r="AX490" s="210"/>
      <c r="AY490" s="60"/>
      <c r="AZ490" s="15"/>
      <c r="BA490" s="15"/>
      <c r="BB490" s="1"/>
      <c r="BC490" s="49" t="e">
        <f>IF(OR(#REF!="",#REF!="")=TRUE,"",NETWORKDAYS.INTL(#REF!,#REF!))</f>
        <v>#REF!</v>
      </c>
    </row>
    <row r="491" spans="1:55" x14ac:dyDescent="0.45">
      <c r="A491" s="13">
        <v>486</v>
      </c>
      <c r="B491" s="155"/>
      <c r="C491" s="85"/>
      <c r="D491" s="1"/>
      <c r="E491" s="1"/>
      <c r="F491" s="1"/>
      <c r="G491" s="1"/>
      <c r="H491" s="307"/>
      <c r="I491" s="1"/>
      <c r="J491" s="1"/>
      <c r="K491" s="15"/>
      <c r="L491" s="17"/>
      <c r="M491" s="238"/>
      <c r="N491" s="17"/>
      <c r="O491" s="15"/>
      <c r="P491" s="17"/>
      <c r="Q491" s="307"/>
      <c r="R491" s="238"/>
      <c r="S491" s="17"/>
      <c r="T491" s="15"/>
      <c r="U491" s="17"/>
      <c r="V491" s="262"/>
      <c r="W491" s="262"/>
      <c r="X491" s="1"/>
      <c r="Y491" s="1"/>
      <c r="Z491" s="1"/>
      <c r="AA491" s="1"/>
      <c r="AB491" s="1"/>
      <c r="AC491" s="1"/>
      <c r="AD491" s="1"/>
      <c r="AE491" s="1"/>
      <c r="AF491" s="1"/>
      <c r="AG491" s="15"/>
      <c r="AH491" s="15"/>
      <c r="AI491" s="17"/>
      <c r="AJ491" s="15"/>
      <c r="AK491" s="124"/>
      <c r="AL491" s="17"/>
      <c r="AM491" s="17"/>
      <c r="AN491" s="263"/>
      <c r="AO491" s="1"/>
      <c r="AP491" s="1"/>
      <c r="AQ491" s="307"/>
      <c r="AR491" s="1"/>
      <c r="AS491" s="11"/>
      <c r="AT491" s="11"/>
      <c r="AU491" s="214"/>
      <c r="AV491" s="268"/>
      <c r="AW491" s="1"/>
      <c r="AX491" s="210"/>
      <c r="AY491" s="60"/>
      <c r="AZ491" s="15"/>
      <c r="BA491" s="15"/>
      <c r="BB491" s="1"/>
      <c r="BC491" s="49" t="e">
        <f>IF(OR(#REF!="",#REF!="")=TRUE,"",NETWORKDAYS.INTL(#REF!,#REF!))</f>
        <v>#REF!</v>
      </c>
    </row>
    <row r="492" spans="1:55" x14ac:dyDescent="0.45">
      <c r="A492" s="12">
        <v>487</v>
      </c>
      <c r="B492" s="150"/>
      <c r="C492" s="53"/>
      <c r="D492" s="1"/>
      <c r="E492" s="1"/>
      <c r="F492" s="1"/>
      <c r="G492" s="1"/>
      <c r="H492" s="307"/>
      <c r="I492" s="1"/>
      <c r="J492" s="1"/>
      <c r="K492" s="15"/>
      <c r="L492" s="17"/>
      <c r="M492" s="238"/>
      <c r="N492" s="17"/>
      <c r="O492" s="15"/>
      <c r="P492" s="17"/>
      <c r="Q492" s="307"/>
      <c r="R492" s="238"/>
      <c r="S492" s="17"/>
      <c r="T492" s="15"/>
      <c r="U492" s="17"/>
      <c r="V492" s="262"/>
      <c r="W492" s="262"/>
      <c r="X492" s="1"/>
      <c r="Y492" s="1"/>
      <c r="Z492" s="1"/>
      <c r="AA492" s="1"/>
      <c r="AB492" s="1"/>
      <c r="AC492" s="1"/>
      <c r="AD492" s="1"/>
      <c r="AE492" s="1"/>
      <c r="AF492" s="1"/>
      <c r="AG492" s="15"/>
      <c r="AH492" s="15"/>
      <c r="AI492" s="17"/>
      <c r="AJ492" s="15"/>
      <c r="AK492" s="124"/>
      <c r="AL492" s="17"/>
      <c r="AM492" s="17"/>
      <c r="AN492" s="263"/>
      <c r="AO492" s="1"/>
      <c r="AP492" s="1"/>
      <c r="AQ492" s="307"/>
      <c r="AR492" s="1"/>
      <c r="AS492" s="11"/>
      <c r="AT492" s="11"/>
      <c r="AU492" s="214"/>
      <c r="AV492" s="268"/>
      <c r="AW492" s="1"/>
      <c r="AX492" s="210"/>
      <c r="AY492" s="60"/>
      <c r="AZ492" s="15"/>
      <c r="BA492" s="15"/>
      <c r="BB492" s="1"/>
      <c r="BC492" s="49" t="e">
        <f>IF(OR(#REF!="",#REF!="")=TRUE,"",NETWORKDAYS.INTL(#REF!,#REF!))</f>
        <v>#REF!</v>
      </c>
    </row>
    <row r="493" spans="1:55" x14ac:dyDescent="0.45">
      <c r="A493" s="13">
        <v>488</v>
      </c>
      <c r="B493" s="155"/>
      <c r="C493" s="85"/>
      <c r="D493" s="1"/>
      <c r="E493" s="1"/>
      <c r="F493" s="1"/>
      <c r="G493" s="1"/>
      <c r="H493" s="307"/>
      <c r="I493" s="1"/>
      <c r="J493" s="1"/>
      <c r="K493" s="15"/>
      <c r="L493" s="17"/>
      <c r="M493" s="238"/>
      <c r="N493" s="17"/>
      <c r="O493" s="15"/>
      <c r="P493" s="17"/>
      <c r="Q493" s="307"/>
      <c r="R493" s="238"/>
      <c r="S493" s="17"/>
      <c r="T493" s="15"/>
      <c r="U493" s="17"/>
      <c r="V493" s="262"/>
      <c r="W493" s="262"/>
      <c r="X493" s="1"/>
      <c r="Y493" s="1"/>
      <c r="Z493" s="1"/>
      <c r="AA493" s="1"/>
      <c r="AB493" s="1"/>
      <c r="AC493" s="1"/>
      <c r="AD493" s="1"/>
      <c r="AE493" s="1"/>
      <c r="AF493" s="1"/>
      <c r="AG493" s="15"/>
      <c r="AH493" s="15"/>
      <c r="AI493" s="17"/>
      <c r="AJ493" s="15"/>
      <c r="AK493" s="124"/>
      <c r="AL493" s="17"/>
      <c r="AM493" s="17"/>
      <c r="AN493" s="263"/>
      <c r="AO493" s="1"/>
      <c r="AP493" s="1"/>
      <c r="AQ493" s="307"/>
      <c r="AR493" s="1"/>
      <c r="AS493" s="11"/>
      <c r="AT493" s="11"/>
      <c r="AU493" s="214"/>
      <c r="AV493" s="268"/>
      <c r="AW493" s="1"/>
      <c r="AX493" s="210"/>
      <c r="AY493" s="60"/>
      <c r="AZ493" s="15"/>
      <c r="BA493" s="15"/>
      <c r="BB493" s="1"/>
      <c r="BC493" s="49" t="e">
        <f>IF(OR(#REF!="",#REF!="")=TRUE,"",NETWORKDAYS.INTL(#REF!,#REF!))</f>
        <v>#REF!</v>
      </c>
    </row>
    <row r="494" spans="1:55" x14ac:dyDescent="0.45">
      <c r="A494" s="13">
        <v>489</v>
      </c>
      <c r="B494" s="155"/>
      <c r="C494" s="85"/>
      <c r="D494" s="1"/>
      <c r="E494" s="1"/>
      <c r="F494" s="1"/>
      <c r="G494" s="1"/>
      <c r="H494" s="307"/>
      <c r="I494" s="1"/>
      <c r="J494" s="1"/>
      <c r="K494" s="15"/>
      <c r="L494" s="17"/>
      <c r="M494" s="238"/>
      <c r="N494" s="17"/>
      <c r="O494" s="15"/>
      <c r="P494" s="17"/>
      <c r="Q494" s="307"/>
      <c r="R494" s="238"/>
      <c r="S494" s="17"/>
      <c r="T494" s="15"/>
      <c r="U494" s="17"/>
      <c r="V494" s="262"/>
      <c r="W494" s="262"/>
      <c r="X494" s="1"/>
      <c r="Y494" s="1"/>
      <c r="Z494" s="1"/>
      <c r="AA494" s="1"/>
      <c r="AB494" s="1"/>
      <c r="AC494" s="1"/>
      <c r="AD494" s="1"/>
      <c r="AE494" s="1"/>
      <c r="AF494" s="1"/>
      <c r="AG494" s="15"/>
      <c r="AH494" s="15"/>
      <c r="AI494" s="17"/>
      <c r="AJ494" s="15"/>
      <c r="AK494" s="124"/>
      <c r="AL494" s="17"/>
      <c r="AM494" s="17"/>
      <c r="AN494" s="263"/>
      <c r="AO494" s="1"/>
      <c r="AP494" s="1"/>
      <c r="AQ494" s="307"/>
      <c r="AR494" s="1"/>
      <c r="AS494" s="11"/>
      <c r="AT494" s="11"/>
      <c r="AU494" s="214"/>
      <c r="AV494" s="268"/>
      <c r="AW494" s="1"/>
      <c r="AX494" s="210"/>
      <c r="AY494" s="60"/>
      <c r="AZ494" s="15"/>
      <c r="BA494" s="15"/>
      <c r="BB494" s="1"/>
      <c r="BC494" s="49" t="e">
        <f>IF(OR(#REF!="",#REF!="")=TRUE,"",NETWORKDAYS.INTL(#REF!,#REF!))</f>
        <v>#REF!</v>
      </c>
    </row>
    <row r="495" spans="1:55" x14ac:dyDescent="0.45">
      <c r="A495" s="12">
        <v>490</v>
      </c>
      <c r="B495" s="150"/>
      <c r="C495" s="53"/>
      <c r="D495" s="1"/>
      <c r="E495" s="1"/>
      <c r="F495" s="1"/>
      <c r="G495" s="1"/>
      <c r="H495" s="307"/>
      <c r="I495" s="1"/>
      <c r="J495" s="1"/>
      <c r="K495" s="15"/>
      <c r="L495" s="17"/>
      <c r="M495" s="238"/>
      <c r="N495" s="17"/>
      <c r="O495" s="15"/>
      <c r="P495" s="17"/>
      <c r="Q495" s="307"/>
      <c r="R495" s="238"/>
      <c r="S495" s="17"/>
      <c r="T495" s="15"/>
      <c r="U495" s="17"/>
      <c r="V495" s="262"/>
      <c r="W495" s="262"/>
      <c r="X495" s="1"/>
      <c r="Y495" s="1"/>
      <c r="Z495" s="1"/>
      <c r="AA495" s="1"/>
      <c r="AB495" s="1"/>
      <c r="AC495" s="1"/>
      <c r="AD495" s="1"/>
      <c r="AE495" s="1"/>
      <c r="AF495" s="1"/>
      <c r="AG495" s="15"/>
      <c r="AH495" s="15"/>
      <c r="AI495" s="17"/>
      <c r="AJ495" s="15"/>
      <c r="AK495" s="124"/>
      <c r="AL495" s="17"/>
      <c r="AM495" s="17"/>
      <c r="AN495" s="263"/>
      <c r="AO495" s="1"/>
      <c r="AP495" s="1"/>
      <c r="AQ495" s="307"/>
      <c r="AR495" s="1"/>
      <c r="AS495" s="11"/>
      <c r="AT495" s="11"/>
      <c r="AU495" s="214"/>
      <c r="AV495" s="268"/>
      <c r="AW495" s="1"/>
      <c r="AX495" s="210"/>
      <c r="AY495" s="60"/>
      <c r="AZ495" s="15"/>
      <c r="BA495" s="15"/>
      <c r="BB495" s="1"/>
      <c r="BC495" s="49" t="e">
        <f>IF(OR(#REF!="",#REF!="")=TRUE,"",NETWORKDAYS.INTL(#REF!,#REF!))</f>
        <v>#REF!</v>
      </c>
    </row>
    <row r="496" spans="1:55" x14ac:dyDescent="0.45">
      <c r="A496" s="13">
        <v>491</v>
      </c>
      <c r="B496" s="155"/>
      <c r="C496" s="85"/>
      <c r="D496" s="1"/>
      <c r="E496" s="1"/>
      <c r="F496" s="1"/>
      <c r="G496" s="1"/>
      <c r="H496" s="307"/>
      <c r="I496" s="1"/>
      <c r="J496" s="1"/>
      <c r="K496" s="15"/>
      <c r="L496" s="17"/>
      <c r="M496" s="238"/>
      <c r="N496" s="17"/>
      <c r="O496" s="15"/>
      <c r="P496" s="17"/>
      <c r="Q496" s="307"/>
      <c r="R496" s="238"/>
      <c r="S496" s="17"/>
      <c r="T496" s="15"/>
      <c r="U496" s="17"/>
      <c r="V496" s="262"/>
      <c r="W496" s="262"/>
      <c r="X496" s="1"/>
      <c r="Y496" s="1"/>
      <c r="Z496" s="1"/>
      <c r="AA496" s="1"/>
      <c r="AB496" s="1"/>
      <c r="AC496" s="1"/>
      <c r="AD496" s="1"/>
      <c r="AE496" s="1"/>
      <c r="AF496" s="1"/>
      <c r="AG496" s="15"/>
      <c r="AH496" s="15"/>
      <c r="AI496" s="17"/>
      <c r="AJ496" s="15"/>
      <c r="AK496" s="124"/>
      <c r="AL496" s="17"/>
      <c r="AM496" s="17"/>
      <c r="AN496" s="263"/>
      <c r="AO496" s="1"/>
      <c r="AP496" s="1"/>
      <c r="AQ496" s="307"/>
      <c r="AR496" s="1"/>
      <c r="AS496" s="11"/>
      <c r="AT496" s="11"/>
      <c r="AU496" s="214"/>
      <c r="AV496" s="268"/>
      <c r="AW496" s="1"/>
      <c r="AX496" s="210"/>
      <c r="AY496" s="60"/>
      <c r="AZ496" s="15"/>
      <c r="BA496" s="15"/>
      <c r="BB496" s="1"/>
      <c r="BC496" s="49" t="e">
        <f>IF(OR(#REF!="",#REF!="")=TRUE,"",NETWORKDAYS.INTL(#REF!,#REF!))</f>
        <v>#REF!</v>
      </c>
    </row>
    <row r="497" spans="1:55" x14ac:dyDescent="0.45">
      <c r="A497" s="13">
        <v>492</v>
      </c>
      <c r="B497" s="155"/>
      <c r="C497" s="85"/>
      <c r="D497" s="1"/>
      <c r="E497" s="1"/>
      <c r="F497" s="1"/>
      <c r="G497" s="1"/>
      <c r="H497" s="307"/>
      <c r="I497" s="1"/>
      <c r="J497" s="1"/>
      <c r="K497" s="15"/>
      <c r="L497" s="17"/>
      <c r="M497" s="238"/>
      <c r="N497" s="17"/>
      <c r="O497" s="15"/>
      <c r="P497" s="17"/>
      <c r="Q497" s="307"/>
      <c r="R497" s="238"/>
      <c r="S497" s="17"/>
      <c r="T497" s="15"/>
      <c r="U497" s="17"/>
      <c r="V497" s="262"/>
      <c r="W497" s="262"/>
      <c r="X497" s="1"/>
      <c r="Y497" s="1"/>
      <c r="Z497" s="1"/>
      <c r="AA497" s="1"/>
      <c r="AB497" s="1"/>
      <c r="AC497" s="1"/>
      <c r="AD497" s="1"/>
      <c r="AE497" s="1"/>
      <c r="AF497" s="1"/>
      <c r="AG497" s="15"/>
      <c r="AH497" s="15"/>
      <c r="AI497" s="17"/>
      <c r="AJ497" s="15"/>
      <c r="AK497" s="124"/>
      <c r="AL497" s="17"/>
      <c r="AM497" s="17"/>
      <c r="AN497" s="263"/>
      <c r="AO497" s="1"/>
      <c r="AP497" s="1"/>
      <c r="AQ497" s="307"/>
      <c r="AR497" s="1"/>
      <c r="AS497" s="11"/>
      <c r="AT497" s="11"/>
      <c r="AU497" s="214"/>
      <c r="AV497" s="268"/>
      <c r="AW497" s="1"/>
      <c r="AX497" s="210"/>
      <c r="AY497" s="60"/>
      <c r="AZ497" s="15"/>
      <c r="BA497" s="15"/>
      <c r="BB497" s="1"/>
      <c r="BC497" s="49" t="e">
        <f>IF(OR(#REF!="",#REF!="")=TRUE,"",NETWORKDAYS.INTL(#REF!,#REF!))</f>
        <v>#REF!</v>
      </c>
    </row>
    <row r="498" spans="1:55" x14ac:dyDescent="0.45">
      <c r="A498" s="12">
        <v>493</v>
      </c>
      <c r="B498" s="150"/>
      <c r="C498" s="53"/>
      <c r="D498" s="1"/>
      <c r="E498" s="1"/>
      <c r="F498" s="1"/>
      <c r="G498" s="1"/>
      <c r="H498" s="307"/>
      <c r="I498" s="1"/>
      <c r="J498" s="1"/>
      <c r="K498" s="15"/>
      <c r="L498" s="17"/>
      <c r="M498" s="238"/>
      <c r="N498" s="17"/>
      <c r="O498" s="15"/>
      <c r="P498" s="17"/>
      <c r="Q498" s="307"/>
      <c r="R498" s="238"/>
      <c r="S498" s="17"/>
      <c r="T498" s="15"/>
      <c r="U498" s="17"/>
      <c r="V498" s="262"/>
      <c r="W498" s="262"/>
      <c r="X498" s="1"/>
      <c r="Y498" s="1"/>
      <c r="Z498" s="1"/>
      <c r="AA498" s="1"/>
      <c r="AB498" s="1"/>
      <c r="AC498" s="1"/>
      <c r="AD498" s="1"/>
      <c r="AE498" s="1"/>
      <c r="AF498" s="1"/>
      <c r="AG498" s="15"/>
      <c r="AH498" s="15"/>
      <c r="AI498" s="17"/>
      <c r="AJ498" s="15"/>
      <c r="AK498" s="124"/>
      <c r="AL498" s="17"/>
      <c r="AM498" s="17"/>
      <c r="AN498" s="263"/>
      <c r="AO498" s="1"/>
      <c r="AP498" s="1"/>
      <c r="AQ498" s="307"/>
      <c r="AR498" s="1"/>
      <c r="AS498" s="11"/>
      <c r="AT498" s="11"/>
      <c r="AU498" s="214"/>
      <c r="AV498" s="268"/>
      <c r="AW498" s="1"/>
      <c r="AX498" s="210"/>
      <c r="AY498" s="60"/>
      <c r="AZ498" s="15"/>
      <c r="BA498" s="15"/>
      <c r="BB498" s="1"/>
      <c r="BC498" s="49" t="e">
        <f>IF(OR(#REF!="",#REF!="")=TRUE,"",NETWORKDAYS.INTL(#REF!,#REF!))</f>
        <v>#REF!</v>
      </c>
    </row>
    <row r="499" spans="1:55" x14ac:dyDescent="0.45">
      <c r="A499" s="13">
        <v>494</v>
      </c>
      <c r="B499" s="155"/>
      <c r="C499" s="85"/>
      <c r="D499" s="1"/>
      <c r="E499" s="1"/>
      <c r="F499" s="1"/>
      <c r="G499" s="1"/>
      <c r="H499" s="307"/>
      <c r="I499" s="1"/>
      <c r="J499" s="1"/>
      <c r="K499" s="15"/>
      <c r="L499" s="17"/>
      <c r="M499" s="238"/>
      <c r="N499" s="17"/>
      <c r="O499" s="15"/>
      <c r="P499" s="17"/>
      <c r="Q499" s="307"/>
      <c r="R499" s="238"/>
      <c r="S499" s="17"/>
      <c r="T499" s="15"/>
      <c r="U499" s="17"/>
      <c r="V499" s="262"/>
      <c r="W499" s="262"/>
      <c r="X499" s="1"/>
      <c r="Y499" s="1"/>
      <c r="Z499" s="1"/>
      <c r="AA499" s="1"/>
      <c r="AB499" s="1"/>
      <c r="AC499" s="1"/>
      <c r="AD499" s="1"/>
      <c r="AE499" s="1"/>
      <c r="AF499" s="1"/>
      <c r="AG499" s="15"/>
      <c r="AH499" s="15"/>
      <c r="AI499" s="17"/>
      <c r="AJ499" s="15"/>
      <c r="AK499" s="124"/>
      <c r="AL499" s="17"/>
      <c r="AM499" s="17"/>
      <c r="AN499" s="263"/>
      <c r="AO499" s="1"/>
      <c r="AP499" s="1"/>
      <c r="AQ499" s="307"/>
      <c r="AR499" s="1"/>
      <c r="AS499" s="11"/>
      <c r="AT499" s="11"/>
      <c r="AU499" s="214"/>
      <c r="AV499" s="268"/>
      <c r="AW499" s="1"/>
      <c r="AX499" s="210"/>
      <c r="AY499" s="60"/>
      <c r="AZ499" s="15"/>
      <c r="BA499" s="15"/>
      <c r="BB499" s="1"/>
      <c r="BC499" s="49" t="e">
        <f>IF(OR(#REF!="",#REF!="")=TRUE,"",NETWORKDAYS.INTL(#REF!,#REF!))</f>
        <v>#REF!</v>
      </c>
    </row>
    <row r="500" spans="1:55" x14ac:dyDescent="0.45">
      <c r="A500" s="13">
        <v>495</v>
      </c>
      <c r="B500" s="155"/>
      <c r="C500" s="85"/>
      <c r="D500" s="1"/>
      <c r="E500" s="1"/>
      <c r="F500" s="1"/>
      <c r="G500" s="1"/>
      <c r="H500" s="307"/>
      <c r="I500" s="1"/>
      <c r="J500" s="1"/>
      <c r="K500" s="15"/>
      <c r="L500" s="17"/>
      <c r="M500" s="238"/>
      <c r="N500" s="17"/>
      <c r="O500" s="15"/>
      <c r="P500" s="17"/>
      <c r="Q500" s="307"/>
      <c r="R500" s="238"/>
      <c r="S500" s="17"/>
      <c r="T500" s="15"/>
      <c r="U500" s="17"/>
      <c r="V500" s="262"/>
      <c r="W500" s="262"/>
      <c r="X500" s="1"/>
      <c r="Y500" s="1"/>
      <c r="Z500" s="1"/>
      <c r="AA500" s="1"/>
      <c r="AB500" s="1"/>
      <c r="AC500" s="1"/>
      <c r="AD500" s="1"/>
      <c r="AE500" s="1"/>
      <c r="AF500" s="1"/>
      <c r="AG500" s="15"/>
      <c r="AH500" s="15"/>
      <c r="AI500" s="17"/>
      <c r="AJ500" s="15"/>
      <c r="AK500" s="124"/>
      <c r="AL500" s="17"/>
      <c r="AM500" s="17"/>
      <c r="AN500" s="263"/>
      <c r="AO500" s="1"/>
      <c r="AP500" s="1"/>
      <c r="AQ500" s="307"/>
      <c r="AR500" s="1"/>
      <c r="AS500" s="11"/>
      <c r="AT500" s="11"/>
      <c r="AU500" s="214"/>
      <c r="AV500" s="268"/>
      <c r="AW500" s="1"/>
      <c r="AX500" s="210"/>
      <c r="AY500" s="60"/>
      <c r="AZ500" s="15"/>
      <c r="BA500" s="15"/>
      <c r="BB500" s="1"/>
      <c r="BC500" s="49" t="e">
        <f>IF(OR(#REF!="",#REF!="")=TRUE,"",NETWORKDAYS.INTL(#REF!,#REF!))</f>
        <v>#REF!</v>
      </c>
    </row>
    <row r="501" spans="1:55" x14ac:dyDescent="0.45">
      <c r="A501" s="12">
        <v>496</v>
      </c>
      <c r="B501" s="150"/>
      <c r="C501" s="53"/>
      <c r="D501" s="1"/>
      <c r="E501" s="1"/>
      <c r="F501" s="1"/>
      <c r="G501" s="1"/>
      <c r="H501" s="307"/>
      <c r="I501" s="1"/>
      <c r="J501" s="1"/>
      <c r="K501" s="15"/>
      <c r="L501" s="17"/>
      <c r="M501" s="238"/>
      <c r="N501" s="17"/>
      <c r="O501" s="15"/>
      <c r="P501" s="17"/>
      <c r="Q501" s="307"/>
      <c r="R501" s="238"/>
      <c r="S501" s="17"/>
      <c r="T501" s="15"/>
      <c r="U501" s="17"/>
      <c r="V501" s="262"/>
      <c r="W501" s="262"/>
      <c r="X501" s="1"/>
      <c r="Y501" s="1"/>
      <c r="Z501" s="1"/>
      <c r="AA501" s="1"/>
      <c r="AB501" s="1"/>
      <c r="AC501" s="1"/>
      <c r="AD501" s="1"/>
      <c r="AE501" s="1"/>
      <c r="AF501" s="1"/>
      <c r="AG501" s="15"/>
      <c r="AH501" s="15"/>
      <c r="AI501" s="17"/>
      <c r="AJ501" s="15"/>
      <c r="AK501" s="124"/>
      <c r="AL501" s="17"/>
      <c r="AM501" s="17"/>
      <c r="AN501" s="263"/>
      <c r="AO501" s="1"/>
      <c r="AP501" s="1"/>
      <c r="AQ501" s="307"/>
      <c r="AR501" s="1"/>
      <c r="AS501" s="11"/>
      <c r="AT501" s="11"/>
      <c r="AU501" s="214"/>
      <c r="AV501" s="268"/>
      <c r="AW501" s="1"/>
      <c r="AX501" s="210"/>
      <c r="AY501" s="60"/>
      <c r="AZ501" s="15"/>
      <c r="BA501" s="15"/>
      <c r="BB501" s="1"/>
      <c r="BC501" s="49" t="e">
        <f>IF(OR(#REF!="",#REF!="")=TRUE,"",NETWORKDAYS.INTL(#REF!,#REF!))</f>
        <v>#REF!</v>
      </c>
    </row>
    <row r="502" spans="1:55" x14ac:dyDescent="0.45">
      <c r="A502" s="13">
        <v>497</v>
      </c>
      <c r="B502" s="155"/>
      <c r="C502" s="85"/>
      <c r="D502" s="1"/>
      <c r="E502" s="1"/>
      <c r="F502" s="1"/>
      <c r="G502" s="1"/>
      <c r="H502" s="307"/>
      <c r="I502" s="1"/>
      <c r="J502" s="1"/>
      <c r="K502" s="15"/>
      <c r="L502" s="17"/>
      <c r="M502" s="238"/>
      <c r="N502" s="17"/>
      <c r="O502" s="15"/>
      <c r="P502" s="17"/>
      <c r="Q502" s="307"/>
      <c r="R502" s="238"/>
      <c r="S502" s="17"/>
      <c r="T502" s="15"/>
      <c r="U502" s="17"/>
      <c r="V502" s="262"/>
      <c r="W502" s="262"/>
      <c r="X502" s="1"/>
      <c r="Y502" s="1"/>
      <c r="Z502" s="1"/>
      <c r="AA502" s="1"/>
      <c r="AB502" s="1"/>
      <c r="AC502" s="1"/>
      <c r="AD502" s="1"/>
      <c r="AE502" s="1"/>
      <c r="AF502" s="1"/>
      <c r="AG502" s="15"/>
      <c r="AH502" s="15"/>
      <c r="AI502" s="17"/>
      <c r="AJ502" s="15"/>
      <c r="AK502" s="124"/>
      <c r="AL502" s="17"/>
      <c r="AM502" s="17"/>
      <c r="AN502" s="263"/>
      <c r="AO502" s="1"/>
      <c r="AP502" s="1"/>
      <c r="AQ502" s="307"/>
      <c r="AR502" s="1"/>
      <c r="AS502" s="11"/>
      <c r="AT502" s="11"/>
      <c r="AU502" s="214"/>
      <c r="AV502" s="268"/>
      <c r="AW502" s="1"/>
      <c r="AX502" s="210"/>
      <c r="AY502" s="60"/>
      <c r="AZ502" s="15"/>
      <c r="BA502" s="15"/>
      <c r="BB502" s="1"/>
      <c r="BC502" s="49" t="e">
        <f>IF(OR(#REF!="",#REF!="")=TRUE,"",NETWORKDAYS.INTL(#REF!,#REF!))</f>
        <v>#REF!</v>
      </c>
    </row>
    <row r="503" spans="1:55" x14ac:dyDescent="0.45">
      <c r="A503" s="13">
        <v>498</v>
      </c>
      <c r="B503" s="155"/>
      <c r="C503" s="85"/>
      <c r="D503" s="1"/>
      <c r="E503" s="1"/>
      <c r="F503" s="1"/>
      <c r="G503" s="1"/>
      <c r="H503" s="307"/>
      <c r="I503" s="1"/>
      <c r="J503" s="1"/>
      <c r="K503" s="15"/>
      <c r="L503" s="17"/>
      <c r="M503" s="238"/>
      <c r="N503" s="17"/>
      <c r="O503" s="15"/>
      <c r="P503" s="17"/>
      <c r="Q503" s="307"/>
      <c r="R503" s="238"/>
      <c r="S503" s="17"/>
      <c r="T503" s="15"/>
      <c r="U503" s="17"/>
      <c r="V503" s="262"/>
      <c r="W503" s="262"/>
      <c r="X503" s="1"/>
      <c r="Y503" s="1"/>
      <c r="Z503" s="1"/>
      <c r="AA503" s="1"/>
      <c r="AB503" s="1"/>
      <c r="AC503" s="1"/>
      <c r="AD503" s="1"/>
      <c r="AE503" s="1"/>
      <c r="AF503" s="1"/>
      <c r="AG503" s="15"/>
      <c r="AH503" s="15"/>
      <c r="AI503" s="17"/>
      <c r="AJ503" s="15"/>
      <c r="AK503" s="124"/>
      <c r="AL503" s="17"/>
      <c r="AM503" s="17"/>
      <c r="AN503" s="263"/>
      <c r="AO503" s="1"/>
      <c r="AP503" s="1"/>
      <c r="AQ503" s="307"/>
      <c r="AR503" s="1"/>
      <c r="AS503" s="11"/>
      <c r="AT503" s="11"/>
      <c r="AU503" s="214"/>
      <c r="AV503" s="268"/>
      <c r="AW503" s="1"/>
      <c r="AX503" s="210"/>
      <c r="AY503" s="60"/>
      <c r="AZ503" s="15"/>
      <c r="BA503" s="15"/>
      <c r="BB503" s="1"/>
      <c r="BC503" s="49" t="e">
        <f>IF(OR(#REF!="",#REF!="")=TRUE,"",NETWORKDAYS.INTL(#REF!,#REF!))</f>
        <v>#REF!</v>
      </c>
    </row>
    <row r="504" spans="1:55" x14ac:dyDescent="0.45">
      <c r="A504" s="12">
        <v>499</v>
      </c>
      <c r="B504" s="150"/>
      <c r="C504" s="53"/>
      <c r="D504" s="1"/>
      <c r="E504" s="1"/>
      <c r="F504" s="1"/>
      <c r="G504" s="1"/>
      <c r="H504" s="307"/>
      <c r="I504" s="1"/>
      <c r="J504" s="1"/>
      <c r="K504" s="15"/>
      <c r="L504" s="17"/>
      <c r="M504" s="238"/>
      <c r="N504" s="17"/>
      <c r="O504" s="15"/>
      <c r="P504" s="17"/>
      <c r="Q504" s="307"/>
      <c r="R504" s="238"/>
      <c r="S504" s="17"/>
      <c r="T504" s="15"/>
      <c r="U504" s="17"/>
      <c r="V504" s="262"/>
      <c r="W504" s="262"/>
      <c r="X504" s="1"/>
      <c r="Y504" s="1"/>
      <c r="Z504" s="1"/>
      <c r="AA504" s="1"/>
      <c r="AB504" s="1"/>
      <c r="AC504" s="1"/>
      <c r="AD504" s="1"/>
      <c r="AE504" s="1"/>
      <c r="AF504" s="1"/>
      <c r="AG504" s="15"/>
      <c r="AH504" s="15"/>
      <c r="AI504" s="17"/>
      <c r="AJ504" s="15"/>
      <c r="AK504" s="124"/>
      <c r="AL504" s="17"/>
      <c r="AM504" s="17"/>
      <c r="AN504" s="263"/>
      <c r="AO504" s="1"/>
      <c r="AP504" s="1"/>
      <c r="AQ504" s="307"/>
      <c r="AR504" s="1"/>
      <c r="AS504" s="11"/>
      <c r="AT504" s="11"/>
      <c r="AU504" s="214"/>
      <c r="AV504" s="268"/>
      <c r="AW504" s="1"/>
      <c r="AX504" s="210"/>
      <c r="AY504" s="60"/>
      <c r="AZ504" s="15"/>
      <c r="BA504" s="15"/>
      <c r="BB504" s="1"/>
      <c r="BC504" s="49" t="e">
        <f>IF(OR(#REF!="",#REF!="")=TRUE,"",NETWORKDAYS.INTL(#REF!,#REF!))</f>
        <v>#REF!</v>
      </c>
    </row>
    <row r="505" spans="1:55" x14ac:dyDescent="0.45">
      <c r="A505" s="13">
        <v>500</v>
      </c>
      <c r="B505" s="155"/>
      <c r="C505" s="85"/>
      <c r="D505" s="1"/>
      <c r="E505" s="1"/>
      <c r="F505" s="1"/>
      <c r="G505" s="1"/>
      <c r="H505" s="307"/>
      <c r="I505" s="1"/>
      <c r="J505" s="1"/>
      <c r="K505" s="15"/>
      <c r="L505" s="17"/>
      <c r="M505" s="238"/>
      <c r="N505" s="17"/>
      <c r="O505" s="15"/>
      <c r="P505" s="17"/>
      <c r="Q505" s="307"/>
      <c r="R505" s="238"/>
      <c r="S505" s="17"/>
      <c r="T505" s="15"/>
      <c r="U505" s="17"/>
      <c r="V505" s="262"/>
      <c r="W505" s="262"/>
      <c r="X505" s="1"/>
      <c r="Y505" s="1"/>
      <c r="Z505" s="1"/>
      <c r="AA505" s="1"/>
      <c r="AB505" s="1"/>
      <c r="AC505" s="1"/>
      <c r="AD505" s="1"/>
      <c r="AE505" s="1"/>
      <c r="AF505" s="1"/>
      <c r="AG505" s="15"/>
      <c r="AH505" s="15"/>
      <c r="AI505" s="17"/>
      <c r="AJ505" s="15"/>
      <c r="AK505" s="124"/>
      <c r="AL505" s="17"/>
      <c r="AM505" s="17"/>
      <c r="AN505" s="263"/>
      <c r="AO505" s="1"/>
      <c r="AP505" s="1"/>
      <c r="AQ505" s="307"/>
      <c r="AR505" s="1"/>
      <c r="AS505" s="11"/>
      <c r="AT505" s="11"/>
      <c r="AU505" s="214"/>
      <c r="AV505" s="268"/>
      <c r="AW505" s="1"/>
      <c r="AX505" s="210"/>
      <c r="AY505" s="60"/>
      <c r="AZ505" s="15"/>
      <c r="BA505" s="15"/>
      <c r="BB505" s="1"/>
      <c r="BC505" s="49" t="e">
        <f>IF(OR(#REF!="",#REF!="")=TRUE,"",NETWORKDAYS.INTL(#REF!,#REF!))</f>
        <v>#REF!</v>
      </c>
    </row>
    <row r="506" spans="1:55" x14ac:dyDescent="0.45">
      <c r="A506" s="13">
        <v>501</v>
      </c>
      <c r="B506" s="155"/>
      <c r="C506" s="85"/>
      <c r="D506" s="1"/>
      <c r="E506" s="1"/>
      <c r="F506" s="1"/>
      <c r="G506" s="1"/>
      <c r="H506" s="307"/>
      <c r="I506" s="1"/>
      <c r="J506" s="1"/>
      <c r="K506" s="15"/>
      <c r="L506" s="17"/>
      <c r="M506" s="238"/>
      <c r="N506" s="17"/>
      <c r="O506" s="15"/>
      <c r="P506" s="17"/>
      <c r="Q506" s="307"/>
      <c r="R506" s="238"/>
      <c r="S506" s="17"/>
      <c r="T506" s="15"/>
      <c r="U506" s="17"/>
      <c r="V506" s="262"/>
      <c r="W506" s="262"/>
      <c r="X506" s="1"/>
      <c r="Y506" s="1"/>
      <c r="Z506" s="1"/>
      <c r="AA506" s="1"/>
      <c r="AB506" s="1"/>
      <c r="AC506" s="1"/>
      <c r="AD506" s="1"/>
      <c r="AE506" s="1"/>
      <c r="AF506" s="1"/>
      <c r="AG506" s="15"/>
      <c r="AH506" s="15"/>
      <c r="AI506" s="17"/>
      <c r="AJ506" s="15"/>
      <c r="AK506" s="124"/>
      <c r="AL506" s="17"/>
      <c r="AM506" s="17"/>
      <c r="AN506" s="263"/>
      <c r="AO506" s="1"/>
      <c r="AP506" s="1"/>
      <c r="AQ506" s="307"/>
      <c r="AR506" s="1"/>
      <c r="AS506" s="11"/>
      <c r="AT506" s="11"/>
      <c r="AU506" s="214"/>
      <c r="AV506" s="268"/>
      <c r="AW506" s="1"/>
      <c r="AX506" s="210"/>
      <c r="AY506" s="60"/>
      <c r="AZ506" s="15"/>
      <c r="BA506" s="15"/>
      <c r="BB506" s="1"/>
      <c r="BC506" s="49" t="e">
        <f>IF(OR(#REF!="",#REF!="")=TRUE,"",NETWORKDAYS.INTL(#REF!,#REF!))</f>
        <v>#REF!</v>
      </c>
    </row>
    <row r="507" spans="1:55" x14ac:dyDescent="0.45">
      <c r="A507" s="12">
        <v>502</v>
      </c>
      <c r="B507" s="150"/>
      <c r="C507" s="53"/>
      <c r="D507" s="1"/>
      <c r="E507" s="1"/>
      <c r="F507" s="1"/>
      <c r="G507" s="1"/>
      <c r="H507" s="307"/>
      <c r="I507" s="1"/>
      <c r="J507" s="1"/>
      <c r="K507" s="15"/>
      <c r="L507" s="17"/>
      <c r="M507" s="238"/>
      <c r="N507" s="17"/>
      <c r="O507" s="15"/>
      <c r="P507" s="17"/>
      <c r="Q507" s="307"/>
      <c r="R507" s="238"/>
      <c r="S507" s="17"/>
      <c r="T507" s="15"/>
      <c r="U507" s="17"/>
      <c r="V507" s="262"/>
      <c r="W507" s="262"/>
      <c r="X507" s="1"/>
      <c r="Y507" s="1"/>
      <c r="Z507" s="1"/>
      <c r="AA507" s="1"/>
      <c r="AB507" s="1"/>
      <c r="AC507" s="1"/>
      <c r="AD507" s="1"/>
      <c r="AE507" s="1"/>
      <c r="AF507" s="1"/>
      <c r="AG507" s="15"/>
      <c r="AH507" s="15"/>
      <c r="AI507" s="17"/>
      <c r="AJ507" s="15"/>
      <c r="AK507" s="124"/>
      <c r="AL507" s="17"/>
      <c r="AM507" s="17"/>
      <c r="AN507" s="263"/>
      <c r="AO507" s="1"/>
      <c r="AP507" s="1"/>
      <c r="AQ507" s="307"/>
      <c r="AR507" s="1"/>
      <c r="AS507" s="11"/>
      <c r="AT507" s="11"/>
      <c r="AU507" s="214"/>
      <c r="AV507" s="268"/>
      <c r="AW507" s="1"/>
      <c r="AX507" s="210"/>
      <c r="AY507" s="60"/>
      <c r="AZ507" s="15"/>
      <c r="BA507" s="15"/>
      <c r="BB507" s="1"/>
      <c r="BC507" s="49" t="e">
        <f>IF(OR(#REF!="",#REF!="")=TRUE,"",NETWORKDAYS.INTL(#REF!,#REF!))</f>
        <v>#REF!</v>
      </c>
    </row>
    <row r="508" spans="1:55" x14ac:dyDescent="0.45">
      <c r="A508" s="13">
        <v>503</v>
      </c>
      <c r="B508" s="155"/>
      <c r="C508" s="85"/>
      <c r="D508" s="1"/>
      <c r="E508" s="1"/>
      <c r="F508" s="1"/>
      <c r="G508" s="1"/>
      <c r="H508" s="307"/>
      <c r="I508" s="1"/>
      <c r="J508" s="1"/>
      <c r="K508" s="15"/>
      <c r="L508" s="17"/>
      <c r="M508" s="238"/>
      <c r="N508" s="17"/>
      <c r="O508" s="15"/>
      <c r="P508" s="17"/>
      <c r="Q508" s="307"/>
      <c r="R508" s="238"/>
      <c r="S508" s="17"/>
      <c r="T508" s="15"/>
      <c r="U508" s="17"/>
      <c r="V508" s="262"/>
      <c r="W508" s="262"/>
      <c r="X508" s="1"/>
      <c r="Y508" s="1"/>
      <c r="Z508" s="1"/>
      <c r="AA508" s="1"/>
      <c r="AB508" s="1"/>
      <c r="AC508" s="1"/>
      <c r="AD508" s="1"/>
      <c r="AE508" s="1"/>
      <c r="AF508" s="1"/>
      <c r="AG508" s="15"/>
      <c r="AH508" s="15"/>
      <c r="AI508" s="17"/>
      <c r="AJ508" s="15"/>
      <c r="AK508" s="124"/>
      <c r="AL508" s="17"/>
      <c r="AM508" s="17"/>
      <c r="AN508" s="263"/>
      <c r="AO508" s="1"/>
      <c r="AP508" s="1"/>
      <c r="AQ508" s="307"/>
      <c r="AR508" s="1"/>
      <c r="AS508" s="11"/>
      <c r="AT508" s="11"/>
      <c r="AU508" s="214"/>
      <c r="AV508" s="268"/>
      <c r="AW508" s="1"/>
      <c r="AX508" s="210"/>
      <c r="AY508" s="60"/>
      <c r="AZ508" s="15"/>
      <c r="BA508" s="15"/>
      <c r="BB508" s="1"/>
      <c r="BC508" s="49" t="e">
        <f>IF(OR(#REF!="",#REF!="")=TRUE,"",NETWORKDAYS.INTL(#REF!,#REF!))</f>
        <v>#REF!</v>
      </c>
    </row>
    <row r="509" spans="1:55" x14ac:dyDescent="0.45">
      <c r="A509" s="13">
        <v>504</v>
      </c>
      <c r="B509" s="155"/>
      <c r="C509" s="85"/>
      <c r="D509" s="1"/>
      <c r="E509" s="1"/>
      <c r="F509" s="1"/>
      <c r="G509" s="1"/>
      <c r="H509" s="307"/>
      <c r="I509" s="1"/>
      <c r="J509" s="1"/>
      <c r="K509" s="15"/>
      <c r="L509" s="17"/>
      <c r="M509" s="238"/>
      <c r="N509" s="17"/>
      <c r="O509" s="15"/>
      <c r="P509" s="17"/>
      <c r="Q509" s="307"/>
      <c r="R509" s="238"/>
      <c r="S509" s="17"/>
      <c r="T509" s="15"/>
      <c r="U509" s="17"/>
      <c r="V509" s="262"/>
      <c r="W509" s="262"/>
      <c r="X509" s="1"/>
      <c r="Y509" s="1"/>
      <c r="Z509" s="1"/>
      <c r="AA509" s="1"/>
      <c r="AB509" s="1"/>
      <c r="AC509" s="1"/>
      <c r="AD509" s="1"/>
      <c r="AE509" s="1"/>
      <c r="AF509" s="1"/>
      <c r="AG509" s="15"/>
      <c r="AH509" s="15"/>
      <c r="AI509" s="17"/>
      <c r="AJ509" s="15"/>
      <c r="AK509" s="124"/>
      <c r="AL509" s="17"/>
      <c r="AM509" s="17"/>
      <c r="AN509" s="263"/>
      <c r="AO509" s="1"/>
      <c r="AP509" s="1"/>
      <c r="AQ509" s="307"/>
      <c r="AR509" s="1"/>
      <c r="AS509" s="11"/>
      <c r="AT509" s="11"/>
      <c r="AU509" s="214"/>
      <c r="AV509" s="268"/>
      <c r="AW509" s="1"/>
      <c r="AX509" s="210"/>
      <c r="AY509" s="60"/>
      <c r="AZ509" s="15"/>
      <c r="BA509" s="15"/>
      <c r="BB509" s="1"/>
      <c r="BC509" s="49" t="e">
        <f>IF(OR(#REF!="",#REF!="")=TRUE,"",NETWORKDAYS.INTL(#REF!,#REF!))</f>
        <v>#REF!</v>
      </c>
    </row>
    <row r="510" spans="1:55" x14ac:dyDescent="0.45">
      <c r="A510" s="12">
        <v>505</v>
      </c>
      <c r="B510" s="150"/>
      <c r="C510" s="53"/>
      <c r="D510" s="1"/>
      <c r="E510" s="1"/>
      <c r="F510" s="1"/>
      <c r="G510" s="1"/>
      <c r="H510" s="307"/>
      <c r="I510" s="1"/>
      <c r="J510" s="1"/>
      <c r="K510" s="15"/>
      <c r="L510" s="17"/>
      <c r="M510" s="238"/>
      <c r="N510" s="17"/>
      <c r="O510" s="15"/>
      <c r="P510" s="17"/>
      <c r="Q510" s="307"/>
      <c r="R510" s="238"/>
      <c r="S510" s="17"/>
      <c r="T510" s="15"/>
      <c r="U510" s="17"/>
      <c r="V510" s="262"/>
      <c r="W510" s="262"/>
      <c r="X510" s="1"/>
      <c r="Y510" s="1"/>
      <c r="Z510" s="1"/>
      <c r="AA510" s="1"/>
      <c r="AB510" s="1"/>
      <c r="AC510" s="1"/>
      <c r="AD510" s="1"/>
      <c r="AE510" s="1"/>
      <c r="AF510" s="1"/>
      <c r="AG510" s="15"/>
      <c r="AH510" s="15"/>
      <c r="AI510" s="17"/>
      <c r="AJ510" s="15"/>
      <c r="AK510" s="124"/>
      <c r="AL510" s="17"/>
      <c r="AM510" s="17"/>
      <c r="AN510" s="263"/>
      <c r="AO510" s="1"/>
      <c r="AP510" s="1"/>
      <c r="AQ510" s="307"/>
      <c r="AR510" s="1"/>
      <c r="AS510" s="11"/>
      <c r="AT510" s="11"/>
      <c r="AU510" s="214"/>
      <c r="AV510" s="268"/>
      <c r="AW510" s="1"/>
      <c r="AX510" s="210"/>
      <c r="AY510" s="60"/>
      <c r="AZ510" s="15"/>
      <c r="BA510" s="15"/>
      <c r="BB510" s="1"/>
      <c r="BC510" s="49" t="e">
        <f>IF(OR(#REF!="",#REF!="")=TRUE,"",NETWORKDAYS.INTL(#REF!,#REF!))</f>
        <v>#REF!</v>
      </c>
    </row>
    <row r="511" spans="1:55" x14ac:dyDescent="0.45">
      <c r="A511" s="13">
        <v>506</v>
      </c>
      <c r="B511" s="155"/>
      <c r="C511" s="85"/>
      <c r="D511" s="1"/>
      <c r="E511" s="1"/>
      <c r="F511" s="1"/>
      <c r="G511" s="1"/>
      <c r="H511" s="307"/>
      <c r="I511" s="1"/>
      <c r="J511" s="1"/>
      <c r="K511" s="15"/>
      <c r="L511" s="17"/>
      <c r="M511" s="238"/>
      <c r="N511" s="17"/>
      <c r="O511" s="15"/>
      <c r="P511" s="17"/>
      <c r="Q511" s="307"/>
      <c r="R511" s="238"/>
      <c r="S511" s="17"/>
      <c r="T511" s="15"/>
      <c r="U511" s="17"/>
      <c r="V511" s="262"/>
      <c r="W511" s="262"/>
      <c r="X511" s="1"/>
      <c r="Y511" s="1"/>
      <c r="Z511" s="1"/>
      <c r="AA511" s="1"/>
      <c r="AB511" s="1"/>
      <c r="AC511" s="1"/>
      <c r="AD511" s="1"/>
      <c r="AE511" s="1"/>
      <c r="AF511" s="1"/>
      <c r="AG511" s="15"/>
      <c r="AH511" s="15"/>
      <c r="AI511" s="17"/>
      <c r="AJ511" s="15"/>
      <c r="AK511" s="124"/>
      <c r="AL511" s="17"/>
      <c r="AM511" s="17"/>
      <c r="AN511" s="263"/>
      <c r="AO511" s="1"/>
      <c r="AP511" s="1"/>
      <c r="AQ511" s="307"/>
      <c r="AR511" s="1"/>
      <c r="AS511" s="11"/>
      <c r="AT511" s="11"/>
      <c r="AU511" s="214"/>
      <c r="AV511" s="268"/>
      <c r="AW511" s="1"/>
      <c r="AX511" s="210"/>
      <c r="AY511" s="60"/>
      <c r="AZ511" s="15"/>
      <c r="BA511" s="15"/>
      <c r="BB511" s="1"/>
      <c r="BC511" s="49" t="e">
        <f>IF(OR(#REF!="",#REF!="")=TRUE,"",NETWORKDAYS.INTL(#REF!,#REF!))</f>
        <v>#REF!</v>
      </c>
    </row>
    <row r="512" spans="1:55" x14ac:dyDescent="0.45">
      <c r="A512" s="13">
        <v>507</v>
      </c>
      <c r="B512" s="155"/>
      <c r="C512" s="85"/>
      <c r="D512" s="1"/>
      <c r="E512" s="1"/>
      <c r="F512" s="1"/>
      <c r="G512" s="1"/>
      <c r="H512" s="307"/>
      <c r="I512" s="1"/>
      <c r="J512" s="1"/>
      <c r="K512" s="15"/>
      <c r="L512" s="17"/>
      <c r="M512" s="238"/>
      <c r="N512" s="17"/>
      <c r="O512" s="15"/>
      <c r="P512" s="17"/>
      <c r="Q512" s="307"/>
      <c r="R512" s="238"/>
      <c r="S512" s="17"/>
      <c r="T512" s="15"/>
      <c r="U512" s="17"/>
      <c r="V512" s="262"/>
      <c r="W512" s="262"/>
      <c r="X512" s="1"/>
      <c r="Y512" s="1"/>
      <c r="Z512" s="1"/>
      <c r="AA512" s="1"/>
      <c r="AB512" s="1"/>
      <c r="AC512" s="1"/>
      <c r="AD512" s="1"/>
      <c r="AE512" s="1"/>
      <c r="AF512" s="1"/>
      <c r="AG512" s="15"/>
      <c r="AH512" s="15"/>
      <c r="AI512" s="17"/>
      <c r="AJ512" s="15"/>
      <c r="AK512" s="124"/>
      <c r="AL512" s="17"/>
      <c r="AM512" s="17"/>
      <c r="AN512" s="263"/>
      <c r="AO512" s="1"/>
      <c r="AP512" s="1"/>
      <c r="AQ512" s="307"/>
      <c r="AR512" s="1"/>
      <c r="AS512" s="11"/>
      <c r="AT512" s="11"/>
      <c r="AU512" s="214"/>
      <c r="AV512" s="268"/>
      <c r="AW512" s="1"/>
      <c r="AX512" s="210"/>
      <c r="AY512" s="60"/>
      <c r="AZ512" s="15"/>
      <c r="BA512" s="15"/>
      <c r="BB512" s="1"/>
      <c r="BC512" s="49" t="e">
        <f>IF(OR(#REF!="",#REF!="")=TRUE,"",NETWORKDAYS.INTL(#REF!,#REF!))</f>
        <v>#REF!</v>
      </c>
    </row>
    <row r="513" spans="1:55" x14ac:dyDescent="0.45">
      <c r="A513" s="12">
        <v>508</v>
      </c>
      <c r="B513" s="150"/>
      <c r="C513" s="53"/>
      <c r="D513" s="1"/>
      <c r="E513" s="1"/>
      <c r="F513" s="1"/>
      <c r="G513" s="1"/>
      <c r="H513" s="307"/>
      <c r="I513" s="1"/>
      <c r="J513" s="1"/>
      <c r="K513" s="15"/>
      <c r="L513" s="17"/>
      <c r="M513" s="238"/>
      <c r="N513" s="17"/>
      <c r="O513" s="15"/>
      <c r="P513" s="17"/>
      <c r="Q513" s="307"/>
      <c r="R513" s="238"/>
      <c r="S513" s="17"/>
      <c r="T513" s="15"/>
      <c r="U513" s="17"/>
      <c r="V513" s="262"/>
      <c r="W513" s="262"/>
      <c r="X513" s="1"/>
      <c r="Y513" s="1"/>
      <c r="Z513" s="1"/>
      <c r="AA513" s="1"/>
      <c r="AB513" s="1"/>
      <c r="AC513" s="1"/>
      <c r="AD513" s="1"/>
      <c r="AE513" s="1"/>
      <c r="AF513" s="1"/>
      <c r="AG513" s="15"/>
      <c r="AH513" s="15"/>
      <c r="AI513" s="17"/>
      <c r="AJ513" s="15"/>
      <c r="AK513" s="124"/>
      <c r="AL513" s="17"/>
      <c r="AM513" s="17"/>
      <c r="AN513" s="263"/>
      <c r="AO513" s="1"/>
      <c r="AP513" s="1"/>
      <c r="AQ513" s="307"/>
      <c r="AR513" s="1"/>
      <c r="AS513" s="11"/>
      <c r="AT513" s="11"/>
      <c r="AU513" s="214"/>
      <c r="AV513" s="268"/>
      <c r="AW513" s="1"/>
      <c r="AX513" s="210"/>
      <c r="AY513" s="60"/>
      <c r="AZ513" s="15"/>
      <c r="BA513" s="15"/>
      <c r="BB513" s="1"/>
      <c r="BC513" s="49" t="e">
        <f>IF(OR(#REF!="",#REF!="")=TRUE,"",NETWORKDAYS.INTL(#REF!,#REF!))</f>
        <v>#REF!</v>
      </c>
    </row>
    <row r="514" spans="1:55" x14ac:dyDescent="0.45">
      <c r="A514" s="13">
        <v>509</v>
      </c>
      <c r="B514" s="155"/>
      <c r="C514" s="85"/>
      <c r="D514" s="1"/>
      <c r="E514" s="1"/>
      <c r="F514" s="1"/>
      <c r="G514" s="1"/>
      <c r="H514" s="307"/>
      <c r="I514" s="1"/>
      <c r="J514" s="1"/>
      <c r="K514" s="15"/>
      <c r="L514" s="17"/>
      <c r="M514" s="238"/>
      <c r="N514" s="17"/>
      <c r="O514" s="15"/>
      <c r="P514" s="17"/>
      <c r="Q514" s="307"/>
      <c r="R514" s="238"/>
      <c r="S514" s="17"/>
      <c r="T514" s="15"/>
      <c r="U514" s="17"/>
      <c r="V514" s="262"/>
      <c r="W514" s="262"/>
      <c r="X514" s="1"/>
      <c r="Y514" s="1"/>
      <c r="Z514" s="1"/>
      <c r="AA514" s="1"/>
      <c r="AB514" s="1"/>
      <c r="AC514" s="1"/>
      <c r="AD514" s="1"/>
      <c r="AE514" s="1"/>
      <c r="AF514" s="1"/>
      <c r="AG514" s="15"/>
      <c r="AH514" s="15"/>
      <c r="AI514" s="17"/>
      <c r="AJ514" s="15"/>
      <c r="AK514" s="124"/>
      <c r="AL514" s="17"/>
      <c r="AM514" s="17"/>
      <c r="AN514" s="263"/>
      <c r="AO514" s="1"/>
      <c r="AP514" s="1"/>
      <c r="AQ514" s="307"/>
      <c r="AR514" s="1"/>
      <c r="AS514" s="11"/>
      <c r="AT514" s="11"/>
      <c r="AU514" s="214"/>
      <c r="AV514" s="268"/>
      <c r="AW514" s="1"/>
      <c r="AX514" s="210"/>
      <c r="AY514" s="60"/>
      <c r="AZ514" s="15"/>
      <c r="BA514" s="15"/>
      <c r="BB514" s="1"/>
      <c r="BC514" s="49" t="e">
        <f>IF(OR(#REF!="",#REF!="")=TRUE,"",NETWORKDAYS.INTL(#REF!,#REF!))</f>
        <v>#REF!</v>
      </c>
    </row>
    <row r="515" spans="1:55" x14ac:dyDescent="0.45">
      <c r="A515" s="13">
        <v>510</v>
      </c>
      <c r="B515" s="155"/>
      <c r="C515" s="85"/>
      <c r="D515" s="1"/>
      <c r="E515" s="1"/>
      <c r="F515" s="1"/>
      <c r="G515" s="1"/>
      <c r="H515" s="307"/>
      <c r="I515" s="1"/>
      <c r="J515" s="1"/>
      <c r="K515" s="15"/>
      <c r="L515" s="17"/>
      <c r="M515" s="238"/>
      <c r="N515" s="17"/>
      <c r="O515" s="15"/>
      <c r="P515" s="17"/>
      <c r="Q515" s="307"/>
      <c r="R515" s="238"/>
      <c r="S515" s="17"/>
      <c r="T515" s="15"/>
      <c r="U515" s="17"/>
      <c r="V515" s="262"/>
      <c r="W515" s="262"/>
      <c r="X515" s="1"/>
      <c r="Y515" s="1"/>
      <c r="Z515" s="1"/>
      <c r="AA515" s="1"/>
      <c r="AB515" s="1"/>
      <c r="AC515" s="1"/>
      <c r="AD515" s="1"/>
      <c r="AE515" s="1"/>
      <c r="AF515" s="1"/>
      <c r="AG515" s="15"/>
      <c r="AH515" s="15"/>
      <c r="AI515" s="17"/>
      <c r="AJ515" s="15"/>
      <c r="AK515" s="124"/>
      <c r="AL515" s="17"/>
      <c r="AM515" s="17"/>
      <c r="AN515" s="263"/>
      <c r="AO515" s="1"/>
      <c r="AP515" s="1"/>
      <c r="AQ515" s="307"/>
      <c r="AR515" s="1"/>
      <c r="AS515" s="11"/>
      <c r="AT515" s="11"/>
      <c r="AU515" s="214"/>
      <c r="AV515" s="268"/>
      <c r="AW515" s="1"/>
      <c r="AX515" s="210"/>
      <c r="AY515" s="60"/>
      <c r="AZ515" s="15"/>
      <c r="BA515" s="15"/>
      <c r="BB515" s="1"/>
      <c r="BC515" s="49" t="e">
        <f>IF(OR(#REF!="",#REF!="")=TRUE,"",NETWORKDAYS.INTL(#REF!,#REF!))</f>
        <v>#REF!</v>
      </c>
    </row>
    <row r="516" spans="1:55" x14ac:dyDescent="0.45">
      <c r="A516" s="12">
        <v>511</v>
      </c>
      <c r="B516" s="150"/>
      <c r="C516" s="53"/>
      <c r="D516" s="1"/>
      <c r="E516" s="1"/>
      <c r="F516" s="1"/>
      <c r="G516" s="1"/>
      <c r="H516" s="307"/>
      <c r="I516" s="1"/>
      <c r="J516" s="1"/>
      <c r="K516" s="15"/>
      <c r="L516" s="17"/>
      <c r="M516" s="238"/>
      <c r="N516" s="17"/>
      <c r="O516" s="15"/>
      <c r="P516" s="17"/>
      <c r="Q516" s="307"/>
      <c r="R516" s="238"/>
      <c r="S516" s="17"/>
      <c r="T516" s="15"/>
      <c r="U516" s="17"/>
      <c r="V516" s="262"/>
      <c r="W516" s="262"/>
      <c r="X516" s="1"/>
      <c r="Y516" s="1"/>
      <c r="Z516" s="1"/>
      <c r="AA516" s="1"/>
      <c r="AB516" s="1"/>
      <c r="AC516" s="1"/>
      <c r="AD516" s="1"/>
      <c r="AE516" s="1"/>
      <c r="AF516" s="1"/>
      <c r="AG516" s="15"/>
      <c r="AH516" s="15"/>
      <c r="AI516" s="17"/>
      <c r="AJ516" s="15"/>
      <c r="AK516" s="124"/>
      <c r="AL516" s="17"/>
      <c r="AM516" s="17"/>
      <c r="AN516" s="263"/>
      <c r="AO516" s="1"/>
      <c r="AP516" s="1"/>
      <c r="AQ516" s="307"/>
      <c r="AR516" s="1"/>
      <c r="AS516" s="11"/>
      <c r="AT516" s="11"/>
      <c r="AU516" s="214"/>
      <c r="AV516" s="268"/>
      <c r="AW516" s="1"/>
      <c r="AX516" s="210"/>
      <c r="AY516" s="60"/>
      <c r="AZ516" s="15"/>
      <c r="BA516" s="15"/>
      <c r="BB516" s="1"/>
      <c r="BC516" s="49" t="e">
        <f>IF(OR(#REF!="",#REF!="")=TRUE,"",NETWORKDAYS.INTL(#REF!,#REF!))</f>
        <v>#REF!</v>
      </c>
    </row>
    <row r="517" spans="1:55" x14ac:dyDescent="0.45">
      <c r="A517" s="13">
        <v>512</v>
      </c>
      <c r="B517" s="155"/>
      <c r="C517" s="85"/>
      <c r="D517" s="1"/>
      <c r="E517" s="1"/>
      <c r="F517" s="1"/>
      <c r="G517" s="1"/>
      <c r="H517" s="307"/>
      <c r="I517" s="1"/>
      <c r="J517" s="1"/>
      <c r="K517" s="15"/>
      <c r="L517" s="17"/>
      <c r="M517" s="238"/>
      <c r="N517" s="17"/>
      <c r="O517" s="15"/>
      <c r="P517" s="17"/>
      <c r="Q517" s="307"/>
      <c r="R517" s="238"/>
      <c r="S517" s="17"/>
      <c r="T517" s="15"/>
      <c r="U517" s="17"/>
      <c r="V517" s="262"/>
      <c r="W517" s="262"/>
      <c r="X517" s="1"/>
      <c r="Y517" s="1"/>
      <c r="Z517" s="1"/>
      <c r="AA517" s="1"/>
      <c r="AB517" s="1"/>
      <c r="AC517" s="1"/>
      <c r="AD517" s="1"/>
      <c r="AE517" s="1"/>
      <c r="AF517" s="1"/>
      <c r="AG517" s="15"/>
      <c r="AH517" s="15"/>
      <c r="AI517" s="17"/>
      <c r="AJ517" s="15"/>
      <c r="AK517" s="124"/>
      <c r="AL517" s="17"/>
      <c r="AM517" s="17"/>
      <c r="AN517" s="263"/>
      <c r="AO517" s="1"/>
      <c r="AP517" s="1"/>
      <c r="AQ517" s="307"/>
      <c r="AR517" s="1"/>
      <c r="AS517" s="11"/>
      <c r="AT517" s="11"/>
      <c r="AU517" s="214"/>
      <c r="AV517" s="268"/>
      <c r="AW517" s="1"/>
      <c r="AX517" s="210"/>
      <c r="AY517" s="60"/>
      <c r="AZ517" s="15"/>
      <c r="BA517" s="15"/>
      <c r="BB517" s="1"/>
      <c r="BC517" s="49" t="e">
        <f>IF(OR(#REF!="",#REF!="")=TRUE,"",NETWORKDAYS.INTL(#REF!,#REF!))</f>
        <v>#REF!</v>
      </c>
    </row>
    <row r="518" spans="1:55" x14ac:dyDescent="0.45">
      <c r="A518" s="13">
        <v>513</v>
      </c>
      <c r="B518" s="155"/>
      <c r="C518" s="85"/>
      <c r="D518" s="1"/>
      <c r="E518" s="1"/>
      <c r="F518" s="1"/>
      <c r="G518" s="1"/>
      <c r="H518" s="307"/>
      <c r="I518" s="1"/>
      <c r="J518" s="1"/>
      <c r="K518" s="15"/>
      <c r="L518" s="17"/>
      <c r="M518" s="238"/>
      <c r="N518" s="17"/>
      <c r="O518" s="15"/>
      <c r="P518" s="17"/>
      <c r="Q518" s="307"/>
      <c r="R518" s="238"/>
      <c r="S518" s="17"/>
      <c r="T518" s="15"/>
      <c r="U518" s="17"/>
      <c r="V518" s="262"/>
      <c r="W518" s="262"/>
      <c r="X518" s="1"/>
      <c r="Y518" s="1"/>
      <c r="Z518" s="1"/>
      <c r="AA518" s="1"/>
      <c r="AB518" s="1"/>
      <c r="AC518" s="1"/>
      <c r="AD518" s="1"/>
      <c r="AE518" s="1"/>
      <c r="AF518" s="1"/>
      <c r="AG518" s="15"/>
      <c r="AH518" s="15"/>
      <c r="AI518" s="17"/>
      <c r="AJ518" s="15"/>
      <c r="AK518" s="124"/>
      <c r="AL518" s="17"/>
      <c r="AM518" s="17"/>
      <c r="AN518" s="263"/>
      <c r="AO518" s="1"/>
      <c r="AP518" s="1"/>
      <c r="AQ518" s="307"/>
      <c r="AR518" s="1"/>
      <c r="AS518" s="11"/>
      <c r="AT518" s="11"/>
      <c r="AU518" s="214"/>
      <c r="AV518" s="268"/>
      <c r="AW518" s="1"/>
      <c r="AX518" s="210"/>
      <c r="AY518" s="60"/>
      <c r="AZ518" s="15"/>
      <c r="BA518" s="15"/>
      <c r="BB518" s="1"/>
      <c r="BC518" s="49" t="e">
        <f>IF(OR(#REF!="",#REF!="")=TRUE,"",NETWORKDAYS.INTL(#REF!,#REF!))</f>
        <v>#REF!</v>
      </c>
    </row>
    <row r="519" spans="1:55" x14ac:dyDescent="0.45">
      <c r="A519" s="12">
        <v>514</v>
      </c>
      <c r="B519" s="150"/>
      <c r="C519" s="53"/>
      <c r="D519" s="1"/>
      <c r="E519" s="1"/>
      <c r="F519" s="1"/>
      <c r="G519" s="1"/>
      <c r="H519" s="307"/>
      <c r="I519" s="1"/>
      <c r="J519" s="1"/>
      <c r="K519" s="15"/>
      <c r="L519" s="17"/>
      <c r="M519" s="238"/>
      <c r="N519" s="17"/>
      <c r="O519" s="15"/>
      <c r="P519" s="17"/>
      <c r="Q519" s="307"/>
      <c r="R519" s="238"/>
      <c r="S519" s="17"/>
      <c r="T519" s="15"/>
      <c r="U519" s="17"/>
      <c r="V519" s="262"/>
      <c r="W519" s="262"/>
      <c r="X519" s="1"/>
      <c r="Y519" s="1"/>
      <c r="Z519" s="1"/>
      <c r="AA519" s="1"/>
      <c r="AB519" s="1"/>
      <c r="AC519" s="1"/>
      <c r="AD519" s="1"/>
      <c r="AE519" s="1"/>
      <c r="AF519" s="1"/>
      <c r="AG519" s="15"/>
      <c r="AH519" s="15"/>
      <c r="AI519" s="17"/>
      <c r="AJ519" s="15"/>
      <c r="AK519" s="124"/>
      <c r="AL519" s="17"/>
      <c r="AM519" s="17"/>
      <c r="AN519" s="263"/>
      <c r="AO519" s="1"/>
      <c r="AP519" s="1"/>
      <c r="AQ519" s="307"/>
      <c r="AR519" s="1"/>
      <c r="AS519" s="11"/>
      <c r="AT519" s="11"/>
      <c r="AU519" s="214"/>
      <c r="AV519" s="268"/>
      <c r="AW519" s="1"/>
      <c r="AX519" s="210"/>
      <c r="AY519" s="60"/>
      <c r="AZ519" s="15"/>
      <c r="BA519" s="15"/>
      <c r="BB519" s="1"/>
      <c r="BC519" s="49" t="e">
        <f>IF(OR(#REF!="",#REF!="")=TRUE,"",NETWORKDAYS.INTL(#REF!,#REF!))</f>
        <v>#REF!</v>
      </c>
    </row>
    <row r="520" spans="1:55" x14ac:dyDescent="0.45">
      <c r="A520" s="13">
        <v>515</v>
      </c>
      <c r="B520" s="155"/>
      <c r="C520" s="85"/>
      <c r="D520" s="1"/>
      <c r="E520" s="1"/>
      <c r="F520" s="1"/>
      <c r="G520" s="1"/>
      <c r="H520" s="307"/>
      <c r="I520" s="1"/>
      <c r="J520" s="1"/>
      <c r="K520" s="15"/>
      <c r="L520" s="17"/>
      <c r="M520" s="238"/>
      <c r="N520" s="17"/>
      <c r="O520" s="15"/>
      <c r="P520" s="17"/>
      <c r="Q520" s="307"/>
      <c r="R520" s="238"/>
      <c r="S520" s="17"/>
      <c r="T520" s="15"/>
      <c r="U520" s="17"/>
      <c r="V520" s="262"/>
      <c r="W520" s="262"/>
      <c r="X520" s="1"/>
      <c r="Y520" s="1"/>
      <c r="Z520" s="1"/>
      <c r="AA520" s="1"/>
      <c r="AB520" s="1"/>
      <c r="AC520" s="1"/>
      <c r="AD520" s="1"/>
      <c r="AE520" s="1"/>
      <c r="AF520" s="1"/>
      <c r="AG520" s="15"/>
      <c r="AH520" s="15"/>
      <c r="AI520" s="17"/>
      <c r="AJ520" s="15"/>
      <c r="AK520" s="124"/>
      <c r="AL520" s="17"/>
      <c r="AM520" s="17"/>
      <c r="AN520" s="263"/>
      <c r="AO520" s="1"/>
      <c r="AP520" s="1"/>
      <c r="AQ520" s="307"/>
      <c r="AR520" s="1"/>
      <c r="AS520" s="11"/>
      <c r="AT520" s="11"/>
      <c r="AU520" s="214"/>
      <c r="AV520" s="268"/>
      <c r="AW520" s="1"/>
      <c r="AX520" s="210"/>
      <c r="AY520" s="60"/>
      <c r="AZ520" s="15"/>
      <c r="BA520" s="15"/>
      <c r="BB520" s="1"/>
      <c r="BC520" s="49" t="e">
        <f>IF(OR(#REF!="",#REF!="")=TRUE,"",NETWORKDAYS.INTL(#REF!,#REF!))</f>
        <v>#REF!</v>
      </c>
    </row>
    <row r="521" spans="1:55" x14ac:dyDescent="0.45">
      <c r="A521" s="13">
        <v>516</v>
      </c>
      <c r="B521" s="155"/>
      <c r="C521" s="85"/>
      <c r="D521" s="1"/>
      <c r="E521" s="1"/>
      <c r="F521" s="1"/>
      <c r="G521" s="1"/>
      <c r="H521" s="307"/>
      <c r="I521" s="1"/>
      <c r="J521" s="1"/>
      <c r="K521" s="15"/>
      <c r="L521" s="17"/>
      <c r="M521" s="238"/>
      <c r="N521" s="17"/>
      <c r="O521" s="15"/>
      <c r="P521" s="17"/>
      <c r="Q521" s="307"/>
      <c r="R521" s="238"/>
      <c r="S521" s="17"/>
      <c r="T521" s="15"/>
      <c r="U521" s="17"/>
      <c r="V521" s="262"/>
      <c r="W521" s="262"/>
      <c r="X521" s="1"/>
      <c r="Y521" s="1"/>
      <c r="Z521" s="1"/>
      <c r="AA521" s="1"/>
      <c r="AB521" s="1"/>
      <c r="AC521" s="1"/>
      <c r="AD521" s="1"/>
      <c r="AE521" s="1"/>
      <c r="AF521" s="1"/>
      <c r="AG521" s="15"/>
      <c r="AH521" s="15"/>
      <c r="AI521" s="17"/>
      <c r="AJ521" s="15"/>
      <c r="AK521" s="124"/>
      <c r="AL521" s="17"/>
      <c r="AM521" s="17"/>
      <c r="AN521" s="263"/>
      <c r="AO521" s="1"/>
      <c r="AP521" s="1"/>
      <c r="AQ521" s="307"/>
      <c r="AR521" s="1"/>
      <c r="AS521" s="11"/>
      <c r="AT521" s="11"/>
      <c r="AU521" s="214"/>
      <c r="AV521" s="268"/>
      <c r="AW521" s="1"/>
      <c r="AX521" s="210"/>
      <c r="AY521" s="60"/>
      <c r="AZ521" s="15"/>
      <c r="BA521" s="15"/>
      <c r="BB521" s="1"/>
      <c r="BC521" s="49" t="e">
        <f>IF(OR(#REF!="",#REF!="")=TRUE,"",NETWORKDAYS.INTL(#REF!,#REF!))</f>
        <v>#REF!</v>
      </c>
    </row>
    <row r="522" spans="1:55" x14ac:dyDescent="0.45">
      <c r="A522" s="12">
        <v>517</v>
      </c>
      <c r="B522" s="150"/>
      <c r="C522" s="53"/>
      <c r="D522" s="1"/>
      <c r="E522" s="1"/>
      <c r="F522" s="1"/>
      <c r="G522" s="1"/>
      <c r="H522" s="307"/>
      <c r="I522" s="1"/>
      <c r="J522" s="1"/>
      <c r="K522" s="15"/>
      <c r="L522" s="17"/>
      <c r="M522" s="238"/>
      <c r="N522" s="17"/>
      <c r="O522" s="15"/>
      <c r="P522" s="17"/>
      <c r="Q522" s="307"/>
      <c r="R522" s="238"/>
      <c r="S522" s="17"/>
      <c r="T522" s="15"/>
      <c r="U522" s="17"/>
      <c r="V522" s="262"/>
      <c r="W522" s="262"/>
      <c r="X522" s="1"/>
      <c r="Y522" s="1"/>
      <c r="Z522" s="1"/>
      <c r="AA522" s="1"/>
      <c r="AB522" s="1"/>
      <c r="AC522" s="1"/>
      <c r="AD522" s="1"/>
      <c r="AE522" s="1"/>
      <c r="AF522" s="1"/>
      <c r="AG522" s="15"/>
      <c r="AH522" s="15"/>
      <c r="AI522" s="17"/>
      <c r="AJ522" s="15"/>
      <c r="AK522" s="124"/>
      <c r="AL522" s="17"/>
      <c r="AM522" s="17"/>
      <c r="AN522" s="263"/>
      <c r="AO522" s="1"/>
      <c r="AP522" s="1"/>
      <c r="AQ522" s="307"/>
      <c r="AR522" s="1"/>
      <c r="AS522" s="11"/>
      <c r="AT522" s="11"/>
      <c r="AU522" s="214"/>
      <c r="AV522" s="268"/>
      <c r="AW522" s="1"/>
      <c r="AX522" s="210"/>
      <c r="AY522" s="60"/>
      <c r="AZ522" s="15"/>
      <c r="BA522" s="15"/>
      <c r="BB522" s="1"/>
      <c r="BC522" s="49" t="e">
        <f>IF(OR(#REF!="",#REF!="")=TRUE,"",NETWORKDAYS.INTL(#REF!,#REF!))</f>
        <v>#REF!</v>
      </c>
    </row>
    <row r="523" spans="1:55" x14ac:dyDescent="0.45">
      <c r="A523" s="13">
        <v>518</v>
      </c>
      <c r="B523" s="155"/>
      <c r="C523" s="85"/>
      <c r="D523" s="1"/>
      <c r="E523" s="1"/>
      <c r="F523" s="1"/>
      <c r="G523" s="1"/>
      <c r="H523" s="307"/>
      <c r="I523" s="1"/>
      <c r="J523" s="1"/>
      <c r="K523" s="15"/>
      <c r="L523" s="17"/>
      <c r="M523" s="238"/>
      <c r="N523" s="17"/>
      <c r="O523" s="15"/>
      <c r="P523" s="17"/>
      <c r="Q523" s="307"/>
      <c r="R523" s="238"/>
      <c r="S523" s="17"/>
      <c r="T523" s="15"/>
      <c r="U523" s="17"/>
      <c r="V523" s="262"/>
      <c r="W523" s="262"/>
      <c r="X523" s="1"/>
      <c r="Y523" s="1"/>
      <c r="Z523" s="1"/>
      <c r="AA523" s="1"/>
      <c r="AB523" s="1"/>
      <c r="AC523" s="1"/>
      <c r="AD523" s="1"/>
      <c r="AE523" s="1"/>
      <c r="AF523" s="1"/>
      <c r="AG523" s="15"/>
      <c r="AH523" s="15"/>
      <c r="AI523" s="17"/>
      <c r="AJ523" s="15"/>
      <c r="AK523" s="124"/>
      <c r="AL523" s="17"/>
      <c r="AM523" s="17"/>
      <c r="AN523" s="263"/>
      <c r="AO523" s="1"/>
      <c r="AP523" s="1"/>
      <c r="AQ523" s="307"/>
      <c r="AR523" s="1"/>
      <c r="AS523" s="11"/>
      <c r="AT523" s="11"/>
      <c r="AU523" s="214"/>
      <c r="AV523" s="268"/>
      <c r="AW523" s="1"/>
      <c r="AX523" s="210"/>
      <c r="AY523" s="60"/>
      <c r="AZ523" s="15"/>
      <c r="BA523" s="15"/>
      <c r="BB523" s="1"/>
      <c r="BC523" s="49" t="e">
        <f>IF(OR(#REF!="",#REF!="")=TRUE,"",NETWORKDAYS.INTL(#REF!,#REF!))</f>
        <v>#REF!</v>
      </c>
    </row>
    <row r="524" spans="1:55" x14ac:dyDescent="0.45">
      <c r="A524" s="13">
        <v>519</v>
      </c>
      <c r="B524" s="155"/>
      <c r="C524" s="85"/>
      <c r="D524" s="1"/>
      <c r="E524" s="1"/>
      <c r="F524" s="1"/>
      <c r="G524" s="1"/>
      <c r="H524" s="307"/>
      <c r="I524" s="1"/>
      <c r="J524" s="1"/>
      <c r="K524" s="15"/>
      <c r="L524" s="17"/>
      <c r="M524" s="238"/>
      <c r="N524" s="17"/>
      <c r="O524" s="15"/>
      <c r="P524" s="17"/>
      <c r="Q524" s="307"/>
      <c r="R524" s="238"/>
      <c r="S524" s="17"/>
      <c r="T524" s="15"/>
      <c r="U524" s="17"/>
      <c r="V524" s="262"/>
      <c r="W524" s="262"/>
      <c r="X524" s="1"/>
      <c r="Y524" s="1"/>
      <c r="Z524" s="1"/>
      <c r="AA524" s="1"/>
      <c r="AB524" s="1"/>
      <c r="AC524" s="1"/>
      <c r="AD524" s="1"/>
      <c r="AE524" s="1"/>
      <c r="AF524" s="1"/>
      <c r="AG524" s="15"/>
      <c r="AH524" s="15"/>
      <c r="AI524" s="17"/>
      <c r="AJ524" s="15"/>
      <c r="AK524" s="124"/>
      <c r="AL524" s="17"/>
      <c r="AM524" s="17"/>
      <c r="AN524" s="263"/>
      <c r="AO524" s="1"/>
      <c r="AP524" s="1"/>
      <c r="AQ524" s="307"/>
      <c r="AR524" s="1"/>
      <c r="AS524" s="11"/>
      <c r="AT524" s="11"/>
      <c r="AU524" s="214"/>
      <c r="AV524" s="268"/>
      <c r="AW524" s="1"/>
      <c r="AX524" s="210"/>
      <c r="AY524" s="60"/>
      <c r="AZ524" s="15"/>
      <c r="BA524" s="15"/>
      <c r="BB524" s="1"/>
      <c r="BC524" s="49" t="e">
        <f>IF(OR(#REF!="",#REF!="")=TRUE,"",NETWORKDAYS.INTL(#REF!,#REF!))</f>
        <v>#REF!</v>
      </c>
    </row>
    <row r="525" spans="1:55" x14ac:dyDescent="0.45">
      <c r="A525" s="12">
        <v>520</v>
      </c>
      <c r="B525" s="150"/>
      <c r="C525" s="53"/>
      <c r="D525" s="1"/>
      <c r="E525" s="1"/>
      <c r="F525" s="1"/>
      <c r="G525" s="1"/>
      <c r="H525" s="307"/>
      <c r="I525" s="1"/>
      <c r="J525" s="1"/>
      <c r="K525" s="15"/>
      <c r="L525" s="17"/>
      <c r="M525" s="238"/>
      <c r="N525" s="17"/>
      <c r="O525" s="15"/>
      <c r="P525" s="17"/>
      <c r="Q525" s="307"/>
      <c r="R525" s="238"/>
      <c r="S525" s="17"/>
      <c r="T525" s="15"/>
      <c r="U525" s="17"/>
      <c r="V525" s="262"/>
      <c r="W525" s="262"/>
      <c r="X525" s="1"/>
      <c r="Y525" s="1"/>
      <c r="Z525" s="1"/>
      <c r="AA525" s="1"/>
      <c r="AB525" s="1"/>
      <c r="AC525" s="1"/>
      <c r="AD525" s="1"/>
      <c r="AE525" s="1"/>
      <c r="AF525" s="1"/>
      <c r="AG525" s="15"/>
      <c r="AH525" s="15"/>
      <c r="AI525" s="17"/>
      <c r="AJ525" s="15"/>
      <c r="AK525" s="124"/>
      <c r="AL525" s="17"/>
      <c r="AM525" s="17"/>
      <c r="AN525" s="263"/>
      <c r="AO525" s="1"/>
      <c r="AP525" s="1"/>
      <c r="AQ525" s="307"/>
      <c r="AR525" s="1"/>
      <c r="AS525" s="11"/>
      <c r="AT525" s="11"/>
      <c r="AU525" s="214"/>
      <c r="AV525" s="268"/>
      <c r="AW525" s="1"/>
      <c r="AX525" s="210"/>
      <c r="AY525" s="60"/>
      <c r="AZ525" s="15"/>
      <c r="BA525" s="15"/>
      <c r="BB525" s="1"/>
      <c r="BC525" s="49" t="e">
        <f>IF(OR(#REF!="",#REF!="")=TRUE,"",NETWORKDAYS.INTL(#REF!,#REF!))</f>
        <v>#REF!</v>
      </c>
    </row>
    <row r="526" spans="1:55" x14ac:dyDescent="0.45">
      <c r="A526" s="13">
        <v>521</v>
      </c>
      <c r="B526" s="155"/>
      <c r="C526" s="85"/>
      <c r="D526" s="1"/>
      <c r="E526" s="1"/>
      <c r="F526" s="1"/>
      <c r="G526" s="1"/>
      <c r="H526" s="307"/>
      <c r="I526" s="1"/>
      <c r="J526" s="1"/>
      <c r="K526" s="15"/>
      <c r="L526" s="17"/>
      <c r="M526" s="238"/>
      <c r="N526" s="17"/>
      <c r="O526" s="15"/>
      <c r="P526" s="17"/>
      <c r="Q526" s="307"/>
      <c r="R526" s="238"/>
      <c r="S526" s="17"/>
      <c r="T526" s="15"/>
      <c r="U526" s="17"/>
      <c r="V526" s="262"/>
      <c r="W526" s="262"/>
      <c r="X526" s="1"/>
      <c r="Y526" s="1"/>
      <c r="Z526" s="1"/>
      <c r="AA526" s="1"/>
      <c r="AB526" s="1"/>
      <c r="AC526" s="1"/>
      <c r="AD526" s="1"/>
      <c r="AE526" s="1"/>
      <c r="AF526" s="1"/>
      <c r="AG526" s="15"/>
      <c r="AH526" s="15"/>
      <c r="AI526" s="17"/>
      <c r="AJ526" s="15"/>
      <c r="AK526" s="124"/>
      <c r="AL526" s="17"/>
      <c r="AM526" s="17"/>
      <c r="AN526" s="263"/>
      <c r="AO526" s="1"/>
      <c r="AP526" s="1"/>
      <c r="AQ526" s="307"/>
      <c r="AR526" s="1"/>
      <c r="AS526" s="11"/>
      <c r="AT526" s="11"/>
      <c r="AU526" s="214"/>
      <c r="AV526" s="268"/>
      <c r="AW526" s="1"/>
      <c r="AX526" s="210"/>
      <c r="AY526" s="60"/>
      <c r="AZ526" s="15"/>
      <c r="BA526" s="15"/>
      <c r="BB526" s="1"/>
      <c r="BC526" s="49" t="e">
        <f>IF(OR(#REF!="",#REF!="")=TRUE,"",NETWORKDAYS.INTL(#REF!,#REF!))</f>
        <v>#REF!</v>
      </c>
    </row>
    <row r="527" spans="1:55" x14ac:dyDescent="0.45">
      <c r="A527" s="13">
        <v>522</v>
      </c>
      <c r="B527" s="155"/>
      <c r="C527" s="85"/>
      <c r="D527" s="1"/>
      <c r="E527" s="1"/>
      <c r="F527" s="1"/>
      <c r="G527" s="1"/>
      <c r="H527" s="307"/>
      <c r="I527" s="1"/>
      <c r="J527" s="1"/>
      <c r="K527" s="15"/>
      <c r="L527" s="17"/>
      <c r="M527" s="238"/>
      <c r="N527" s="17"/>
      <c r="O527" s="15"/>
      <c r="P527" s="17"/>
      <c r="Q527" s="307"/>
      <c r="R527" s="238"/>
      <c r="S527" s="17"/>
      <c r="T527" s="15"/>
      <c r="U527" s="17"/>
      <c r="V527" s="262"/>
      <c r="W527" s="262"/>
      <c r="X527" s="1"/>
      <c r="Y527" s="1"/>
      <c r="Z527" s="1"/>
      <c r="AA527" s="1"/>
      <c r="AB527" s="1"/>
      <c r="AC527" s="1"/>
      <c r="AD527" s="1"/>
      <c r="AE527" s="1"/>
      <c r="AF527" s="1"/>
      <c r="AG527" s="15"/>
      <c r="AH527" s="15"/>
      <c r="AI527" s="17"/>
      <c r="AJ527" s="15"/>
      <c r="AK527" s="124"/>
      <c r="AL527" s="17"/>
      <c r="AM527" s="17"/>
      <c r="AN527" s="263"/>
      <c r="AO527" s="1"/>
      <c r="AP527" s="1"/>
      <c r="AQ527" s="307"/>
      <c r="AR527" s="1"/>
      <c r="AS527" s="11"/>
      <c r="AT527" s="11"/>
      <c r="AU527" s="214"/>
      <c r="AV527" s="268"/>
      <c r="AW527" s="1"/>
      <c r="AX527" s="210"/>
      <c r="AY527" s="60"/>
      <c r="AZ527" s="15"/>
      <c r="BA527" s="15"/>
      <c r="BB527" s="1"/>
      <c r="BC527" s="49" t="e">
        <f>IF(OR(#REF!="",#REF!="")=TRUE,"",NETWORKDAYS.INTL(#REF!,#REF!))</f>
        <v>#REF!</v>
      </c>
    </row>
    <row r="528" spans="1:55" x14ac:dyDescent="0.45">
      <c r="A528" s="12">
        <v>523</v>
      </c>
      <c r="B528" s="150"/>
      <c r="C528" s="53"/>
      <c r="D528" s="1"/>
      <c r="E528" s="1"/>
      <c r="F528" s="1"/>
      <c r="G528" s="1"/>
      <c r="H528" s="307"/>
      <c r="I528" s="1"/>
      <c r="J528" s="1"/>
      <c r="K528" s="15"/>
      <c r="L528" s="17"/>
      <c r="M528" s="238"/>
      <c r="N528" s="17"/>
      <c r="O528" s="15"/>
      <c r="P528" s="17"/>
      <c r="Q528" s="307"/>
      <c r="R528" s="238"/>
      <c r="S528" s="17"/>
      <c r="T528" s="15"/>
      <c r="U528" s="17"/>
      <c r="V528" s="262"/>
      <c r="W528" s="262"/>
      <c r="X528" s="1"/>
      <c r="Y528" s="1"/>
      <c r="Z528" s="1"/>
      <c r="AA528" s="1"/>
      <c r="AB528" s="1"/>
      <c r="AC528" s="1"/>
      <c r="AD528" s="1"/>
      <c r="AE528" s="1"/>
      <c r="AF528" s="1"/>
      <c r="AG528" s="15"/>
      <c r="AH528" s="15"/>
      <c r="AI528" s="17"/>
      <c r="AJ528" s="15"/>
      <c r="AK528" s="124"/>
      <c r="AL528" s="17"/>
      <c r="AM528" s="17"/>
      <c r="AN528" s="263"/>
      <c r="AO528" s="1"/>
      <c r="AP528" s="1"/>
      <c r="AQ528" s="307"/>
      <c r="AR528" s="1"/>
      <c r="AS528" s="11"/>
      <c r="AT528" s="11"/>
      <c r="AU528" s="214"/>
      <c r="AV528" s="268"/>
      <c r="AW528" s="1"/>
      <c r="AX528" s="210"/>
      <c r="AY528" s="60"/>
      <c r="AZ528" s="15"/>
      <c r="BA528" s="15"/>
      <c r="BB528" s="1"/>
      <c r="BC528" s="49" t="e">
        <f>IF(OR(#REF!="",#REF!="")=TRUE,"",NETWORKDAYS.INTL(#REF!,#REF!))</f>
        <v>#REF!</v>
      </c>
    </row>
    <row r="529" spans="1:55" x14ac:dyDescent="0.45">
      <c r="A529" s="13">
        <v>524</v>
      </c>
      <c r="B529" s="155"/>
      <c r="C529" s="85"/>
      <c r="D529" s="1"/>
      <c r="E529" s="1"/>
      <c r="F529" s="1"/>
      <c r="G529" s="1"/>
      <c r="H529" s="307"/>
      <c r="I529" s="1"/>
      <c r="J529" s="1"/>
      <c r="K529" s="15"/>
      <c r="L529" s="17"/>
      <c r="M529" s="238"/>
      <c r="N529" s="17"/>
      <c r="O529" s="15"/>
      <c r="P529" s="17"/>
      <c r="Q529" s="307"/>
      <c r="R529" s="238"/>
      <c r="S529" s="17"/>
      <c r="T529" s="15"/>
      <c r="U529" s="17"/>
      <c r="V529" s="262"/>
      <c r="W529" s="262"/>
      <c r="X529" s="1"/>
      <c r="Y529" s="1"/>
      <c r="Z529" s="1"/>
      <c r="AA529" s="1"/>
      <c r="AB529" s="1"/>
      <c r="AC529" s="1"/>
      <c r="AD529" s="1"/>
      <c r="AE529" s="1"/>
      <c r="AF529" s="1"/>
      <c r="AG529" s="15"/>
      <c r="AH529" s="15"/>
      <c r="AI529" s="17"/>
      <c r="AJ529" s="15"/>
      <c r="AK529" s="124"/>
      <c r="AL529" s="17"/>
      <c r="AM529" s="17"/>
      <c r="AN529" s="263"/>
      <c r="AO529" s="1"/>
      <c r="AP529" s="1"/>
      <c r="AQ529" s="307"/>
      <c r="AR529" s="1"/>
      <c r="AS529" s="11"/>
      <c r="AT529" s="11"/>
      <c r="AU529" s="214"/>
      <c r="AV529" s="268"/>
      <c r="AW529" s="1"/>
      <c r="AX529" s="210"/>
      <c r="AY529" s="60"/>
      <c r="AZ529" s="15"/>
      <c r="BA529" s="15"/>
      <c r="BB529" s="1"/>
      <c r="BC529" s="49" t="e">
        <f>IF(OR(#REF!="",#REF!="")=TRUE,"",NETWORKDAYS.INTL(#REF!,#REF!))</f>
        <v>#REF!</v>
      </c>
    </row>
    <row r="530" spans="1:55" x14ac:dyDescent="0.45">
      <c r="A530" s="13">
        <v>525</v>
      </c>
      <c r="B530" s="155"/>
      <c r="C530" s="85"/>
      <c r="D530" s="1"/>
      <c r="E530" s="1"/>
      <c r="F530" s="1"/>
      <c r="G530" s="1"/>
      <c r="H530" s="307"/>
      <c r="I530" s="1"/>
      <c r="J530" s="1"/>
      <c r="K530" s="15"/>
      <c r="L530" s="17"/>
      <c r="M530" s="238"/>
      <c r="N530" s="17"/>
      <c r="O530" s="15"/>
      <c r="P530" s="17"/>
      <c r="Q530" s="307"/>
      <c r="R530" s="238"/>
      <c r="S530" s="17"/>
      <c r="T530" s="15"/>
      <c r="U530" s="17"/>
      <c r="V530" s="262"/>
      <c r="W530" s="262"/>
      <c r="X530" s="1"/>
      <c r="Y530" s="1"/>
      <c r="Z530" s="1"/>
      <c r="AA530" s="1"/>
      <c r="AB530" s="1"/>
      <c r="AC530" s="1"/>
      <c r="AD530" s="1"/>
      <c r="AE530" s="1"/>
      <c r="AF530" s="1"/>
      <c r="AG530" s="15"/>
      <c r="AH530" s="15"/>
      <c r="AI530" s="17"/>
      <c r="AJ530" s="15"/>
      <c r="AK530" s="124"/>
      <c r="AL530" s="17"/>
      <c r="AM530" s="17"/>
      <c r="AN530" s="263"/>
      <c r="AO530" s="1"/>
      <c r="AP530" s="1"/>
      <c r="AQ530" s="307"/>
      <c r="AR530" s="1"/>
      <c r="AS530" s="11"/>
      <c r="AT530" s="11"/>
      <c r="AU530" s="214"/>
      <c r="AV530" s="268"/>
      <c r="AW530" s="1"/>
      <c r="AX530" s="210"/>
      <c r="AY530" s="60"/>
      <c r="AZ530" s="15"/>
      <c r="BA530" s="15"/>
      <c r="BB530" s="1"/>
      <c r="BC530" s="49" t="e">
        <f>IF(OR(#REF!="",#REF!="")=TRUE,"",NETWORKDAYS.INTL(#REF!,#REF!))</f>
        <v>#REF!</v>
      </c>
    </row>
    <row r="531" spans="1:55" x14ac:dyDescent="0.45">
      <c r="A531" s="12">
        <v>526</v>
      </c>
      <c r="B531" s="150"/>
      <c r="C531" s="53"/>
      <c r="D531" s="1"/>
      <c r="E531" s="1"/>
      <c r="F531" s="1"/>
      <c r="G531" s="1"/>
      <c r="H531" s="307"/>
      <c r="I531" s="1"/>
      <c r="J531" s="1"/>
      <c r="K531" s="15"/>
      <c r="L531" s="17"/>
      <c r="M531" s="238"/>
      <c r="N531" s="17"/>
      <c r="O531" s="15"/>
      <c r="P531" s="17"/>
      <c r="Q531" s="307"/>
      <c r="R531" s="238"/>
      <c r="S531" s="17"/>
      <c r="T531" s="15"/>
      <c r="U531" s="17"/>
      <c r="V531" s="262"/>
      <c r="W531" s="262"/>
      <c r="X531" s="1"/>
      <c r="Y531" s="1"/>
      <c r="Z531" s="1"/>
      <c r="AA531" s="1"/>
      <c r="AB531" s="1"/>
      <c r="AC531" s="1"/>
      <c r="AD531" s="1"/>
      <c r="AE531" s="1"/>
      <c r="AF531" s="1"/>
      <c r="AG531" s="15"/>
      <c r="AH531" s="15"/>
      <c r="AI531" s="17"/>
      <c r="AJ531" s="15"/>
      <c r="AK531" s="124"/>
      <c r="AL531" s="17"/>
      <c r="AM531" s="17"/>
      <c r="AN531" s="263"/>
      <c r="AO531" s="1"/>
      <c r="AP531" s="1"/>
      <c r="AQ531" s="307"/>
      <c r="AR531" s="1"/>
      <c r="AS531" s="11"/>
      <c r="AT531" s="11"/>
      <c r="AU531" s="214"/>
      <c r="AV531" s="268"/>
      <c r="AW531" s="1"/>
      <c r="AX531" s="210"/>
      <c r="AY531" s="60"/>
      <c r="AZ531" s="15"/>
      <c r="BA531" s="15"/>
      <c r="BB531" s="1"/>
      <c r="BC531" s="49" t="e">
        <f>IF(OR(#REF!="",#REF!="")=TRUE,"",NETWORKDAYS.INTL(#REF!,#REF!))</f>
        <v>#REF!</v>
      </c>
    </row>
    <row r="532" spans="1:55" x14ac:dyDescent="0.45">
      <c r="A532" s="13">
        <v>527</v>
      </c>
      <c r="B532" s="155"/>
      <c r="C532" s="85"/>
      <c r="D532" s="1"/>
      <c r="E532" s="1"/>
      <c r="F532" s="1"/>
      <c r="G532" s="1"/>
      <c r="H532" s="307"/>
      <c r="I532" s="1"/>
      <c r="J532" s="1"/>
      <c r="K532" s="15"/>
      <c r="L532" s="17"/>
      <c r="M532" s="238"/>
      <c r="N532" s="17"/>
      <c r="O532" s="15"/>
      <c r="P532" s="17"/>
      <c r="Q532" s="307"/>
      <c r="R532" s="238"/>
      <c r="S532" s="17"/>
      <c r="T532" s="15"/>
      <c r="U532" s="17"/>
      <c r="V532" s="262"/>
      <c r="W532" s="262"/>
      <c r="X532" s="1"/>
      <c r="Y532" s="1"/>
      <c r="Z532" s="1"/>
      <c r="AA532" s="1"/>
      <c r="AB532" s="1"/>
      <c r="AC532" s="1"/>
      <c r="AD532" s="1"/>
      <c r="AE532" s="1"/>
      <c r="AF532" s="1"/>
      <c r="AG532" s="15"/>
      <c r="AH532" s="15"/>
      <c r="AI532" s="17"/>
      <c r="AJ532" s="15"/>
      <c r="AK532" s="124"/>
      <c r="AL532" s="17"/>
      <c r="AM532" s="17"/>
      <c r="AN532" s="263"/>
      <c r="AO532" s="1"/>
      <c r="AP532" s="1"/>
      <c r="AQ532" s="307"/>
      <c r="AR532" s="1"/>
      <c r="AS532" s="11"/>
      <c r="AT532" s="11"/>
      <c r="AU532" s="214"/>
      <c r="AV532" s="268"/>
      <c r="AW532" s="1"/>
      <c r="AX532" s="210"/>
      <c r="AY532" s="60"/>
      <c r="AZ532" s="15"/>
      <c r="BA532" s="15"/>
      <c r="BB532" s="1"/>
      <c r="BC532" s="49" t="e">
        <f>IF(OR(#REF!="",#REF!="")=TRUE,"",NETWORKDAYS.INTL(#REF!,#REF!))</f>
        <v>#REF!</v>
      </c>
    </row>
    <row r="533" spans="1:55" x14ac:dyDescent="0.45">
      <c r="A533" s="13">
        <v>528</v>
      </c>
      <c r="B533" s="155"/>
      <c r="C533" s="85"/>
      <c r="D533" s="1"/>
      <c r="E533" s="1"/>
      <c r="F533" s="1"/>
      <c r="G533" s="1"/>
      <c r="H533" s="307"/>
      <c r="I533" s="1"/>
      <c r="J533" s="1"/>
      <c r="K533" s="15"/>
      <c r="L533" s="17"/>
      <c r="M533" s="238"/>
      <c r="N533" s="17"/>
      <c r="O533" s="15"/>
      <c r="P533" s="17"/>
      <c r="Q533" s="307"/>
      <c r="R533" s="238"/>
      <c r="S533" s="17"/>
      <c r="T533" s="15"/>
      <c r="U533" s="17"/>
      <c r="V533" s="262"/>
      <c r="W533" s="262"/>
      <c r="X533" s="1"/>
      <c r="Y533" s="1"/>
      <c r="Z533" s="1"/>
      <c r="AA533" s="1"/>
      <c r="AB533" s="1"/>
      <c r="AC533" s="1"/>
      <c r="AD533" s="1"/>
      <c r="AE533" s="1"/>
      <c r="AF533" s="1"/>
      <c r="AG533" s="15"/>
      <c r="AH533" s="15"/>
      <c r="AI533" s="17"/>
      <c r="AJ533" s="15"/>
      <c r="AK533" s="124"/>
      <c r="AL533" s="17"/>
      <c r="AM533" s="17"/>
      <c r="AN533" s="263"/>
      <c r="AO533" s="1"/>
      <c r="AP533" s="1"/>
      <c r="AQ533" s="307"/>
      <c r="AR533" s="1"/>
      <c r="AS533" s="11"/>
      <c r="AT533" s="11"/>
      <c r="AU533" s="214"/>
      <c r="AV533" s="268"/>
      <c r="AW533" s="1"/>
      <c r="AX533" s="210"/>
      <c r="AY533" s="60"/>
      <c r="AZ533" s="15"/>
      <c r="BA533" s="15"/>
      <c r="BB533" s="1"/>
      <c r="BC533" s="49" t="e">
        <f>IF(OR(#REF!="",#REF!="")=TRUE,"",NETWORKDAYS.INTL(#REF!,#REF!))</f>
        <v>#REF!</v>
      </c>
    </row>
    <row r="534" spans="1:55" x14ac:dyDescent="0.45">
      <c r="A534" s="12">
        <v>529</v>
      </c>
      <c r="B534" s="150"/>
      <c r="C534" s="53"/>
      <c r="D534" s="1"/>
      <c r="E534" s="1"/>
      <c r="F534" s="1"/>
      <c r="G534" s="1"/>
      <c r="H534" s="307"/>
      <c r="I534" s="1"/>
      <c r="J534" s="1"/>
      <c r="K534" s="15"/>
      <c r="L534" s="17"/>
      <c r="M534" s="238"/>
      <c r="N534" s="17"/>
      <c r="O534" s="15"/>
      <c r="P534" s="17"/>
      <c r="Q534" s="307"/>
      <c r="R534" s="238"/>
      <c r="S534" s="17"/>
      <c r="T534" s="15"/>
      <c r="U534" s="17"/>
      <c r="V534" s="262"/>
      <c r="W534" s="262"/>
      <c r="X534" s="1"/>
      <c r="Y534" s="1"/>
      <c r="Z534" s="1"/>
      <c r="AA534" s="1"/>
      <c r="AB534" s="1"/>
      <c r="AC534" s="1"/>
      <c r="AD534" s="1"/>
      <c r="AE534" s="1"/>
      <c r="AF534" s="1"/>
      <c r="AG534" s="15"/>
      <c r="AH534" s="15"/>
      <c r="AI534" s="17"/>
      <c r="AJ534" s="15"/>
      <c r="AK534" s="124"/>
      <c r="AL534" s="17"/>
      <c r="AM534" s="17"/>
      <c r="AN534" s="263"/>
      <c r="AO534" s="1"/>
      <c r="AP534" s="1"/>
      <c r="AQ534" s="307"/>
      <c r="AR534" s="1"/>
      <c r="AS534" s="11"/>
      <c r="AT534" s="11"/>
      <c r="AU534" s="214"/>
      <c r="AV534" s="268"/>
      <c r="AW534" s="1"/>
      <c r="AX534" s="210"/>
      <c r="AY534" s="60"/>
      <c r="AZ534" s="15"/>
      <c r="BA534" s="15"/>
      <c r="BB534" s="1"/>
      <c r="BC534" s="49" t="e">
        <f>IF(OR(#REF!="",#REF!="")=TRUE,"",NETWORKDAYS.INTL(#REF!,#REF!))</f>
        <v>#REF!</v>
      </c>
    </row>
    <row r="535" spans="1:55" x14ac:dyDescent="0.45">
      <c r="A535" s="13">
        <v>530</v>
      </c>
      <c r="B535" s="155"/>
      <c r="C535" s="85"/>
      <c r="D535" s="1"/>
      <c r="E535" s="1"/>
      <c r="F535" s="1"/>
      <c r="G535" s="1"/>
      <c r="H535" s="307"/>
      <c r="I535" s="1"/>
      <c r="J535" s="1"/>
      <c r="K535" s="15"/>
      <c r="L535" s="17"/>
      <c r="M535" s="238"/>
      <c r="N535" s="17"/>
      <c r="O535" s="15"/>
      <c r="P535" s="17"/>
      <c r="Q535" s="307"/>
      <c r="R535" s="238"/>
      <c r="S535" s="17"/>
      <c r="T535" s="15"/>
      <c r="U535" s="17"/>
      <c r="V535" s="262"/>
      <c r="W535" s="262"/>
      <c r="X535" s="1"/>
      <c r="Y535" s="1"/>
      <c r="Z535" s="1"/>
      <c r="AA535" s="1"/>
      <c r="AB535" s="1"/>
      <c r="AC535" s="1"/>
      <c r="AD535" s="1"/>
      <c r="AE535" s="1"/>
      <c r="AF535" s="1"/>
      <c r="AG535" s="15"/>
      <c r="AH535" s="15"/>
      <c r="AI535" s="17"/>
      <c r="AJ535" s="15"/>
      <c r="AK535" s="124"/>
      <c r="AL535" s="17"/>
      <c r="AM535" s="17"/>
      <c r="AN535" s="263"/>
      <c r="AO535" s="1"/>
      <c r="AP535" s="1"/>
      <c r="AQ535" s="307"/>
      <c r="AR535" s="1"/>
      <c r="AS535" s="11"/>
      <c r="AT535" s="11"/>
      <c r="AU535" s="214"/>
      <c r="AV535" s="268"/>
      <c r="AW535" s="1"/>
      <c r="AX535" s="210"/>
      <c r="AY535" s="60"/>
      <c r="AZ535" s="15"/>
      <c r="BA535" s="15"/>
      <c r="BB535" s="1"/>
      <c r="BC535" s="49" t="e">
        <f>IF(OR(#REF!="",#REF!="")=TRUE,"",NETWORKDAYS.INTL(#REF!,#REF!))</f>
        <v>#REF!</v>
      </c>
    </row>
    <row r="536" spans="1:55" x14ac:dyDescent="0.45">
      <c r="A536" s="13">
        <v>531</v>
      </c>
      <c r="B536" s="155"/>
      <c r="C536" s="85"/>
      <c r="D536" s="1"/>
      <c r="E536" s="1"/>
      <c r="F536" s="1"/>
      <c r="G536" s="1"/>
      <c r="H536" s="307"/>
      <c r="I536" s="1"/>
      <c r="J536" s="1"/>
      <c r="K536" s="15"/>
      <c r="L536" s="17"/>
      <c r="M536" s="238"/>
      <c r="N536" s="17"/>
      <c r="O536" s="15"/>
      <c r="P536" s="17"/>
      <c r="Q536" s="307"/>
      <c r="R536" s="238"/>
      <c r="S536" s="17"/>
      <c r="T536" s="15"/>
      <c r="U536" s="17"/>
      <c r="V536" s="262"/>
      <c r="W536" s="262"/>
      <c r="X536" s="1"/>
      <c r="Y536" s="1"/>
      <c r="Z536" s="1"/>
      <c r="AA536" s="1"/>
      <c r="AB536" s="1"/>
      <c r="AC536" s="1"/>
      <c r="AD536" s="1"/>
      <c r="AE536" s="1"/>
      <c r="AF536" s="1"/>
      <c r="AG536" s="15"/>
      <c r="AH536" s="15"/>
      <c r="AI536" s="17"/>
      <c r="AJ536" s="15"/>
      <c r="AK536" s="124"/>
      <c r="AL536" s="17"/>
      <c r="AM536" s="17"/>
      <c r="AN536" s="263"/>
      <c r="AO536" s="1"/>
      <c r="AP536" s="1"/>
      <c r="AQ536" s="307"/>
      <c r="AR536" s="1"/>
      <c r="AS536" s="11"/>
      <c r="AT536" s="11"/>
      <c r="AU536" s="214"/>
      <c r="AV536" s="268"/>
      <c r="AW536" s="1"/>
      <c r="AX536" s="210"/>
      <c r="AY536" s="60"/>
      <c r="AZ536" s="15"/>
      <c r="BA536" s="15"/>
      <c r="BB536" s="1"/>
      <c r="BC536" s="49" t="e">
        <f>IF(OR(#REF!="",#REF!="")=TRUE,"",NETWORKDAYS.INTL(#REF!,#REF!))</f>
        <v>#REF!</v>
      </c>
    </row>
    <row r="537" spans="1:55" x14ac:dyDescent="0.45">
      <c r="A537" s="12">
        <v>532</v>
      </c>
      <c r="B537" s="150"/>
      <c r="C537" s="53"/>
      <c r="D537" s="1"/>
      <c r="E537" s="1"/>
      <c r="F537" s="1"/>
      <c r="G537" s="1"/>
      <c r="H537" s="307"/>
      <c r="I537" s="1"/>
      <c r="J537" s="1"/>
      <c r="K537" s="15"/>
      <c r="L537" s="17"/>
      <c r="M537" s="238"/>
      <c r="N537" s="17"/>
      <c r="O537" s="15"/>
      <c r="P537" s="17"/>
      <c r="Q537" s="307"/>
      <c r="R537" s="238"/>
      <c r="S537" s="17"/>
      <c r="T537" s="15"/>
      <c r="U537" s="17"/>
      <c r="V537" s="262"/>
      <c r="W537" s="262"/>
      <c r="X537" s="1"/>
      <c r="Y537" s="1"/>
      <c r="Z537" s="1"/>
      <c r="AA537" s="1"/>
      <c r="AB537" s="1"/>
      <c r="AC537" s="1"/>
      <c r="AD537" s="1"/>
      <c r="AE537" s="1"/>
      <c r="AF537" s="1"/>
      <c r="AG537" s="15"/>
      <c r="AH537" s="15"/>
      <c r="AI537" s="17"/>
      <c r="AJ537" s="15"/>
      <c r="AK537" s="124"/>
      <c r="AL537" s="17"/>
      <c r="AM537" s="17"/>
      <c r="AN537" s="263"/>
      <c r="AO537" s="1"/>
      <c r="AP537" s="1"/>
      <c r="AQ537" s="307"/>
      <c r="AR537" s="1"/>
      <c r="AS537" s="11"/>
      <c r="AT537" s="11"/>
      <c r="AU537" s="214"/>
      <c r="AV537" s="268"/>
      <c r="AW537" s="1"/>
      <c r="AX537" s="210"/>
      <c r="AY537" s="60"/>
      <c r="AZ537" s="15"/>
      <c r="BA537" s="15"/>
      <c r="BB537" s="1"/>
      <c r="BC537" s="49" t="e">
        <f>IF(OR(#REF!="",#REF!="")=TRUE,"",NETWORKDAYS.INTL(#REF!,#REF!))</f>
        <v>#REF!</v>
      </c>
    </row>
    <row r="538" spans="1:55" x14ac:dyDescent="0.45">
      <c r="A538" s="13">
        <v>533</v>
      </c>
      <c r="B538" s="155"/>
      <c r="C538" s="85"/>
      <c r="D538" s="1"/>
      <c r="E538" s="1"/>
      <c r="F538" s="1"/>
      <c r="G538" s="1"/>
      <c r="H538" s="307"/>
      <c r="I538" s="1"/>
      <c r="J538" s="1"/>
      <c r="K538" s="15"/>
      <c r="L538" s="17"/>
      <c r="M538" s="238"/>
      <c r="N538" s="17"/>
      <c r="O538" s="15"/>
      <c r="P538" s="17"/>
      <c r="Q538" s="307"/>
      <c r="R538" s="238"/>
      <c r="S538" s="17"/>
      <c r="T538" s="15"/>
      <c r="U538" s="17"/>
      <c r="V538" s="262"/>
      <c r="W538" s="262"/>
      <c r="X538" s="1"/>
      <c r="Y538" s="1"/>
      <c r="Z538" s="1"/>
      <c r="AA538" s="1"/>
      <c r="AB538" s="1"/>
      <c r="AC538" s="1"/>
      <c r="AD538" s="1"/>
      <c r="AE538" s="1"/>
      <c r="AF538" s="1"/>
      <c r="AG538" s="15"/>
      <c r="AH538" s="15"/>
      <c r="AI538" s="17"/>
      <c r="AJ538" s="15"/>
      <c r="AK538" s="124"/>
      <c r="AL538" s="17"/>
      <c r="AM538" s="17"/>
      <c r="AN538" s="263"/>
      <c r="AO538" s="1"/>
      <c r="AP538" s="1"/>
      <c r="AQ538" s="307"/>
      <c r="AR538" s="1"/>
      <c r="AS538" s="11"/>
      <c r="AT538" s="11"/>
      <c r="AU538" s="214"/>
      <c r="AV538" s="268"/>
      <c r="AW538" s="1"/>
      <c r="AX538" s="210"/>
      <c r="AY538" s="60"/>
      <c r="AZ538" s="15"/>
      <c r="BA538" s="15"/>
      <c r="BB538" s="1"/>
      <c r="BC538" s="49" t="e">
        <f>IF(OR(#REF!="",#REF!="")=TRUE,"",NETWORKDAYS.INTL(#REF!,#REF!))</f>
        <v>#REF!</v>
      </c>
    </row>
    <row r="539" spans="1:55" x14ac:dyDescent="0.45">
      <c r="A539" s="13">
        <v>534</v>
      </c>
      <c r="B539" s="155"/>
      <c r="C539" s="85"/>
      <c r="D539" s="1"/>
      <c r="E539" s="1"/>
      <c r="F539" s="1"/>
      <c r="G539" s="1"/>
      <c r="H539" s="307"/>
      <c r="I539" s="1"/>
      <c r="J539" s="1"/>
      <c r="K539" s="15"/>
      <c r="L539" s="17"/>
      <c r="M539" s="238"/>
      <c r="N539" s="17"/>
      <c r="O539" s="15"/>
      <c r="P539" s="17"/>
      <c r="Q539" s="307"/>
      <c r="R539" s="238"/>
      <c r="S539" s="17"/>
      <c r="T539" s="15"/>
      <c r="U539" s="17"/>
      <c r="V539" s="262"/>
      <c r="W539" s="262"/>
      <c r="X539" s="1"/>
      <c r="Y539" s="1"/>
      <c r="Z539" s="1"/>
      <c r="AA539" s="1"/>
      <c r="AB539" s="1"/>
      <c r="AC539" s="1"/>
      <c r="AD539" s="1"/>
      <c r="AE539" s="1"/>
      <c r="AF539" s="1"/>
      <c r="AG539" s="15"/>
      <c r="AH539" s="15"/>
      <c r="AI539" s="17"/>
      <c r="AJ539" s="15"/>
      <c r="AK539" s="124"/>
      <c r="AL539" s="17"/>
      <c r="AM539" s="17"/>
      <c r="AN539" s="263"/>
      <c r="AO539" s="1"/>
      <c r="AP539" s="1"/>
      <c r="AQ539" s="307"/>
      <c r="AR539" s="1"/>
      <c r="AS539" s="11"/>
      <c r="AT539" s="11"/>
      <c r="AU539" s="214"/>
      <c r="AV539" s="268"/>
      <c r="AW539" s="1"/>
      <c r="AX539" s="210"/>
      <c r="AY539" s="60"/>
      <c r="AZ539" s="15"/>
      <c r="BA539" s="15"/>
      <c r="BB539" s="1"/>
      <c r="BC539" s="49" t="e">
        <f>IF(OR(#REF!="",#REF!="")=TRUE,"",NETWORKDAYS.INTL(#REF!,#REF!))</f>
        <v>#REF!</v>
      </c>
    </row>
    <row r="540" spans="1:55" x14ac:dyDescent="0.45">
      <c r="A540" s="12">
        <v>535</v>
      </c>
      <c r="B540" s="150"/>
      <c r="C540" s="53"/>
      <c r="D540" s="1"/>
      <c r="E540" s="1"/>
      <c r="F540" s="1"/>
      <c r="G540" s="1"/>
      <c r="H540" s="307"/>
      <c r="I540" s="1"/>
      <c r="J540" s="1"/>
      <c r="K540" s="15"/>
      <c r="L540" s="17"/>
      <c r="M540" s="238"/>
      <c r="N540" s="17"/>
      <c r="O540" s="15"/>
      <c r="P540" s="17"/>
      <c r="Q540" s="307"/>
      <c r="R540" s="238"/>
      <c r="S540" s="17"/>
      <c r="T540" s="15"/>
      <c r="U540" s="17"/>
      <c r="V540" s="262"/>
      <c r="W540" s="262"/>
      <c r="X540" s="1"/>
      <c r="Y540" s="1"/>
      <c r="Z540" s="1"/>
      <c r="AA540" s="1"/>
      <c r="AB540" s="1"/>
      <c r="AC540" s="1"/>
      <c r="AD540" s="1"/>
      <c r="AE540" s="1"/>
      <c r="AF540" s="1"/>
      <c r="AG540" s="15"/>
      <c r="AH540" s="15"/>
      <c r="AI540" s="17"/>
      <c r="AJ540" s="15"/>
      <c r="AK540" s="124"/>
      <c r="AL540" s="17"/>
      <c r="AM540" s="17"/>
      <c r="AN540" s="263"/>
      <c r="AO540" s="1"/>
      <c r="AP540" s="1"/>
      <c r="AQ540" s="307"/>
      <c r="AR540" s="1"/>
      <c r="AS540" s="11"/>
      <c r="AT540" s="11"/>
      <c r="AU540" s="214"/>
      <c r="AV540" s="268"/>
      <c r="AW540" s="1"/>
      <c r="AX540" s="210"/>
      <c r="AY540" s="60"/>
      <c r="AZ540" s="15"/>
      <c r="BA540" s="15"/>
      <c r="BB540" s="1"/>
      <c r="BC540" s="49" t="e">
        <f>IF(OR(#REF!="",#REF!="")=TRUE,"",NETWORKDAYS.INTL(#REF!,#REF!))</f>
        <v>#REF!</v>
      </c>
    </row>
    <row r="541" spans="1:55" x14ac:dyDescent="0.45">
      <c r="A541" s="13">
        <v>536</v>
      </c>
      <c r="B541" s="155"/>
      <c r="C541" s="85"/>
      <c r="D541" s="1"/>
      <c r="E541" s="1"/>
      <c r="F541" s="1"/>
      <c r="G541" s="1"/>
      <c r="H541" s="307"/>
      <c r="I541" s="1"/>
      <c r="J541" s="1"/>
      <c r="K541" s="15"/>
      <c r="L541" s="17"/>
      <c r="M541" s="238"/>
      <c r="N541" s="17"/>
      <c r="O541" s="15"/>
      <c r="P541" s="17"/>
      <c r="Q541" s="307"/>
      <c r="R541" s="238"/>
      <c r="S541" s="17"/>
      <c r="T541" s="15"/>
      <c r="U541" s="17"/>
      <c r="V541" s="262"/>
      <c r="W541" s="262"/>
      <c r="X541" s="1"/>
      <c r="Y541" s="1"/>
      <c r="Z541" s="1"/>
      <c r="AA541" s="1"/>
      <c r="AB541" s="1"/>
      <c r="AC541" s="1"/>
      <c r="AD541" s="1"/>
      <c r="AE541" s="1"/>
      <c r="AF541" s="1"/>
      <c r="AG541" s="15"/>
      <c r="AH541" s="15"/>
      <c r="AI541" s="17"/>
      <c r="AJ541" s="15"/>
      <c r="AK541" s="124"/>
      <c r="AL541" s="17"/>
      <c r="AM541" s="17"/>
      <c r="AN541" s="263"/>
      <c r="AO541" s="1"/>
      <c r="AP541" s="1"/>
      <c r="AQ541" s="307"/>
      <c r="AR541" s="1"/>
      <c r="AS541" s="11"/>
      <c r="AT541" s="11"/>
      <c r="AU541" s="214"/>
      <c r="AV541" s="268"/>
      <c r="AW541" s="1"/>
      <c r="AX541" s="210"/>
      <c r="AY541" s="60"/>
      <c r="AZ541" s="15"/>
      <c r="BA541" s="15"/>
      <c r="BB541" s="1"/>
      <c r="BC541" s="49" t="e">
        <f>IF(OR(#REF!="",#REF!="")=TRUE,"",NETWORKDAYS.INTL(#REF!,#REF!))</f>
        <v>#REF!</v>
      </c>
    </row>
    <row r="542" spans="1:55" x14ac:dyDescent="0.45">
      <c r="A542" s="13">
        <v>537</v>
      </c>
      <c r="B542" s="155"/>
      <c r="C542" s="85"/>
      <c r="D542" s="1"/>
      <c r="E542" s="1"/>
      <c r="F542" s="1"/>
      <c r="G542" s="1"/>
      <c r="H542" s="307"/>
      <c r="I542" s="1"/>
      <c r="J542" s="1"/>
      <c r="K542" s="15"/>
      <c r="L542" s="17"/>
      <c r="M542" s="238"/>
      <c r="N542" s="17"/>
      <c r="O542" s="15"/>
      <c r="P542" s="17"/>
      <c r="Q542" s="307"/>
      <c r="R542" s="238"/>
      <c r="S542" s="17"/>
      <c r="T542" s="15"/>
      <c r="U542" s="17"/>
      <c r="V542" s="262"/>
      <c r="W542" s="262"/>
      <c r="X542" s="1"/>
      <c r="Y542" s="1"/>
      <c r="Z542" s="1"/>
      <c r="AA542" s="1"/>
      <c r="AB542" s="1"/>
      <c r="AC542" s="1"/>
      <c r="AD542" s="1"/>
      <c r="AE542" s="1"/>
      <c r="AF542" s="1"/>
      <c r="AG542" s="15"/>
      <c r="AH542" s="15"/>
      <c r="AI542" s="17"/>
      <c r="AJ542" s="15"/>
      <c r="AK542" s="124"/>
      <c r="AL542" s="17"/>
      <c r="AM542" s="17"/>
      <c r="AN542" s="263"/>
      <c r="AO542" s="1"/>
      <c r="AP542" s="1"/>
      <c r="AQ542" s="307"/>
      <c r="AR542" s="1"/>
      <c r="AS542" s="11"/>
      <c r="AT542" s="11"/>
      <c r="AU542" s="214"/>
      <c r="AV542" s="268"/>
      <c r="AW542" s="1"/>
      <c r="AX542" s="210"/>
      <c r="AY542" s="60"/>
      <c r="AZ542" s="15"/>
      <c r="BA542" s="15"/>
      <c r="BB542" s="1"/>
      <c r="BC542" s="49" t="e">
        <f>IF(OR(#REF!="",#REF!="")=TRUE,"",NETWORKDAYS.INTL(#REF!,#REF!))</f>
        <v>#REF!</v>
      </c>
    </row>
    <row r="543" spans="1:55" x14ac:dyDescent="0.45">
      <c r="A543" s="12">
        <v>538</v>
      </c>
      <c r="B543" s="150"/>
      <c r="C543" s="53"/>
      <c r="D543" s="1"/>
      <c r="E543" s="1"/>
      <c r="F543" s="1"/>
      <c r="G543" s="1"/>
      <c r="H543" s="307"/>
      <c r="I543" s="1"/>
      <c r="J543" s="1"/>
      <c r="K543" s="15"/>
      <c r="L543" s="17"/>
      <c r="M543" s="238"/>
      <c r="N543" s="17"/>
      <c r="O543" s="15"/>
      <c r="P543" s="17"/>
      <c r="Q543" s="307"/>
      <c r="R543" s="238"/>
      <c r="S543" s="17"/>
      <c r="T543" s="15"/>
      <c r="U543" s="17"/>
      <c r="V543" s="262"/>
      <c r="W543" s="262"/>
      <c r="X543" s="1"/>
      <c r="Y543" s="1"/>
      <c r="Z543" s="1"/>
      <c r="AA543" s="1"/>
      <c r="AB543" s="1"/>
      <c r="AC543" s="1"/>
      <c r="AD543" s="1"/>
      <c r="AE543" s="1"/>
      <c r="AF543" s="1"/>
      <c r="AG543" s="15"/>
      <c r="AH543" s="15"/>
      <c r="AI543" s="17"/>
      <c r="AJ543" s="15"/>
      <c r="AK543" s="124"/>
      <c r="AL543" s="17"/>
      <c r="AM543" s="17"/>
      <c r="AN543" s="263"/>
      <c r="AO543" s="1"/>
      <c r="AP543" s="1"/>
      <c r="AQ543" s="307"/>
      <c r="AR543" s="1"/>
      <c r="AS543" s="11"/>
      <c r="AT543" s="11"/>
      <c r="AU543" s="214"/>
      <c r="AV543" s="268"/>
      <c r="AW543" s="1"/>
      <c r="AX543" s="210"/>
      <c r="AY543" s="60"/>
      <c r="AZ543" s="15"/>
      <c r="BA543" s="15"/>
      <c r="BB543" s="1"/>
      <c r="BC543" s="49" t="e">
        <f>IF(OR(#REF!="",#REF!="")=TRUE,"",NETWORKDAYS.INTL(#REF!,#REF!))</f>
        <v>#REF!</v>
      </c>
    </row>
    <row r="544" spans="1:55" x14ac:dyDescent="0.45">
      <c r="A544" s="13">
        <v>539</v>
      </c>
      <c r="B544" s="155"/>
      <c r="C544" s="85"/>
      <c r="D544" s="1"/>
      <c r="E544" s="1"/>
      <c r="F544" s="1"/>
      <c r="G544" s="1"/>
      <c r="H544" s="307"/>
      <c r="I544" s="1"/>
      <c r="J544" s="1"/>
      <c r="K544" s="15"/>
      <c r="L544" s="17"/>
      <c r="M544" s="238"/>
      <c r="N544" s="17"/>
      <c r="O544" s="15"/>
      <c r="P544" s="17"/>
      <c r="Q544" s="307"/>
      <c r="R544" s="238"/>
      <c r="S544" s="17"/>
      <c r="T544" s="15"/>
      <c r="U544" s="17"/>
      <c r="V544" s="262"/>
      <c r="W544" s="262"/>
      <c r="X544" s="1"/>
      <c r="Y544" s="1"/>
      <c r="Z544" s="1"/>
      <c r="AA544" s="1"/>
      <c r="AB544" s="1"/>
      <c r="AC544" s="1"/>
      <c r="AD544" s="1"/>
      <c r="AE544" s="1"/>
      <c r="AF544" s="1"/>
      <c r="AG544" s="15"/>
      <c r="AH544" s="15"/>
      <c r="AI544" s="17"/>
      <c r="AJ544" s="15"/>
      <c r="AK544" s="124"/>
      <c r="AL544" s="17"/>
      <c r="AM544" s="17"/>
      <c r="AN544" s="263"/>
      <c r="AO544" s="1"/>
      <c r="AP544" s="1"/>
      <c r="AQ544" s="307"/>
      <c r="AR544" s="1"/>
      <c r="AS544" s="11"/>
      <c r="AT544" s="11"/>
      <c r="AU544" s="214"/>
      <c r="AV544" s="268"/>
      <c r="AW544" s="1"/>
      <c r="AX544" s="210"/>
      <c r="AY544" s="60"/>
      <c r="AZ544" s="15"/>
      <c r="BA544" s="15"/>
      <c r="BB544" s="1"/>
      <c r="BC544" s="49" t="e">
        <f>IF(OR(#REF!="",#REF!="")=TRUE,"",NETWORKDAYS.INTL(#REF!,#REF!))</f>
        <v>#REF!</v>
      </c>
    </row>
    <row r="545" spans="1:55" x14ac:dyDescent="0.45">
      <c r="A545" s="13">
        <v>540</v>
      </c>
      <c r="B545" s="155"/>
      <c r="C545" s="85"/>
      <c r="D545" s="1"/>
      <c r="E545" s="1"/>
      <c r="F545" s="1"/>
      <c r="G545" s="1"/>
      <c r="H545" s="307"/>
      <c r="I545" s="1"/>
      <c r="J545" s="1"/>
      <c r="K545" s="15"/>
      <c r="L545" s="17"/>
      <c r="M545" s="238"/>
      <c r="N545" s="17"/>
      <c r="O545" s="15"/>
      <c r="P545" s="17"/>
      <c r="Q545" s="307"/>
      <c r="R545" s="238"/>
      <c r="S545" s="17"/>
      <c r="T545" s="15"/>
      <c r="U545" s="17"/>
      <c r="V545" s="262"/>
      <c r="W545" s="262"/>
      <c r="X545" s="1"/>
      <c r="Y545" s="1"/>
      <c r="Z545" s="1"/>
      <c r="AA545" s="1"/>
      <c r="AB545" s="1"/>
      <c r="AC545" s="1"/>
      <c r="AD545" s="1"/>
      <c r="AE545" s="1"/>
      <c r="AF545" s="1"/>
      <c r="AG545" s="15"/>
      <c r="AH545" s="15"/>
      <c r="AI545" s="17"/>
      <c r="AJ545" s="15"/>
      <c r="AK545" s="124"/>
      <c r="AL545" s="17"/>
      <c r="AM545" s="17"/>
      <c r="AN545" s="263"/>
      <c r="AO545" s="1"/>
      <c r="AP545" s="1"/>
      <c r="AQ545" s="307"/>
      <c r="AR545" s="1"/>
      <c r="AS545" s="11"/>
      <c r="AT545" s="11"/>
      <c r="AU545" s="214"/>
      <c r="AV545" s="268"/>
      <c r="AW545" s="1"/>
      <c r="AX545" s="210"/>
      <c r="AY545" s="60"/>
      <c r="AZ545" s="15"/>
      <c r="BA545" s="15"/>
      <c r="BB545" s="1"/>
      <c r="BC545" s="49" t="e">
        <f>IF(OR(#REF!="",#REF!="")=TRUE,"",NETWORKDAYS.INTL(#REF!,#REF!))</f>
        <v>#REF!</v>
      </c>
    </row>
    <row r="546" spans="1:55" x14ac:dyDescent="0.45">
      <c r="A546" s="12">
        <v>541</v>
      </c>
      <c r="B546" s="150"/>
      <c r="C546" s="53"/>
      <c r="D546" s="1"/>
      <c r="E546" s="1"/>
      <c r="F546" s="1"/>
      <c r="G546" s="1"/>
      <c r="H546" s="307"/>
      <c r="I546" s="1"/>
      <c r="J546" s="1"/>
      <c r="K546" s="15"/>
      <c r="L546" s="17"/>
      <c r="M546" s="238"/>
      <c r="N546" s="17"/>
      <c r="O546" s="15"/>
      <c r="P546" s="17"/>
      <c r="Q546" s="307"/>
      <c r="R546" s="238"/>
      <c r="S546" s="17"/>
      <c r="T546" s="15"/>
      <c r="U546" s="17"/>
      <c r="V546" s="262"/>
      <c r="W546" s="262"/>
      <c r="X546" s="1"/>
      <c r="Y546" s="1"/>
      <c r="Z546" s="1"/>
      <c r="AA546" s="1"/>
      <c r="AB546" s="1"/>
      <c r="AC546" s="1"/>
      <c r="AD546" s="1"/>
      <c r="AE546" s="1"/>
      <c r="AF546" s="1"/>
      <c r="AG546" s="15"/>
      <c r="AH546" s="15"/>
      <c r="AI546" s="17"/>
      <c r="AJ546" s="15"/>
      <c r="AK546" s="124"/>
      <c r="AL546" s="17"/>
      <c r="AM546" s="17"/>
      <c r="AN546" s="263"/>
      <c r="AO546" s="1"/>
      <c r="AP546" s="1"/>
      <c r="AQ546" s="307"/>
      <c r="AR546" s="1"/>
      <c r="AS546" s="11"/>
      <c r="AT546" s="11"/>
      <c r="AU546" s="214"/>
      <c r="AV546" s="268"/>
      <c r="AW546" s="1"/>
      <c r="AX546" s="210"/>
      <c r="AY546" s="60"/>
      <c r="AZ546" s="15"/>
      <c r="BA546" s="15"/>
      <c r="BB546" s="1"/>
      <c r="BC546" s="49" t="e">
        <f>IF(OR(#REF!="",#REF!="")=TRUE,"",NETWORKDAYS.INTL(#REF!,#REF!))</f>
        <v>#REF!</v>
      </c>
    </row>
    <row r="547" spans="1:55" x14ac:dyDescent="0.45">
      <c r="A547" s="13">
        <v>542</v>
      </c>
      <c r="B547" s="155"/>
      <c r="C547" s="85"/>
      <c r="D547" s="1"/>
      <c r="E547" s="1"/>
      <c r="F547" s="1"/>
      <c r="G547" s="1"/>
      <c r="H547" s="307"/>
      <c r="I547" s="1"/>
      <c r="J547" s="1"/>
      <c r="K547" s="15"/>
      <c r="L547" s="17"/>
      <c r="M547" s="238"/>
      <c r="N547" s="17"/>
      <c r="O547" s="15"/>
      <c r="P547" s="17"/>
      <c r="Q547" s="307"/>
      <c r="R547" s="238"/>
      <c r="S547" s="17"/>
      <c r="T547" s="15"/>
      <c r="U547" s="17"/>
      <c r="V547" s="262"/>
      <c r="W547" s="262"/>
      <c r="X547" s="1"/>
      <c r="Y547" s="1"/>
      <c r="Z547" s="1"/>
      <c r="AA547" s="1"/>
      <c r="AB547" s="1"/>
      <c r="AC547" s="1"/>
      <c r="AD547" s="1"/>
      <c r="AE547" s="1"/>
      <c r="AF547" s="1"/>
      <c r="AG547" s="15"/>
      <c r="AH547" s="15"/>
      <c r="AI547" s="17"/>
      <c r="AJ547" s="15"/>
      <c r="AK547" s="124"/>
      <c r="AL547" s="17"/>
      <c r="AM547" s="17"/>
      <c r="AN547" s="263"/>
      <c r="AO547" s="1"/>
      <c r="AP547" s="1"/>
      <c r="AQ547" s="307"/>
      <c r="AR547" s="1"/>
      <c r="AS547" s="11"/>
      <c r="AT547" s="11"/>
      <c r="AU547" s="214"/>
      <c r="AV547" s="268"/>
      <c r="AW547" s="1"/>
      <c r="AX547" s="210"/>
      <c r="AY547" s="60"/>
      <c r="AZ547" s="15"/>
      <c r="BA547" s="15"/>
      <c r="BB547" s="1"/>
      <c r="BC547" s="49" t="e">
        <f>IF(OR(#REF!="",#REF!="")=TRUE,"",NETWORKDAYS.INTL(#REF!,#REF!))</f>
        <v>#REF!</v>
      </c>
    </row>
    <row r="548" spans="1:55" x14ac:dyDescent="0.45">
      <c r="A548" s="13">
        <v>543</v>
      </c>
      <c r="B548" s="155"/>
      <c r="C548" s="85"/>
      <c r="D548" s="1"/>
      <c r="E548" s="1"/>
      <c r="F548" s="1"/>
      <c r="G548" s="1"/>
      <c r="H548" s="307"/>
      <c r="I548" s="1"/>
      <c r="J548" s="1"/>
      <c r="K548" s="15"/>
      <c r="L548" s="17"/>
      <c r="M548" s="238"/>
      <c r="N548" s="17"/>
      <c r="O548" s="15"/>
      <c r="P548" s="17"/>
      <c r="Q548" s="307"/>
      <c r="R548" s="238"/>
      <c r="S548" s="17"/>
      <c r="T548" s="15"/>
      <c r="U548" s="17"/>
      <c r="V548" s="262"/>
      <c r="W548" s="262"/>
      <c r="X548" s="1"/>
      <c r="Y548" s="1"/>
      <c r="Z548" s="1"/>
      <c r="AA548" s="1"/>
      <c r="AB548" s="1"/>
      <c r="AC548" s="1"/>
      <c r="AD548" s="1"/>
      <c r="AE548" s="1"/>
      <c r="AF548" s="1"/>
      <c r="AG548" s="15"/>
      <c r="AH548" s="15"/>
      <c r="AI548" s="17"/>
      <c r="AJ548" s="15"/>
      <c r="AK548" s="124"/>
      <c r="AL548" s="17"/>
      <c r="AM548" s="17"/>
      <c r="AN548" s="263"/>
      <c r="AO548" s="1"/>
      <c r="AP548" s="1"/>
      <c r="AQ548" s="307"/>
      <c r="AR548" s="1"/>
      <c r="AS548" s="11"/>
      <c r="AT548" s="11"/>
      <c r="AU548" s="214"/>
      <c r="AV548" s="268"/>
      <c r="AW548" s="1"/>
      <c r="AX548" s="210"/>
      <c r="AY548" s="60"/>
      <c r="AZ548" s="15"/>
      <c r="BA548" s="15"/>
      <c r="BB548" s="1"/>
      <c r="BC548" s="49" t="e">
        <f>IF(OR(#REF!="",#REF!="")=TRUE,"",NETWORKDAYS.INTL(#REF!,#REF!))</f>
        <v>#REF!</v>
      </c>
    </row>
    <row r="549" spans="1:55" x14ac:dyDescent="0.45">
      <c r="A549" s="12">
        <v>544</v>
      </c>
      <c r="B549" s="150"/>
      <c r="C549" s="53"/>
      <c r="D549" s="1"/>
      <c r="E549" s="1"/>
      <c r="F549" s="1"/>
      <c r="G549" s="1"/>
      <c r="H549" s="307"/>
      <c r="I549" s="1"/>
      <c r="J549" s="1"/>
      <c r="K549" s="15"/>
      <c r="L549" s="17"/>
      <c r="M549" s="238"/>
      <c r="N549" s="17"/>
      <c r="O549" s="15"/>
      <c r="P549" s="17"/>
      <c r="Q549" s="307"/>
      <c r="R549" s="238"/>
      <c r="S549" s="17"/>
      <c r="T549" s="15"/>
      <c r="U549" s="17"/>
      <c r="V549" s="262"/>
      <c r="W549" s="262"/>
      <c r="X549" s="1"/>
      <c r="Y549" s="1"/>
      <c r="Z549" s="1"/>
      <c r="AA549" s="1"/>
      <c r="AB549" s="1"/>
      <c r="AC549" s="1"/>
      <c r="AD549" s="1"/>
      <c r="AE549" s="1"/>
      <c r="AF549" s="1"/>
      <c r="AG549" s="15"/>
      <c r="AH549" s="15"/>
      <c r="AI549" s="17"/>
      <c r="AJ549" s="15"/>
      <c r="AK549" s="124"/>
      <c r="AL549" s="17"/>
      <c r="AM549" s="17"/>
      <c r="AN549" s="263"/>
      <c r="AO549" s="1"/>
      <c r="AP549" s="1"/>
      <c r="AQ549" s="307"/>
      <c r="AR549" s="1"/>
      <c r="AS549" s="11"/>
      <c r="AT549" s="11"/>
      <c r="AU549" s="214"/>
      <c r="AV549" s="268"/>
      <c r="AW549" s="1"/>
      <c r="AX549" s="210"/>
      <c r="AY549" s="60"/>
      <c r="AZ549" s="15"/>
      <c r="BA549" s="15"/>
      <c r="BB549" s="1"/>
      <c r="BC549" s="49" t="e">
        <f>IF(OR(#REF!="",#REF!="")=TRUE,"",NETWORKDAYS.INTL(#REF!,#REF!))</f>
        <v>#REF!</v>
      </c>
    </row>
    <row r="550" spans="1:55" x14ac:dyDescent="0.45">
      <c r="A550" s="13">
        <v>545</v>
      </c>
      <c r="B550" s="155"/>
      <c r="C550" s="85"/>
      <c r="D550" s="1"/>
      <c r="E550" s="1"/>
      <c r="F550" s="1"/>
      <c r="G550" s="1"/>
      <c r="H550" s="307"/>
      <c r="I550" s="1"/>
      <c r="J550" s="1"/>
      <c r="K550" s="15"/>
      <c r="L550" s="17"/>
      <c r="M550" s="238"/>
      <c r="N550" s="17"/>
      <c r="O550" s="15"/>
      <c r="P550" s="17"/>
      <c r="Q550" s="307"/>
      <c r="R550" s="238"/>
      <c r="S550" s="17"/>
      <c r="T550" s="15"/>
      <c r="U550" s="17"/>
      <c r="V550" s="262"/>
      <c r="W550" s="262"/>
      <c r="X550" s="1"/>
      <c r="Y550" s="1"/>
      <c r="Z550" s="1"/>
      <c r="AA550" s="1"/>
      <c r="AB550" s="1"/>
      <c r="AC550" s="1"/>
      <c r="AD550" s="1"/>
      <c r="AE550" s="1"/>
      <c r="AF550" s="1"/>
      <c r="AG550" s="15"/>
      <c r="AH550" s="15"/>
      <c r="AI550" s="17"/>
      <c r="AJ550" s="15"/>
      <c r="AK550" s="124"/>
      <c r="AL550" s="17"/>
      <c r="AM550" s="17"/>
      <c r="AN550" s="263"/>
      <c r="AO550" s="1"/>
      <c r="AP550" s="1"/>
      <c r="AQ550" s="307"/>
      <c r="AR550" s="1"/>
      <c r="AS550" s="11"/>
      <c r="AT550" s="11"/>
      <c r="AU550" s="214"/>
      <c r="AV550" s="268"/>
      <c r="AW550" s="1"/>
      <c r="AX550" s="210"/>
      <c r="AY550" s="60"/>
      <c r="AZ550" s="15"/>
      <c r="BA550" s="15"/>
      <c r="BB550" s="1"/>
      <c r="BC550" s="49" t="e">
        <f>IF(OR(#REF!="",#REF!="")=TRUE,"",NETWORKDAYS.INTL(#REF!,#REF!))</f>
        <v>#REF!</v>
      </c>
    </row>
    <row r="551" spans="1:55" x14ac:dyDescent="0.45">
      <c r="A551" s="13">
        <v>546</v>
      </c>
      <c r="B551" s="155"/>
      <c r="C551" s="85"/>
      <c r="D551" s="1"/>
      <c r="E551" s="1"/>
      <c r="F551" s="1"/>
      <c r="G551" s="1"/>
      <c r="H551" s="307"/>
      <c r="I551" s="1"/>
      <c r="J551" s="1"/>
      <c r="K551" s="15"/>
      <c r="L551" s="17"/>
      <c r="M551" s="238"/>
      <c r="N551" s="17"/>
      <c r="O551" s="15"/>
      <c r="P551" s="17"/>
      <c r="Q551" s="307"/>
      <c r="R551" s="238"/>
      <c r="S551" s="17"/>
      <c r="T551" s="15"/>
      <c r="U551" s="17"/>
      <c r="V551" s="262"/>
      <c r="W551" s="262"/>
      <c r="X551" s="1"/>
      <c r="Y551" s="1"/>
      <c r="Z551" s="1"/>
      <c r="AA551" s="1"/>
      <c r="AB551" s="1"/>
      <c r="AC551" s="1"/>
      <c r="AD551" s="1"/>
      <c r="AE551" s="1"/>
      <c r="AF551" s="1"/>
      <c r="AG551" s="15"/>
      <c r="AH551" s="15"/>
      <c r="AI551" s="17"/>
      <c r="AJ551" s="15"/>
      <c r="AK551" s="124"/>
      <c r="AL551" s="17"/>
      <c r="AM551" s="17"/>
      <c r="AN551" s="263"/>
      <c r="AO551" s="1"/>
      <c r="AP551" s="1"/>
      <c r="AQ551" s="307"/>
      <c r="AR551" s="1"/>
      <c r="AS551" s="11"/>
      <c r="AT551" s="11"/>
      <c r="AU551" s="214"/>
      <c r="AV551" s="268"/>
      <c r="AW551" s="1"/>
      <c r="AX551" s="210"/>
      <c r="AY551" s="60"/>
      <c r="AZ551" s="15"/>
      <c r="BA551" s="15"/>
      <c r="BB551" s="1"/>
      <c r="BC551" s="49" t="e">
        <f>IF(OR(#REF!="",#REF!="")=TRUE,"",NETWORKDAYS.INTL(#REF!,#REF!))</f>
        <v>#REF!</v>
      </c>
    </row>
    <row r="552" spans="1:55" x14ac:dyDescent="0.45">
      <c r="A552" s="12">
        <v>547</v>
      </c>
      <c r="B552" s="150"/>
      <c r="C552" s="53"/>
      <c r="D552" s="1"/>
      <c r="E552" s="1"/>
      <c r="F552" s="1"/>
      <c r="G552" s="1"/>
      <c r="H552" s="307"/>
      <c r="I552" s="1"/>
      <c r="J552" s="1"/>
      <c r="K552" s="15"/>
      <c r="L552" s="17"/>
      <c r="M552" s="238"/>
      <c r="N552" s="17"/>
      <c r="O552" s="15"/>
      <c r="P552" s="17"/>
      <c r="Q552" s="307"/>
      <c r="R552" s="238"/>
      <c r="S552" s="17"/>
      <c r="T552" s="15"/>
      <c r="U552" s="17"/>
      <c r="V552" s="262"/>
      <c r="W552" s="262"/>
      <c r="X552" s="1"/>
      <c r="Y552" s="1"/>
      <c r="Z552" s="1"/>
      <c r="AA552" s="1"/>
      <c r="AB552" s="1"/>
      <c r="AC552" s="1"/>
      <c r="AD552" s="1"/>
      <c r="AE552" s="1"/>
      <c r="AF552" s="1"/>
      <c r="AG552" s="15"/>
      <c r="AH552" s="15"/>
      <c r="AI552" s="17"/>
      <c r="AJ552" s="15"/>
      <c r="AK552" s="124"/>
      <c r="AL552" s="17"/>
      <c r="AM552" s="17"/>
      <c r="AN552" s="263"/>
      <c r="AO552" s="1"/>
      <c r="AP552" s="1"/>
      <c r="AQ552" s="307"/>
      <c r="AR552" s="1"/>
      <c r="AS552" s="11"/>
      <c r="AT552" s="11"/>
      <c r="AU552" s="214"/>
      <c r="AV552" s="268"/>
      <c r="AW552" s="1"/>
      <c r="AX552" s="210"/>
      <c r="AY552" s="60"/>
      <c r="AZ552" s="15"/>
      <c r="BA552" s="15"/>
      <c r="BB552" s="1"/>
      <c r="BC552" s="49" t="e">
        <f>IF(OR(#REF!="",#REF!="")=TRUE,"",NETWORKDAYS.INTL(#REF!,#REF!))</f>
        <v>#REF!</v>
      </c>
    </row>
    <row r="553" spans="1:55" x14ac:dyDescent="0.45">
      <c r="A553" s="13">
        <v>548</v>
      </c>
      <c r="B553" s="155"/>
      <c r="C553" s="85"/>
      <c r="D553" s="1"/>
      <c r="E553" s="1"/>
      <c r="F553" s="1"/>
      <c r="G553" s="1"/>
      <c r="H553" s="307"/>
      <c r="I553" s="1"/>
      <c r="J553" s="1"/>
      <c r="K553" s="15"/>
      <c r="L553" s="17"/>
      <c r="M553" s="238"/>
      <c r="N553" s="17"/>
      <c r="O553" s="15"/>
      <c r="P553" s="17"/>
      <c r="Q553" s="307"/>
      <c r="R553" s="238"/>
      <c r="S553" s="17"/>
      <c r="T553" s="15"/>
      <c r="U553" s="17"/>
      <c r="V553" s="262"/>
      <c r="W553" s="262"/>
      <c r="X553" s="1"/>
      <c r="Y553" s="1"/>
      <c r="Z553" s="1"/>
      <c r="AA553" s="1"/>
      <c r="AB553" s="1"/>
      <c r="AC553" s="1"/>
      <c r="AD553" s="1"/>
      <c r="AE553" s="1"/>
      <c r="AF553" s="1"/>
      <c r="AG553" s="15"/>
      <c r="AH553" s="15"/>
      <c r="AI553" s="17"/>
      <c r="AJ553" s="15"/>
      <c r="AK553" s="124"/>
      <c r="AL553" s="17"/>
      <c r="AM553" s="17"/>
      <c r="AN553" s="263"/>
      <c r="AO553" s="1"/>
      <c r="AP553" s="1"/>
      <c r="AQ553" s="307"/>
      <c r="AR553" s="1"/>
      <c r="AS553" s="11"/>
      <c r="AT553" s="11"/>
      <c r="AU553" s="214"/>
      <c r="AV553" s="268"/>
      <c r="AW553" s="1"/>
      <c r="AX553" s="210"/>
      <c r="AY553" s="60"/>
      <c r="AZ553" s="15"/>
      <c r="BA553" s="15"/>
      <c r="BB553" s="1"/>
      <c r="BC553" s="49" t="e">
        <f>IF(OR(#REF!="",#REF!="")=TRUE,"",NETWORKDAYS.INTL(#REF!,#REF!))</f>
        <v>#REF!</v>
      </c>
    </row>
    <row r="554" spans="1:55" x14ac:dyDescent="0.45">
      <c r="A554" s="13">
        <v>549</v>
      </c>
      <c r="B554" s="155"/>
      <c r="C554" s="85"/>
      <c r="D554" s="1"/>
      <c r="E554" s="1"/>
      <c r="F554" s="1"/>
      <c r="G554" s="1"/>
      <c r="H554" s="307"/>
      <c r="I554" s="1"/>
      <c r="J554" s="1"/>
      <c r="K554" s="15"/>
      <c r="L554" s="17"/>
      <c r="M554" s="238"/>
      <c r="N554" s="17"/>
      <c r="O554" s="15"/>
      <c r="P554" s="17"/>
      <c r="Q554" s="307"/>
      <c r="R554" s="238"/>
      <c r="S554" s="17"/>
      <c r="T554" s="15"/>
      <c r="U554" s="17"/>
      <c r="V554" s="262"/>
      <c r="W554" s="262"/>
      <c r="X554" s="1"/>
      <c r="Y554" s="1"/>
      <c r="Z554" s="1"/>
      <c r="AA554" s="1"/>
      <c r="AB554" s="1"/>
      <c r="AC554" s="1"/>
      <c r="AD554" s="1"/>
      <c r="AE554" s="1"/>
      <c r="AF554" s="1"/>
      <c r="AG554" s="15"/>
      <c r="AH554" s="15"/>
      <c r="AI554" s="17"/>
      <c r="AJ554" s="15"/>
      <c r="AK554" s="124"/>
      <c r="AL554" s="17"/>
      <c r="AM554" s="17"/>
      <c r="AN554" s="263"/>
      <c r="AO554" s="1"/>
      <c r="AP554" s="1"/>
      <c r="AQ554" s="307"/>
      <c r="AR554" s="1"/>
      <c r="AS554" s="11"/>
      <c r="AT554" s="11"/>
      <c r="AU554" s="214"/>
      <c r="AV554" s="268"/>
      <c r="AW554" s="1"/>
      <c r="AX554" s="210"/>
      <c r="AY554" s="60"/>
      <c r="AZ554" s="15"/>
      <c r="BA554" s="15"/>
      <c r="BB554" s="1"/>
      <c r="BC554" s="49" t="e">
        <f>IF(OR(#REF!="",#REF!="")=TRUE,"",NETWORKDAYS.INTL(#REF!,#REF!))</f>
        <v>#REF!</v>
      </c>
    </row>
    <row r="555" spans="1:55" x14ac:dyDescent="0.45">
      <c r="A555" s="12">
        <v>550</v>
      </c>
      <c r="B555" s="150"/>
      <c r="C555" s="53"/>
      <c r="D555" s="1"/>
      <c r="E555" s="1"/>
      <c r="F555" s="1"/>
      <c r="G555" s="1"/>
      <c r="H555" s="307"/>
      <c r="I555" s="1"/>
      <c r="J555" s="1"/>
      <c r="K555" s="15"/>
      <c r="L555" s="17"/>
      <c r="M555" s="238"/>
      <c r="N555" s="17"/>
      <c r="O555" s="15"/>
      <c r="P555" s="17"/>
      <c r="Q555" s="307"/>
      <c r="R555" s="238"/>
      <c r="S555" s="17"/>
      <c r="T555" s="15"/>
      <c r="U555" s="17"/>
      <c r="V555" s="262"/>
      <c r="W555" s="262"/>
      <c r="X555" s="1"/>
      <c r="Y555" s="1"/>
      <c r="Z555" s="1"/>
      <c r="AA555" s="1"/>
      <c r="AB555" s="1"/>
      <c r="AC555" s="1"/>
      <c r="AD555" s="1"/>
      <c r="AE555" s="1"/>
      <c r="AF555" s="1"/>
      <c r="AG555" s="15"/>
      <c r="AH555" s="15"/>
      <c r="AI555" s="17"/>
      <c r="AJ555" s="15"/>
      <c r="AK555" s="124"/>
      <c r="AL555" s="17"/>
      <c r="AM555" s="17"/>
      <c r="AN555" s="263"/>
      <c r="AO555" s="1"/>
      <c r="AP555" s="1"/>
      <c r="AQ555" s="307"/>
      <c r="AR555" s="1"/>
      <c r="AS555" s="11"/>
      <c r="AT555" s="11"/>
      <c r="AU555" s="214"/>
      <c r="AV555" s="268"/>
      <c r="AW555" s="1"/>
      <c r="AX555" s="210"/>
      <c r="AY555" s="60"/>
      <c r="AZ555" s="15"/>
      <c r="BA555" s="15"/>
      <c r="BB555" s="1"/>
      <c r="BC555" s="49" t="e">
        <f>IF(OR(#REF!="",#REF!="")=TRUE,"",NETWORKDAYS.INTL(#REF!,#REF!))</f>
        <v>#REF!</v>
      </c>
    </row>
    <row r="556" spans="1:55" x14ac:dyDescent="0.45">
      <c r="A556" s="13">
        <v>551</v>
      </c>
      <c r="B556" s="155"/>
      <c r="C556" s="85"/>
      <c r="D556" s="1"/>
      <c r="E556" s="1"/>
      <c r="F556" s="1"/>
      <c r="G556" s="1"/>
      <c r="H556" s="307"/>
      <c r="I556" s="1"/>
      <c r="J556" s="1"/>
      <c r="K556" s="15"/>
      <c r="L556" s="17"/>
      <c r="M556" s="238"/>
      <c r="N556" s="17"/>
      <c r="O556" s="15"/>
      <c r="P556" s="17"/>
      <c r="Q556" s="307"/>
      <c r="R556" s="238"/>
      <c r="S556" s="17"/>
      <c r="T556" s="15"/>
      <c r="U556" s="17"/>
      <c r="V556" s="262"/>
      <c r="W556" s="262"/>
      <c r="X556" s="1"/>
      <c r="Y556" s="1"/>
      <c r="Z556" s="1"/>
      <c r="AA556" s="1"/>
      <c r="AB556" s="1"/>
      <c r="AC556" s="1"/>
      <c r="AD556" s="1"/>
      <c r="AE556" s="1"/>
      <c r="AF556" s="1"/>
      <c r="AG556" s="15"/>
      <c r="AH556" s="15"/>
      <c r="AI556" s="17"/>
      <c r="AJ556" s="15"/>
      <c r="AK556" s="124"/>
      <c r="AL556" s="17"/>
      <c r="AM556" s="17"/>
      <c r="AN556" s="263"/>
      <c r="AO556" s="1"/>
      <c r="AP556" s="1"/>
      <c r="AQ556" s="307"/>
      <c r="AR556" s="1"/>
      <c r="AS556" s="11"/>
      <c r="AT556" s="11"/>
      <c r="AU556" s="214"/>
      <c r="AV556" s="268"/>
      <c r="AW556" s="1"/>
      <c r="AX556" s="210"/>
      <c r="AY556" s="60"/>
      <c r="AZ556" s="15"/>
      <c r="BA556" s="15"/>
      <c r="BB556" s="1"/>
      <c r="BC556" s="49" t="e">
        <f>IF(OR(#REF!="",#REF!="")=TRUE,"",NETWORKDAYS.INTL(#REF!,#REF!))</f>
        <v>#REF!</v>
      </c>
    </row>
    <row r="557" spans="1:55" x14ac:dyDescent="0.45">
      <c r="A557" s="13">
        <v>552</v>
      </c>
      <c r="B557" s="155"/>
      <c r="C557" s="85"/>
      <c r="D557" s="1"/>
      <c r="E557" s="1"/>
      <c r="F557" s="1"/>
      <c r="G557" s="1"/>
      <c r="H557" s="307"/>
      <c r="I557" s="1"/>
      <c r="J557" s="1"/>
      <c r="K557" s="15"/>
      <c r="L557" s="17"/>
      <c r="M557" s="238"/>
      <c r="N557" s="17"/>
      <c r="O557" s="15"/>
      <c r="P557" s="17"/>
      <c r="Q557" s="307"/>
      <c r="R557" s="238"/>
      <c r="S557" s="17"/>
      <c r="T557" s="15"/>
      <c r="U557" s="17"/>
      <c r="V557" s="262"/>
      <c r="W557" s="262"/>
      <c r="X557" s="1"/>
      <c r="Y557" s="1"/>
      <c r="Z557" s="1"/>
      <c r="AA557" s="1"/>
      <c r="AB557" s="1"/>
      <c r="AC557" s="1"/>
      <c r="AD557" s="1"/>
      <c r="AE557" s="1"/>
      <c r="AF557" s="1"/>
      <c r="AG557" s="15"/>
      <c r="AH557" s="15"/>
      <c r="AI557" s="17"/>
      <c r="AJ557" s="15"/>
      <c r="AK557" s="124"/>
      <c r="AL557" s="17"/>
      <c r="AM557" s="17"/>
      <c r="AN557" s="263"/>
      <c r="AO557" s="1"/>
      <c r="AP557" s="1"/>
      <c r="AQ557" s="307"/>
      <c r="AR557" s="1"/>
      <c r="AS557" s="11"/>
      <c r="AT557" s="11"/>
      <c r="AU557" s="214"/>
      <c r="AV557" s="268"/>
      <c r="AW557" s="1"/>
      <c r="AX557" s="210"/>
      <c r="AY557" s="60"/>
      <c r="AZ557" s="15"/>
      <c r="BA557" s="15"/>
      <c r="BB557" s="1"/>
      <c r="BC557" s="49" t="e">
        <f>IF(OR(#REF!="",#REF!="")=TRUE,"",NETWORKDAYS.INTL(#REF!,#REF!))</f>
        <v>#REF!</v>
      </c>
    </row>
    <row r="558" spans="1:55" x14ac:dyDescent="0.45">
      <c r="A558" s="12">
        <v>553</v>
      </c>
      <c r="B558" s="150"/>
      <c r="C558" s="53"/>
      <c r="D558" s="1"/>
      <c r="E558" s="1"/>
      <c r="F558" s="1"/>
      <c r="G558" s="1"/>
      <c r="H558" s="307"/>
      <c r="I558" s="1"/>
      <c r="J558" s="1"/>
      <c r="K558" s="15"/>
      <c r="L558" s="17"/>
      <c r="M558" s="238"/>
      <c r="N558" s="17"/>
      <c r="O558" s="15"/>
      <c r="P558" s="17"/>
      <c r="Q558" s="307"/>
      <c r="R558" s="238"/>
      <c r="S558" s="17"/>
      <c r="T558" s="15"/>
      <c r="U558" s="17"/>
      <c r="V558" s="262"/>
      <c r="W558" s="262"/>
      <c r="X558" s="1"/>
      <c r="Y558" s="1"/>
      <c r="Z558" s="1"/>
      <c r="AA558" s="1"/>
      <c r="AB558" s="1"/>
      <c r="AC558" s="1"/>
      <c r="AD558" s="1"/>
      <c r="AE558" s="1"/>
      <c r="AF558" s="1"/>
      <c r="AG558" s="15"/>
      <c r="AH558" s="15"/>
      <c r="AI558" s="17"/>
      <c r="AJ558" s="15"/>
      <c r="AK558" s="124"/>
      <c r="AL558" s="17"/>
      <c r="AM558" s="17"/>
      <c r="AN558" s="263"/>
      <c r="AO558" s="1"/>
      <c r="AP558" s="1"/>
      <c r="AQ558" s="307"/>
      <c r="AR558" s="1"/>
      <c r="AS558" s="11"/>
      <c r="AT558" s="11"/>
      <c r="AU558" s="214"/>
      <c r="AV558" s="268"/>
      <c r="AW558" s="1"/>
      <c r="AX558" s="210"/>
      <c r="AY558" s="60"/>
      <c r="AZ558" s="15"/>
      <c r="BA558" s="15"/>
      <c r="BB558" s="1"/>
      <c r="BC558" s="49" t="e">
        <f>IF(OR(#REF!="",#REF!="")=TRUE,"",NETWORKDAYS.INTL(#REF!,#REF!))</f>
        <v>#REF!</v>
      </c>
    </row>
    <row r="559" spans="1:55" x14ac:dyDescent="0.45">
      <c r="A559" s="13">
        <v>554</v>
      </c>
      <c r="B559" s="155"/>
      <c r="C559" s="85"/>
      <c r="D559" s="1"/>
      <c r="E559" s="1"/>
      <c r="F559" s="1"/>
      <c r="G559" s="1"/>
      <c r="H559" s="307"/>
      <c r="I559" s="1"/>
      <c r="J559" s="1"/>
      <c r="K559" s="15"/>
      <c r="L559" s="17"/>
      <c r="M559" s="238"/>
      <c r="N559" s="17"/>
      <c r="O559" s="15"/>
      <c r="P559" s="17"/>
      <c r="Q559" s="307"/>
      <c r="R559" s="238"/>
      <c r="S559" s="17"/>
      <c r="T559" s="15"/>
      <c r="U559" s="17"/>
      <c r="V559" s="262"/>
      <c r="W559" s="262"/>
      <c r="X559" s="1"/>
      <c r="Y559" s="1"/>
      <c r="Z559" s="1"/>
      <c r="AA559" s="1"/>
      <c r="AB559" s="1"/>
      <c r="AC559" s="1"/>
      <c r="AD559" s="1"/>
      <c r="AE559" s="1"/>
      <c r="AF559" s="1"/>
      <c r="AG559" s="15"/>
      <c r="AH559" s="15"/>
      <c r="AI559" s="17"/>
      <c r="AJ559" s="15"/>
      <c r="AK559" s="124"/>
      <c r="AL559" s="17"/>
      <c r="AM559" s="17"/>
      <c r="AN559" s="263"/>
      <c r="AO559" s="1"/>
      <c r="AP559" s="1"/>
      <c r="AQ559" s="307"/>
      <c r="AR559" s="1"/>
      <c r="AS559" s="11"/>
      <c r="AT559" s="11"/>
      <c r="AU559" s="214"/>
      <c r="AV559" s="268"/>
      <c r="AW559" s="1"/>
      <c r="AX559" s="210"/>
      <c r="AY559" s="60"/>
      <c r="AZ559" s="15"/>
      <c r="BA559" s="15"/>
      <c r="BB559" s="1"/>
      <c r="BC559" s="49" t="e">
        <f>IF(OR(#REF!="",#REF!="")=TRUE,"",NETWORKDAYS.INTL(#REF!,#REF!))</f>
        <v>#REF!</v>
      </c>
    </row>
    <row r="560" spans="1:55" x14ac:dyDescent="0.45">
      <c r="A560" s="13">
        <v>555</v>
      </c>
      <c r="B560" s="155"/>
      <c r="C560" s="85"/>
      <c r="D560" s="1"/>
      <c r="E560" s="1"/>
      <c r="F560" s="1"/>
      <c r="G560" s="1"/>
      <c r="H560" s="307"/>
      <c r="I560" s="1"/>
      <c r="J560" s="1"/>
      <c r="K560" s="15"/>
      <c r="L560" s="17"/>
      <c r="M560" s="238"/>
      <c r="N560" s="17"/>
      <c r="O560" s="15"/>
      <c r="P560" s="17"/>
      <c r="Q560" s="307"/>
      <c r="R560" s="238"/>
      <c r="S560" s="17"/>
      <c r="T560" s="15"/>
      <c r="U560" s="17"/>
      <c r="V560" s="262"/>
      <c r="W560" s="262"/>
      <c r="X560" s="1"/>
      <c r="Y560" s="1"/>
      <c r="Z560" s="1"/>
      <c r="AA560" s="1"/>
      <c r="AB560" s="1"/>
      <c r="AC560" s="1"/>
      <c r="AD560" s="1"/>
      <c r="AE560" s="1"/>
      <c r="AF560" s="1"/>
      <c r="AG560" s="15"/>
      <c r="AH560" s="15"/>
      <c r="AI560" s="17"/>
      <c r="AJ560" s="15"/>
      <c r="AK560" s="124"/>
      <c r="AL560" s="17"/>
      <c r="AM560" s="17"/>
      <c r="AN560" s="263"/>
      <c r="AO560" s="1"/>
      <c r="AP560" s="1"/>
      <c r="AQ560" s="307"/>
      <c r="AR560" s="1"/>
      <c r="AS560" s="11"/>
      <c r="AT560" s="11"/>
      <c r="AU560" s="214"/>
      <c r="AV560" s="268"/>
      <c r="AW560" s="1"/>
      <c r="AX560" s="210"/>
      <c r="AY560" s="60"/>
      <c r="AZ560" s="15"/>
      <c r="BA560" s="15"/>
      <c r="BB560" s="1"/>
      <c r="BC560" s="49" t="e">
        <f>IF(OR(#REF!="",#REF!="")=TRUE,"",NETWORKDAYS.INTL(#REF!,#REF!))</f>
        <v>#REF!</v>
      </c>
    </row>
    <row r="561" spans="1:55" x14ac:dyDescent="0.45">
      <c r="A561" s="12">
        <v>556</v>
      </c>
      <c r="B561" s="150"/>
      <c r="C561" s="53"/>
      <c r="D561" s="1"/>
      <c r="E561" s="1"/>
      <c r="F561" s="1"/>
      <c r="G561" s="1"/>
      <c r="H561" s="307"/>
      <c r="I561" s="1"/>
      <c r="J561" s="1"/>
      <c r="K561" s="15"/>
      <c r="L561" s="17"/>
      <c r="M561" s="238"/>
      <c r="N561" s="17"/>
      <c r="O561" s="15"/>
      <c r="P561" s="17"/>
      <c r="Q561" s="307"/>
      <c r="R561" s="238"/>
      <c r="S561" s="17"/>
      <c r="T561" s="15"/>
      <c r="U561" s="17"/>
      <c r="V561" s="262"/>
      <c r="W561" s="262"/>
      <c r="X561" s="1"/>
      <c r="Y561" s="1"/>
      <c r="Z561" s="1"/>
      <c r="AA561" s="1"/>
      <c r="AB561" s="1"/>
      <c r="AC561" s="1"/>
      <c r="AD561" s="1"/>
      <c r="AE561" s="1"/>
      <c r="AF561" s="1"/>
      <c r="AG561" s="15"/>
      <c r="AH561" s="15"/>
      <c r="AI561" s="17"/>
      <c r="AJ561" s="15"/>
      <c r="AK561" s="124"/>
      <c r="AL561" s="17"/>
      <c r="AM561" s="17"/>
      <c r="AN561" s="263"/>
      <c r="AO561" s="1"/>
      <c r="AP561" s="1"/>
      <c r="AQ561" s="307"/>
      <c r="AR561" s="1"/>
      <c r="AS561" s="11"/>
      <c r="AT561" s="11"/>
      <c r="AU561" s="214"/>
      <c r="AV561" s="268"/>
      <c r="AW561" s="1"/>
      <c r="AX561" s="210"/>
      <c r="AY561" s="60"/>
      <c r="AZ561" s="15"/>
      <c r="BA561" s="15"/>
      <c r="BB561" s="1"/>
      <c r="BC561" s="49" t="e">
        <f>IF(OR(#REF!="",#REF!="")=TRUE,"",NETWORKDAYS.INTL(#REF!,#REF!))</f>
        <v>#REF!</v>
      </c>
    </row>
    <row r="562" spans="1:55" x14ac:dyDescent="0.45">
      <c r="A562" s="13">
        <v>557</v>
      </c>
      <c r="B562" s="155"/>
      <c r="C562" s="85"/>
      <c r="D562" s="1"/>
      <c r="E562" s="1"/>
      <c r="F562" s="1"/>
      <c r="G562" s="1"/>
      <c r="H562" s="307"/>
      <c r="I562" s="1"/>
      <c r="J562" s="1"/>
      <c r="K562" s="15"/>
      <c r="L562" s="17"/>
      <c r="M562" s="238"/>
      <c r="N562" s="17"/>
      <c r="O562" s="15"/>
      <c r="P562" s="17"/>
      <c r="Q562" s="307"/>
      <c r="R562" s="238"/>
      <c r="S562" s="17"/>
      <c r="T562" s="15"/>
      <c r="U562" s="17"/>
      <c r="V562" s="262"/>
      <c r="W562" s="262"/>
      <c r="X562" s="1"/>
      <c r="Y562" s="1"/>
      <c r="Z562" s="1"/>
      <c r="AA562" s="1"/>
      <c r="AB562" s="1"/>
      <c r="AC562" s="1"/>
      <c r="AD562" s="1"/>
      <c r="AE562" s="1"/>
      <c r="AF562" s="1"/>
      <c r="AG562" s="15"/>
      <c r="AH562" s="15"/>
      <c r="AI562" s="17"/>
      <c r="AJ562" s="15"/>
      <c r="AK562" s="124"/>
      <c r="AL562" s="17"/>
      <c r="AM562" s="17"/>
      <c r="AN562" s="263"/>
      <c r="AO562" s="1"/>
      <c r="AP562" s="1"/>
      <c r="AQ562" s="307"/>
      <c r="AR562" s="1"/>
      <c r="AS562" s="11"/>
      <c r="AT562" s="11"/>
      <c r="AU562" s="214"/>
      <c r="AV562" s="268"/>
      <c r="AW562" s="1"/>
      <c r="AX562" s="210"/>
      <c r="AY562" s="60"/>
      <c r="AZ562" s="15"/>
      <c r="BA562" s="15"/>
      <c r="BB562" s="1"/>
      <c r="BC562" s="49" t="e">
        <f>IF(OR(#REF!="",#REF!="")=TRUE,"",NETWORKDAYS.INTL(#REF!,#REF!))</f>
        <v>#REF!</v>
      </c>
    </row>
    <row r="563" spans="1:55" x14ac:dyDescent="0.45">
      <c r="A563" s="13">
        <v>558</v>
      </c>
      <c r="B563" s="155"/>
      <c r="C563" s="85"/>
      <c r="D563" s="1"/>
      <c r="E563" s="1"/>
      <c r="F563" s="1"/>
      <c r="G563" s="1"/>
      <c r="H563" s="307"/>
      <c r="I563" s="1"/>
      <c r="J563" s="1"/>
      <c r="K563" s="15"/>
      <c r="L563" s="17"/>
      <c r="M563" s="238"/>
      <c r="N563" s="17"/>
      <c r="O563" s="15"/>
      <c r="P563" s="17"/>
      <c r="Q563" s="307"/>
      <c r="R563" s="238"/>
      <c r="S563" s="17"/>
      <c r="T563" s="15"/>
      <c r="U563" s="17"/>
      <c r="V563" s="262"/>
      <c r="W563" s="262"/>
      <c r="X563" s="1"/>
      <c r="Y563" s="1"/>
      <c r="Z563" s="1"/>
      <c r="AA563" s="1"/>
      <c r="AB563" s="1"/>
      <c r="AC563" s="1"/>
      <c r="AD563" s="1"/>
      <c r="AE563" s="1"/>
      <c r="AF563" s="1"/>
      <c r="AG563" s="15"/>
      <c r="AH563" s="15"/>
      <c r="AI563" s="17"/>
      <c r="AJ563" s="15"/>
      <c r="AK563" s="124"/>
      <c r="AL563" s="17"/>
      <c r="AM563" s="17"/>
      <c r="AN563" s="263"/>
      <c r="AO563" s="1"/>
      <c r="AP563" s="1"/>
      <c r="AQ563" s="307"/>
      <c r="AR563" s="1"/>
      <c r="AS563" s="11"/>
      <c r="AT563" s="11"/>
      <c r="AU563" s="214"/>
      <c r="AV563" s="268"/>
      <c r="AW563" s="1"/>
      <c r="AX563" s="210"/>
      <c r="AY563" s="60"/>
      <c r="AZ563" s="15"/>
      <c r="BA563" s="15"/>
      <c r="BB563" s="1"/>
      <c r="BC563" s="49" t="e">
        <f>IF(OR(#REF!="",#REF!="")=TRUE,"",NETWORKDAYS.INTL(#REF!,#REF!))</f>
        <v>#REF!</v>
      </c>
    </row>
    <row r="564" spans="1:55" x14ac:dyDescent="0.45">
      <c r="A564" s="12">
        <v>559</v>
      </c>
      <c r="B564" s="150"/>
      <c r="C564" s="53"/>
      <c r="D564" s="1"/>
      <c r="E564" s="1"/>
      <c r="F564" s="1"/>
      <c r="G564" s="1"/>
      <c r="H564" s="307"/>
      <c r="I564" s="1"/>
      <c r="J564" s="1"/>
      <c r="K564" s="15"/>
      <c r="L564" s="17"/>
      <c r="M564" s="238"/>
      <c r="N564" s="17"/>
      <c r="O564" s="15"/>
      <c r="P564" s="17"/>
      <c r="Q564" s="307"/>
      <c r="R564" s="238"/>
      <c r="S564" s="17"/>
      <c r="T564" s="15"/>
      <c r="U564" s="17"/>
      <c r="V564" s="262"/>
      <c r="W564" s="262"/>
      <c r="X564" s="1"/>
      <c r="Y564" s="1"/>
      <c r="Z564" s="1"/>
      <c r="AA564" s="1"/>
      <c r="AB564" s="1"/>
      <c r="AC564" s="1"/>
      <c r="AD564" s="1"/>
      <c r="AE564" s="1"/>
      <c r="AF564" s="1"/>
      <c r="AG564" s="15"/>
      <c r="AH564" s="15"/>
      <c r="AI564" s="17"/>
      <c r="AJ564" s="15"/>
      <c r="AK564" s="124"/>
      <c r="AL564" s="17"/>
      <c r="AM564" s="17"/>
      <c r="AN564" s="263"/>
      <c r="AO564" s="1"/>
      <c r="AP564" s="1"/>
      <c r="AQ564" s="307"/>
      <c r="AR564" s="1"/>
      <c r="AS564" s="11"/>
      <c r="AT564" s="11"/>
      <c r="AU564" s="214"/>
      <c r="AV564" s="268"/>
      <c r="AW564" s="1"/>
      <c r="AX564" s="210"/>
      <c r="AY564" s="60"/>
      <c r="AZ564" s="15"/>
      <c r="BA564" s="15"/>
      <c r="BB564" s="1"/>
      <c r="BC564" s="49" t="e">
        <f>IF(OR(#REF!="",#REF!="")=TRUE,"",NETWORKDAYS.INTL(#REF!,#REF!))</f>
        <v>#REF!</v>
      </c>
    </row>
    <row r="565" spans="1:55" x14ac:dyDescent="0.45">
      <c r="A565" s="13">
        <v>560</v>
      </c>
      <c r="B565" s="155"/>
      <c r="C565" s="85"/>
      <c r="D565" s="1"/>
      <c r="E565" s="1"/>
      <c r="F565" s="1"/>
      <c r="G565" s="1"/>
      <c r="H565" s="307"/>
      <c r="I565" s="1"/>
      <c r="J565" s="1"/>
      <c r="K565" s="15"/>
      <c r="L565" s="17"/>
      <c r="M565" s="238"/>
      <c r="N565" s="17"/>
      <c r="O565" s="15"/>
      <c r="P565" s="17"/>
      <c r="Q565" s="307"/>
      <c r="R565" s="238"/>
      <c r="S565" s="17"/>
      <c r="T565" s="15"/>
      <c r="U565" s="17"/>
      <c r="V565" s="262"/>
      <c r="W565" s="262"/>
      <c r="X565" s="1"/>
      <c r="Y565" s="1"/>
      <c r="Z565" s="1"/>
      <c r="AA565" s="1"/>
      <c r="AB565" s="1"/>
      <c r="AC565" s="1"/>
      <c r="AD565" s="1"/>
      <c r="AE565" s="1"/>
      <c r="AF565" s="1"/>
      <c r="AG565" s="15"/>
      <c r="AH565" s="15"/>
      <c r="AI565" s="17"/>
      <c r="AJ565" s="15"/>
      <c r="AK565" s="124"/>
      <c r="AL565" s="17"/>
      <c r="AM565" s="17"/>
      <c r="AN565" s="263"/>
      <c r="AO565" s="1"/>
      <c r="AP565" s="1"/>
      <c r="AQ565" s="307"/>
      <c r="AR565" s="1"/>
      <c r="AS565" s="11"/>
      <c r="AT565" s="11"/>
      <c r="AU565" s="214"/>
      <c r="AV565" s="268"/>
      <c r="AW565" s="1"/>
      <c r="AX565" s="210"/>
      <c r="AY565" s="60"/>
      <c r="AZ565" s="15"/>
      <c r="BA565" s="15"/>
      <c r="BB565" s="1"/>
      <c r="BC565" s="49" t="e">
        <f>IF(OR(#REF!="",#REF!="")=TRUE,"",NETWORKDAYS.INTL(#REF!,#REF!))</f>
        <v>#REF!</v>
      </c>
    </row>
    <row r="566" spans="1:55" x14ac:dyDescent="0.45">
      <c r="A566" s="13">
        <v>561</v>
      </c>
      <c r="B566" s="155"/>
      <c r="C566" s="85"/>
      <c r="D566" s="1"/>
      <c r="E566" s="1"/>
      <c r="F566" s="1"/>
      <c r="G566" s="1"/>
      <c r="H566" s="307"/>
      <c r="I566" s="1"/>
      <c r="J566" s="1"/>
      <c r="K566" s="15"/>
      <c r="L566" s="17"/>
      <c r="M566" s="238"/>
      <c r="N566" s="17"/>
      <c r="O566" s="15"/>
      <c r="P566" s="17"/>
      <c r="Q566" s="307"/>
      <c r="R566" s="238"/>
      <c r="S566" s="17"/>
      <c r="T566" s="15"/>
      <c r="U566" s="17"/>
      <c r="V566" s="262"/>
      <c r="W566" s="262"/>
      <c r="X566" s="1"/>
      <c r="Y566" s="1"/>
      <c r="Z566" s="1"/>
      <c r="AA566" s="1"/>
      <c r="AB566" s="1"/>
      <c r="AC566" s="1"/>
      <c r="AD566" s="1"/>
      <c r="AE566" s="1"/>
      <c r="AF566" s="1"/>
      <c r="AG566" s="15"/>
      <c r="AH566" s="15"/>
      <c r="AI566" s="17"/>
      <c r="AJ566" s="15"/>
      <c r="AK566" s="124"/>
      <c r="AL566" s="17"/>
      <c r="AM566" s="17"/>
      <c r="AN566" s="263"/>
      <c r="AO566" s="1"/>
      <c r="AP566" s="1"/>
      <c r="AQ566" s="307"/>
      <c r="AR566" s="1"/>
      <c r="AS566" s="11"/>
      <c r="AT566" s="11"/>
      <c r="AU566" s="214"/>
      <c r="AV566" s="268"/>
      <c r="AW566" s="1"/>
      <c r="AX566" s="210"/>
      <c r="AY566" s="60"/>
      <c r="AZ566" s="15"/>
      <c r="BA566" s="15"/>
      <c r="BB566" s="1"/>
      <c r="BC566" s="49" t="e">
        <f>IF(OR(#REF!="",#REF!="")=TRUE,"",NETWORKDAYS.INTL(#REF!,#REF!))</f>
        <v>#REF!</v>
      </c>
    </row>
    <row r="567" spans="1:55" x14ac:dyDescent="0.45">
      <c r="A567" s="12">
        <v>562</v>
      </c>
      <c r="B567" s="150"/>
      <c r="C567" s="53"/>
      <c r="D567" s="1"/>
      <c r="E567" s="1"/>
      <c r="F567" s="1"/>
      <c r="G567" s="1"/>
      <c r="H567" s="307"/>
      <c r="I567" s="1"/>
      <c r="J567" s="1"/>
      <c r="K567" s="15"/>
      <c r="L567" s="17"/>
      <c r="M567" s="238"/>
      <c r="N567" s="17"/>
      <c r="O567" s="15"/>
      <c r="P567" s="17"/>
      <c r="Q567" s="307"/>
      <c r="R567" s="238"/>
      <c r="S567" s="17"/>
      <c r="T567" s="15"/>
      <c r="U567" s="17"/>
      <c r="V567" s="262"/>
      <c r="W567" s="262"/>
      <c r="X567" s="1"/>
      <c r="Y567" s="1"/>
      <c r="Z567" s="1"/>
      <c r="AA567" s="1"/>
      <c r="AB567" s="1"/>
      <c r="AC567" s="1"/>
      <c r="AD567" s="1"/>
      <c r="AE567" s="1"/>
      <c r="AF567" s="1"/>
      <c r="AG567" s="15"/>
      <c r="AH567" s="15"/>
      <c r="AI567" s="17"/>
      <c r="AJ567" s="15"/>
      <c r="AK567" s="124"/>
      <c r="AL567" s="17"/>
      <c r="AM567" s="17"/>
      <c r="AN567" s="263"/>
      <c r="AO567" s="1"/>
      <c r="AP567" s="1"/>
      <c r="AQ567" s="307"/>
      <c r="AR567" s="1"/>
      <c r="AS567" s="11"/>
      <c r="AT567" s="11"/>
      <c r="AU567" s="214"/>
      <c r="AV567" s="268"/>
      <c r="AW567" s="1"/>
      <c r="AX567" s="210"/>
      <c r="AY567" s="60"/>
      <c r="AZ567" s="15"/>
      <c r="BA567" s="15"/>
      <c r="BB567" s="1"/>
      <c r="BC567" s="49" t="e">
        <f>IF(OR(#REF!="",#REF!="")=TRUE,"",NETWORKDAYS.INTL(#REF!,#REF!))</f>
        <v>#REF!</v>
      </c>
    </row>
    <row r="568" spans="1:55" x14ac:dyDescent="0.45">
      <c r="A568" s="13">
        <v>563</v>
      </c>
      <c r="B568" s="155"/>
      <c r="C568" s="85"/>
      <c r="D568" s="1"/>
      <c r="E568" s="1"/>
      <c r="F568" s="1"/>
      <c r="G568" s="1"/>
      <c r="H568" s="307"/>
      <c r="I568" s="1"/>
      <c r="J568" s="1"/>
      <c r="K568" s="15"/>
      <c r="L568" s="17"/>
      <c r="M568" s="238"/>
      <c r="N568" s="17"/>
      <c r="O568" s="15"/>
      <c r="P568" s="17"/>
      <c r="Q568" s="307"/>
      <c r="R568" s="238"/>
      <c r="S568" s="17"/>
      <c r="T568" s="15"/>
      <c r="U568" s="17"/>
      <c r="V568" s="262"/>
      <c r="W568" s="262"/>
      <c r="X568" s="1"/>
      <c r="Y568" s="1"/>
      <c r="Z568" s="1"/>
      <c r="AA568" s="1"/>
      <c r="AB568" s="1"/>
      <c r="AC568" s="1"/>
      <c r="AD568" s="1"/>
      <c r="AE568" s="1"/>
      <c r="AF568" s="1"/>
      <c r="AG568" s="15"/>
      <c r="AH568" s="15"/>
      <c r="AI568" s="17"/>
      <c r="AJ568" s="15"/>
      <c r="AK568" s="124"/>
      <c r="AL568" s="17"/>
      <c r="AM568" s="17"/>
      <c r="AN568" s="263"/>
      <c r="AO568" s="1"/>
      <c r="AP568" s="1"/>
      <c r="AQ568" s="307"/>
      <c r="AR568" s="1"/>
      <c r="AS568" s="11"/>
      <c r="AT568" s="11"/>
      <c r="AU568" s="214"/>
      <c r="AV568" s="268"/>
      <c r="AW568" s="1"/>
      <c r="AX568" s="210"/>
      <c r="AY568" s="60"/>
      <c r="AZ568" s="15"/>
      <c r="BA568" s="15"/>
      <c r="BB568" s="1"/>
      <c r="BC568" s="49" t="e">
        <f>IF(OR(#REF!="",#REF!="")=TRUE,"",NETWORKDAYS.INTL(#REF!,#REF!))</f>
        <v>#REF!</v>
      </c>
    </row>
    <row r="569" spans="1:55" x14ac:dyDescent="0.45">
      <c r="A569" s="13">
        <v>564</v>
      </c>
      <c r="B569" s="155"/>
      <c r="C569" s="85"/>
      <c r="D569" s="1"/>
      <c r="E569" s="1"/>
      <c r="F569" s="1"/>
      <c r="G569" s="1"/>
      <c r="H569" s="307"/>
      <c r="I569" s="1"/>
      <c r="J569" s="1"/>
      <c r="K569" s="15"/>
      <c r="L569" s="17"/>
      <c r="M569" s="238"/>
      <c r="N569" s="17"/>
      <c r="O569" s="15"/>
      <c r="P569" s="17"/>
      <c r="Q569" s="307"/>
      <c r="R569" s="238"/>
      <c r="S569" s="17"/>
      <c r="T569" s="15"/>
      <c r="U569" s="17"/>
      <c r="V569" s="262"/>
      <c r="W569" s="262"/>
      <c r="X569" s="1"/>
      <c r="Y569" s="1"/>
      <c r="Z569" s="1"/>
      <c r="AA569" s="1"/>
      <c r="AB569" s="1"/>
      <c r="AC569" s="1"/>
      <c r="AD569" s="1"/>
      <c r="AE569" s="1"/>
      <c r="AF569" s="1"/>
      <c r="AG569" s="15"/>
      <c r="AH569" s="15"/>
      <c r="AI569" s="17"/>
      <c r="AJ569" s="15"/>
      <c r="AK569" s="124"/>
      <c r="AL569" s="17"/>
      <c r="AM569" s="17"/>
      <c r="AN569" s="263"/>
      <c r="AO569" s="1"/>
      <c r="AP569" s="1"/>
      <c r="AQ569" s="307"/>
      <c r="AR569" s="1"/>
      <c r="AS569" s="11"/>
      <c r="AT569" s="11"/>
      <c r="AU569" s="214"/>
      <c r="AV569" s="268"/>
      <c r="AW569" s="1"/>
      <c r="AX569" s="210"/>
      <c r="AY569" s="60"/>
      <c r="AZ569" s="15"/>
      <c r="BA569" s="15"/>
      <c r="BB569" s="1"/>
      <c r="BC569" s="49" t="e">
        <f>IF(OR(#REF!="",#REF!="")=TRUE,"",NETWORKDAYS.INTL(#REF!,#REF!))</f>
        <v>#REF!</v>
      </c>
    </row>
    <row r="570" spans="1:55" x14ac:dyDescent="0.45">
      <c r="A570" s="12">
        <v>565</v>
      </c>
      <c r="B570" s="150"/>
      <c r="C570" s="53"/>
      <c r="D570" s="1"/>
      <c r="E570" s="1"/>
      <c r="F570" s="1"/>
      <c r="G570" s="1"/>
      <c r="H570" s="307"/>
      <c r="I570" s="1"/>
      <c r="J570" s="1"/>
      <c r="K570" s="15"/>
      <c r="L570" s="17"/>
      <c r="M570" s="238"/>
      <c r="N570" s="17"/>
      <c r="O570" s="15"/>
      <c r="P570" s="17"/>
      <c r="Q570" s="307"/>
      <c r="R570" s="238"/>
      <c r="S570" s="17"/>
      <c r="T570" s="15"/>
      <c r="U570" s="17"/>
      <c r="V570" s="262"/>
      <c r="W570" s="262"/>
      <c r="X570" s="1"/>
      <c r="Y570" s="1"/>
      <c r="Z570" s="1"/>
      <c r="AA570" s="1"/>
      <c r="AB570" s="1"/>
      <c r="AC570" s="1"/>
      <c r="AD570" s="1"/>
      <c r="AE570" s="1"/>
      <c r="AF570" s="1"/>
      <c r="AG570" s="15"/>
      <c r="AH570" s="15"/>
      <c r="AI570" s="17"/>
      <c r="AJ570" s="15"/>
      <c r="AK570" s="124"/>
      <c r="AL570" s="17"/>
      <c r="AM570" s="17"/>
      <c r="AN570" s="263"/>
      <c r="AO570" s="1"/>
      <c r="AP570" s="1"/>
      <c r="AQ570" s="307"/>
      <c r="AR570" s="1"/>
      <c r="AS570" s="11"/>
      <c r="AT570" s="11"/>
      <c r="AU570" s="214"/>
      <c r="AV570" s="268"/>
      <c r="AW570" s="1"/>
      <c r="AX570" s="210"/>
      <c r="AY570" s="60"/>
      <c r="AZ570" s="15"/>
      <c r="BA570" s="15"/>
      <c r="BB570" s="1"/>
      <c r="BC570" s="49" t="e">
        <f>IF(OR(#REF!="",#REF!="")=TRUE,"",NETWORKDAYS.INTL(#REF!,#REF!))</f>
        <v>#REF!</v>
      </c>
    </row>
    <row r="571" spans="1:55" x14ac:dyDescent="0.45">
      <c r="A571" s="13">
        <v>566</v>
      </c>
      <c r="B571" s="155"/>
      <c r="C571" s="85"/>
      <c r="D571" s="1"/>
      <c r="E571" s="1"/>
      <c r="F571" s="1"/>
      <c r="G571" s="1"/>
      <c r="H571" s="307"/>
      <c r="I571" s="1"/>
      <c r="J571" s="1"/>
      <c r="K571" s="15"/>
      <c r="L571" s="17"/>
      <c r="M571" s="238"/>
      <c r="N571" s="17"/>
      <c r="O571" s="15"/>
      <c r="P571" s="17"/>
      <c r="Q571" s="307"/>
      <c r="R571" s="238"/>
      <c r="S571" s="17"/>
      <c r="T571" s="15"/>
      <c r="U571" s="17"/>
      <c r="V571" s="262"/>
      <c r="W571" s="262"/>
      <c r="X571" s="1"/>
      <c r="Y571" s="1"/>
      <c r="Z571" s="1"/>
      <c r="AA571" s="1"/>
      <c r="AB571" s="1"/>
      <c r="AC571" s="1"/>
      <c r="AD571" s="1"/>
      <c r="AE571" s="1"/>
      <c r="AF571" s="1"/>
      <c r="AG571" s="15"/>
      <c r="AH571" s="15"/>
      <c r="AI571" s="17"/>
      <c r="AJ571" s="15"/>
      <c r="AK571" s="124"/>
      <c r="AL571" s="17"/>
      <c r="AM571" s="17"/>
      <c r="AN571" s="263"/>
      <c r="AO571" s="1"/>
      <c r="AP571" s="1"/>
      <c r="AQ571" s="307"/>
      <c r="AR571" s="1"/>
      <c r="AS571" s="11"/>
      <c r="AT571" s="11"/>
      <c r="AU571" s="214"/>
      <c r="AV571" s="268"/>
      <c r="AW571" s="1"/>
      <c r="AX571" s="210"/>
      <c r="AY571" s="60"/>
      <c r="AZ571" s="15"/>
      <c r="BA571" s="15"/>
      <c r="BB571" s="1"/>
      <c r="BC571" s="49" t="e">
        <f>IF(OR(#REF!="",#REF!="")=TRUE,"",NETWORKDAYS.INTL(#REF!,#REF!))</f>
        <v>#REF!</v>
      </c>
    </row>
    <row r="572" spans="1:55" x14ac:dyDescent="0.45">
      <c r="A572" s="13">
        <v>567</v>
      </c>
      <c r="B572" s="155"/>
      <c r="C572" s="85"/>
      <c r="D572" s="1"/>
      <c r="E572" s="1"/>
      <c r="F572" s="1"/>
      <c r="G572" s="1"/>
      <c r="H572" s="307"/>
      <c r="I572" s="1"/>
      <c r="J572" s="1"/>
      <c r="K572" s="15"/>
      <c r="L572" s="17"/>
      <c r="M572" s="238"/>
      <c r="N572" s="17"/>
      <c r="O572" s="15"/>
      <c r="P572" s="17"/>
      <c r="Q572" s="307"/>
      <c r="R572" s="238"/>
      <c r="S572" s="17"/>
      <c r="T572" s="15"/>
      <c r="U572" s="17"/>
      <c r="V572" s="262"/>
      <c r="W572" s="262"/>
      <c r="X572" s="1"/>
      <c r="Y572" s="1"/>
      <c r="Z572" s="1"/>
      <c r="AA572" s="1"/>
      <c r="AB572" s="1"/>
      <c r="AC572" s="1"/>
      <c r="AD572" s="1"/>
      <c r="AE572" s="1"/>
      <c r="AF572" s="1"/>
      <c r="AG572" s="15"/>
      <c r="AH572" s="15"/>
      <c r="AI572" s="17"/>
      <c r="AJ572" s="15"/>
      <c r="AK572" s="124"/>
      <c r="AL572" s="17"/>
      <c r="AM572" s="17"/>
      <c r="AN572" s="263"/>
      <c r="AO572" s="1"/>
      <c r="AP572" s="1"/>
      <c r="AQ572" s="307"/>
      <c r="AR572" s="1"/>
      <c r="AS572" s="11"/>
      <c r="AT572" s="11"/>
      <c r="AU572" s="214"/>
      <c r="AV572" s="268"/>
      <c r="AW572" s="1"/>
      <c r="AX572" s="210"/>
      <c r="AY572" s="60"/>
      <c r="AZ572" s="15"/>
      <c r="BA572" s="15"/>
      <c r="BB572" s="1"/>
      <c r="BC572" s="49" t="e">
        <f>IF(OR(#REF!="",#REF!="")=TRUE,"",NETWORKDAYS.INTL(#REF!,#REF!))</f>
        <v>#REF!</v>
      </c>
    </row>
    <row r="573" spans="1:55" x14ac:dyDescent="0.45">
      <c r="A573" s="12">
        <v>568</v>
      </c>
      <c r="B573" s="150"/>
      <c r="C573" s="53"/>
      <c r="D573" s="1"/>
      <c r="E573" s="1"/>
      <c r="F573" s="1"/>
      <c r="G573" s="1"/>
      <c r="H573" s="307"/>
      <c r="I573" s="1"/>
      <c r="J573" s="1"/>
      <c r="K573" s="15"/>
      <c r="L573" s="17"/>
      <c r="M573" s="238"/>
      <c r="N573" s="17"/>
      <c r="O573" s="15"/>
      <c r="P573" s="17"/>
      <c r="Q573" s="307"/>
      <c r="R573" s="238"/>
      <c r="S573" s="17"/>
      <c r="T573" s="15"/>
      <c r="U573" s="17"/>
      <c r="V573" s="262"/>
      <c r="W573" s="262"/>
      <c r="X573" s="1"/>
      <c r="Y573" s="1"/>
      <c r="Z573" s="1"/>
      <c r="AA573" s="1"/>
      <c r="AB573" s="1"/>
      <c r="AC573" s="1"/>
      <c r="AD573" s="1"/>
      <c r="AE573" s="1"/>
      <c r="AF573" s="1"/>
      <c r="AG573" s="15"/>
      <c r="AH573" s="15"/>
      <c r="AI573" s="17"/>
      <c r="AJ573" s="15"/>
      <c r="AK573" s="124"/>
      <c r="AL573" s="17"/>
      <c r="AM573" s="17"/>
      <c r="AN573" s="263"/>
      <c r="AO573" s="1"/>
      <c r="AP573" s="1"/>
      <c r="AQ573" s="307"/>
      <c r="AR573" s="1"/>
      <c r="AS573" s="11"/>
      <c r="AT573" s="11"/>
      <c r="AU573" s="214"/>
      <c r="AV573" s="268"/>
      <c r="AW573" s="1"/>
      <c r="AX573" s="210"/>
      <c r="AY573" s="60"/>
      <c r="AZ573" s="15"/>
      <c r="BA573" s="15"/>
      <c r="BB573" s="1"/>
      <c r="BC573" s="49" t="e">
        <f>IF(OR(#REF!="",#REF!="")=TRUE,"",NETWORKDAYS.INTL(#REF!,#REF!))</f>
        <v>#REF!</v>
      </c>
    </row>
    <row r="574" spans="1:55" x14ac:dyDescent="0.45">
      <c r="A574" s="13">
        <v>569</v>
      </c>
      <c r="B574" s="155"/>
      <c r="C574" s="85"/>
      <c r="D574" s="1"/>
      <c r="E574" s="1"/>
      <c r="F574" s="1"/>
      <c r="G574" s="1"/>
      <c r="H574" s="307"/>
      <c r="I574" s="1"/>
      <c r="J574" s="1"/>
      <c r="K574" s="15"/>
      <c r="L574" s="17"/>
      <c r="M574" s="238"/>
      <c r="N574" s="17"/>
      <c r="O574" s="15"/>
      <c r="P574" s="17"/>
      <c r="Q574" s="307"/>
      <c r="R574" s="238"/>
      <c r="S574" s="17"/>
      <c r="T574" s="15"/>
      <c r="U574" s="17"/>
      <c r="V574" s="262"/>
      <c r="W574" s="262"/>
      <c r="X574" s="1"/>
      <c r="Y574" s="1"/>
      <c r="Z574" s="1"/>
      <c r="AA574" s="1"/>
      <c r="AB574" s="1"/>
      <c r="AC574" s="1"/>
      <c r="AD574" s="1"/>
      <c r="AE574" s="1"/>
      <c r="AF574" s="1"/>
      <c r="AG574" s="15"/>
      <c r="AH574" s="15"/>
      <c r="AI574" s="17"/>
      <c r="AJ574" s="15"/>
      <c r="AK574" s="124"/>
      <c r="AL574" s="17"/>
      <c r="AM574" s="17"/>
      <c r="AN574" s="263"/>
      <c r="AO574" s="1"/>
      <c r="AP574" s="1"/>
      <c r="AQ574" s="307"/>
      <c r="AR574" s="1"/>
      <c r="AS574" s="11"/>
      <c r="AT574" s="11"/>
      <c r="AU574" s="214"/>
      <c r="AV574" s="268"/>
      <c r="AW574" s="1"/>
      <c r="AX574" s="210"/>
      <c r="AY574" s="60"/>
      <c r="AZ574" s="15"/>
      <c r="BA574" s="15"/>
      <c r="BB574" s="1"/>
      <c r="BC574" s="49" t="e">
        <f>IF(OR(#REF!="",#REF!="")=TRUE,"",NETWORKDAYS.INTL(#REF!,#REF!))</f>
        <v>#REF!</v>
      </c>
    </row>
    <row r="575" spans="1:55" x14ac:dyDescent="0.45">
      <c r="A575" s="13">
        <v>570</v>
      </c>
      <c r="B575" s="155"/>
      <c r="C575" s="85"/>
      <c r="D575" s="1"/>
      <c r="E575" s="1"/>
      <c r="F575" s="1"/>
      <c r="G575" s="1"/>
      <c r="H575" s="307"/>
      <c r="I575" s="1"/>
      <c r="J575" s="1"/>
      <c r="K575" s="15"/>
      <c r="L575" s="17"/>
      <c r="M575" s="238"/>
      <c r="N575" s="17"/>
      <c r="O575" s="15"/>
      <c r="P575" s="17"/>
      <c r="Q575" s="307"/>
      <c r="R575" s="238"/>
      <c r="S575" s="17"/>
      <c r="T575" s="15"/>
      <c r="U575" s="17"/>
      <c r="V575" s="262"/>
      <c r="W575" s="262"/>
      <c r="X575" s="1"/>
      <c r="Y575" s="1"/>
      <c r="Z575" s="1"/>
      <c r="AA575" s="1"/>
      <c r="AB575" s="1"/>
      <c r="AC575" s="1"/>
      <c r="AD575" s="1"/>
      <c r="AE575" s="1"/>
      <c r="AF575" s="1"/>
      <c r="AG575" s="15"/>
      <c r="AH575" s="15"/>
      <c r="AI575" s="17"/>
      <c r="AJ575" s="15"/>
      <c r="AK575" s="124"/>
      <c r="AL575" s="17"/>
      <c r="AM575" s="17"/>
      <c r="AN575" s="263"/>
      <c r="AO575" s="1"/>
      <c r="AP575" s="1"/>
      <c r="AQ575" s="307"/>
      <c r="AR575" s="1"/>
      <c r="AS575" s="11"/>
      <c r="AT575" s="11"/>
      <c r="AU575" s="214"/>
      <c r="AV575" s="268"/>
      <c r="AW575" s="1"/>
      <c r="AX575" s="210"/>
      <c r="AY575" s="60"/>
      <c r="AZ575" s="15"/>
      <c r="BA575" s="15"/>
      <c r="BB575" s="1"/>
      <c r="BC575" s="49" t="e">
        <f>IF(OR(#REF!="",#REF!="")=TRUE,"",NETWORKDAYS.INTL(#REF!,#REF!))</f>
        <v>#REF!</v>
      </c>
    </row>
    <row r="576" spans="1:55" x14ac:dyDescent="0.45">
      <c r="A576" s="12">
        <v>571</v>
      </c>
      <c r="B576" s="150"/>
      <c r="C576" s="53"/>
      <c r="D576" s="1"/>
      <c r="E576" s="1"/>
      <c r="F576" s="1"/>
      <c r="G576" s="1"/>
      <c r="H576" s="307"/>
      <c r="I576" s="1"/>
      <c r="J576" s="1"/>
      <c r="K576" s="15"/>
      <c r="L576" s="17"/>
      <c r="M576" s="238"/>
      <c r="N576" s="17"/>
      <c r="O576" s="15"/>
      <c r="P576" s="17"/>
      <c r="Q576" s="307"/>
      <c r="R576" s="238"/>
      <c r="S576" s="17"/>
      <c r="T576" s="15"/>
      <c r="U576" s="17"/>
      <c r="V576" s="262"/>
      <c r="W576" s="262"/>
      <c r="X576" s="1"/>
      <c r="Y576" s="1"/>
      <c r="Z576" s="1"/>
      <c r="AA576" s="1"/>
      <c r="AB576" s="1"/>
      <c r="AC576" s="1"/>
      <c r="AD576" s="1"/>
      <c r="AE576" s="1"/>
      <c r="AF576" s="1"/>
      <c r="AG576" s="15"/>
      <c r="AH576" s="15"/>
      <c r="AI576" s="17"/>
      <c r="AJ576" s="15"/>
      <c r="AK576" s="124"/>
      <c r="AL576" s="17"/>
      <c r="AM576" s="17"/>
      <c r="AN576" s="263"/>
      <c r="AO576" s="1"/>
      <c r="AP576" s="1"/>
      <c r="AQ576" s="307"/>
      <c r="AR576" s="1"/>
      <c r="AS576" s="11"/>
      <c r="AT576" s="11"/>
      <c r="AU576" s="214"/>
      <c r="AV576" s="268"/>
      <c r="AW576" s="1"/>
      <c r="AX576" s="210"/>
      <c r="AY576" s="60"/>
      <c r="AZ576" s="15"/>
      <c r="BA576" s="15"/>
      <c r="BB576" s="1"/>
      <c r="BC576" s="49" t="e">
        <f>IF(OR(#REF!="",#REF!="")=TRUE,"",NETWORKDAYS.INTL(#REF!,#REF!))</f>
        <v>#REF!</v>
      </c>
    </row>
    <row r="577" spans="1:55" x14ac:dyDescent="0.45">
      <c r="A577" s="13">
        <v>572</v>
      </c>
      <c r="B577" s="155"/>
      <c r="C577" s="85"/>
      <c r="D577" s="1"/>
      <c r="E577" s="1"/>
      <c r="F577" s="1"/>
      <c r="G577" s="1"/>
      <c r="H577" s="307"/>
      <c r="I577" s="1"/>
      <c r="J577" s="1"/>
      <c r="K577" s="15"/>
      <c r="L577" s="17"/>
      <c r="M577" s="238"/>
      <c r="N577" s="17"/>
      <c r="O577" s="15"/>
      <c r="P577" s="17"/>
      <c r="Q577" s="307"/>
      <c r="R577" s="238"/>
      <c r="S577" s="17"/>
      <c r="T577" s="15"/>
      <c r="U577" s="17"/>
      <c r="V577" s="262"/>
      <c r="W577" s="262"/>
      <c r="X577" s="1"/>
      <c r="Y577" s="1"/>
      <c r="Z577" s="1"/>
      <c r="AA577" s="1"/>
      <c r="AB577" s="1"/>
      <c r="AC577" s="1"/>
      <c r="AD577" s="1"/>
      <c r="AE577" s="1"/>
      <c r="AF577" s="1"/>
      <c r="AG577" s="15"/>
      <c r="AH577" s="15"/>
      <c r="AI577" s="17"/>
      <c r="AJ577" s="15"/>
      <c r="AK577" s="124"/>
      <c r="AL577" s="17"/>
      <c r="AM577" s="17"/>
      <c r="AN577" s="263"/>
      <c r="AO577" s="1"/>
      <c r="AP577" s="1"/>
      <c r="AQ577" s="307"/>
      <c r="AR577" s="1"/>
      <c r="AS577" s="11"/>
      <c r="AT577" s="11"/>
      <c r="AU577" s="214"/>
      <c r="AV577" s="268"/>
      <c r="AW577" s="1"/>
      <c r="AX577" s="210"/>
      <c r="AY577" s="60"/>
      <c r="AZ577" s="15"/>
      <c r="BA577" s="15"/>
      <c r="BB577" s="1"/>
      <c r="BC577" s="49" t="e">
        <f>IF(OR(#REF!="",#REF!="")=TRUE,"",NETWORKDAYS.INTL(#REF!,#REF!))</f>
        <v>#REF!</v>
      </c>
    </row>
    <row r="578" spans="1:55" x14ac:dyDescent="0.45">
      <c r="A578" s="13">
        <v>573</v>
      </c>
      <c r="B578" s="155"/>
      <c r="C578" s="85"/>
      <c r="D578" s="1"/>
      <c r="E578" s="1"/>
      <c r="F578" s="1"/>
      <c r="G578" s="1"/>
      <c r="H578" s="307"/>
      <c r="I578" s="1"/>
      <c r="J578" s="1"/>
      <c r="K578" s="15"/>
      <c r="L578" s="17"/>
      <c r="M578" s="238"/>
      <c r="N578" s="17"/>
      <c r="O578" s="15"/>
      <c r="P578" s="17"/>
      <c r="Q578" s="307"/>
      <c r="R578" s="238"/>
      <c r="S578" s="17"/>
      <c r="T578" s="15"/>
      <c r="U578" s="17"/>
      <c r="V578" s="262"/>
      <c r="W578" s="262"/>
      <c r="X578" s="1"/>
      <c r="Y578" s="1"/>
      <c r="Z578" s="1"/>
      <c r="AA578" s="1"/>
      <c r="AB578" s="1"/>
      <c r="AC578" s="1"/>
      <c r="AD578" s="1"/>
      <c r="AE578" s="1"/>
      <c r="AF578" s="1"/>
      <c r="AG578" s="15"/>
      <c r="AH578" s="15"/>
      <c r="AI578" s="17"/>
      <c r="AJ578" s="15"/>
      <c r="AK578" s="124"/>
      <c r="AL578" s="17"/>
      <c r="AM578" s="17"/>
      <c r="AN578" s="263"/>
      <c r="AO578" s="1"/>
      <c r="AP578" s="1"/>
      <c r="AQ578" s="307"/>
      <c r="AR578" s="1"/>
      <c r="AS578" s="11"/>
      <c r="AT578" s="11"/>
      <c r="AU578" s="214"/>
      <c r="AV578" s="268"/>
      <c r="AW578" s="1"/>
      <c r="AX578" s="210"/>
      <c r="AY578" s="60"/>
      <c r="AZ578" s="15"/>
      <c r="BA578" s="15"/>
      <c r="BB578" s="1"/>
      <c r="BC578" s="49" t="e">
        <f>IF(OR(#REF!="",#REF!="")=TRUE,"",NETWORKDAYS.INTL(#REF!,#REF!))</f>
        <v>#REF!</v>
      </c>
    </row>
    <row r="579" spans="1:55" x14ac:dyDescent="0.45">
      <c r="A579" s="12">
        <v>574</v>
      </c>
      <c r="B579" s="150"/>
      <c r="C579" s="53"/>
      <c r="D579" s="1"/>
      <c r="E579" s="1"/>
      <c r="F579" s="1"/>
      <c r="G579" s="1"/>
      <c r="H579" s="307"/>
      <c r="I579" s="1"/>
      <c r="J579" s="1"/>
      <c r="K579" s="15"/>
      <c r="L579" s="17"/>
      <c r="M579" s="238"/>
      <c r="N579" s="17"/>
      <c r="O579" s="15"/>
      <c r="P579" s="17"/>
      <c r="Q579" s="307"/>
      <c r="R579" s="238"/>
      <c r="S579" s="17"/>
      <c r="T579" s="15"/>
      <c r="U579" s="17"/>
      <c r="V579" s="262"/>
      <c r="W579" s="262"/>
      <c r="X579" s="1"/>
      <c r="Y579" s="1"/>
      <c r="Z579" s="1"/>
      <c r="AA579" s="1"/>
      <c r="AB579" s="1"/>
      <c r="AC579" s="1"/>
      <c r="AD579" s="1"/>
      <c r="AE579" s="1"/>
      <c r="AF579" s="1"/>
      <c r="AG579" s="15"/>
      <c r="AH579" s="15"/>
      <c r="AI579" s="17"/>
      <c r="AJ579" s="15"/>
      <c r="AK579" s="124"/>
      <c r="AL579" s="17"/>
      <c r="AM579" s="17"/>
      <c r="AN579" s="263"/>
      <c r="AO579" s="1"/>
      <c r="AP579" s="1"/>
      <c r="AQ579" s="307"/>
      <c r="AR579" s="1"/>
      <c r="AS579" s="11"/>
      <c r="AT579" s="11"/>
      <c r="AU579" s="214"/>
      <c r="AV579" s="268"/>
      <c r="AW579" s="1"/>
      <c r="AX579" s="210"/>
      <c r="AY579" s="60"/>
      <c r="AZ579" s="15"/>
      <c r="BA579" s="15"/>
      <c r="BB579" s="1"/>
      <c r="BC579" s="49" t="e">
        <f>IF(OR(#REF!="",#REF!="")=TRUE,"",NETWORKDAYS.INTL(#REF!,#REF!))</f>
        <v>#REF!</v>
      </c>
    </row>
    <row r="580" spans="1:55" x14ac:dyDescent="0.45">
      <c r="A580" s="13">
        <v>575</v>
      </c>
      <c r="B580" s="155"/>
      <c r="C580" s="85"/>
      <c r="D580" s="1"/>
      <c r="E580" s="1"/>
      <c r="F580" s="1"/>
      <c r="G580" s="1"/>
      <c r="H580" s="307"/>
      <c r="I580" s="1"/>
      <c r="J580" s="1"/>
      <c r="K580" s="15"/>
      <c r="L580" s="17"/>
      <c r="M580" s="238"/>
      <c r="N580" s="17"/>
      <c r="O580" s="15"/>
      <c r="P580" s="17"/>
      <c r="Q580" s="307"/>
      <c r="R580" s="238"/>
      <c r="S580" s="17"/>
      <c r="T580" s="15"/>
      <c r="U580" s="17"/>
      <c r="V580" s="262"/>
      <c r="W580" s="262"/>
      <c r="X580" s="1"/>
      <c r="Y580" s="1"/>
      <c r="Z580" s="1"/>
      <c r="AA580" s="1"/>
      <c r="AB580" s="1"/>
      <c r="AC580" s="1"/>
      <c r="AD580" s="1"/>
      <c r="AE580" s="1"/>
      <c r="AF580" s="1"/>
      <c r="AG580" s="15"/>
      <c r="AH580" s="15"/>
      <c r="AI580" s="17"/>
      <c r="AJ580" s="15"/>
      <c r="AK580" s="124"/>
      <c r="AL580" s="17"/>
      <c r="AM580" s="17"/>
      <c r="AN580" s="263"/>
      <c r="AO580" s="1"/>
      <c r="AP580" s="1"/>
      <c r="AQ580" s="307"/>
      <c r="AR580" s="1"/>
      <c r="AS580" s="11"/>
      <c r="AT580" s="11"/>
      <c r="AU580" s="214"/>
      <c r="AV580" s="268"/>
      <c r="AW580" s="1"/>
      <c r="AX580" s="210"/>
      <c r="AY580" s="60"/>
      <c r="AZ580" s="15"/>
      <c r="BA580" s="15"/>
      <c r="BB580" s="1"/>
      <c r="BC580" s="49" t="e">
        <f>IF(OR(#REF!="",#REF!="")=TRUE,"",NETWORKDAYS.INTL(#REF!,#REF!))</f>
        <v>#REF!</v>
      </c>
    </row>
    <row r="581" spans="1:55" x14ac:dyDescent="0.45">
      <c r="A581" s="13">
        <v>576</v>
      </c>
      <c r="B581" s="155"/>
      <c r="C581" s="85"/>
      <c r="D581" s="1"/>
      <c r="E581" s="1"/>
      <c r="F581" s="1"/>
      <c r="G581" s="1"/>
      <c r="H581" s="307"/>
      <c r="I581" s="1"/>
      <c r="J581" s="1"/>
      <c r="K581" s="15"/>
      <c r="L581" s="17"/>
      <c r="M581" s="238"/>
      <c r="N581" s="17"/>
      <c r="O581" s="15"/>
      <c r="P581" s="17"/>
      <c r="Q581" s="307"/>
      <c r="R581" s="238"/>
      <c r="S581" s="17"/>
      <c r="T581" s="15"/>
      <c r="U581" s="17"/>
      <c r="V581" s="262"/>
      <c r="W581" s="262"/>
      <c r="X581" s="1"/>
      <c r="Y581" s="1"/>
      <c r="Z581" s="1"/>
      <c r="AA581" s="1"/>
      <c r="AB581" s="1"/>
      <c r="AC581" s="1"/>
      <c r="AD581" s="1"/>
      <c r="AE581" s="1"/>
      <c r="AF581" s="1"/>
      <c r="AG581" s="15"/>
      <c r="AH581" s="15"/>
      <c r="AI581" s="17"/>
      <c r="AJ581" s="15"/>
      <c r="AK581" s="124"/>
      <c r="AL581" s="17"/>
      <c r="AM581" s="17"/>
      <c r="AN581" s="263"/>
      <c r="AO581" s="1"/>
      <c r="AP581" s="1"/>
      <c r="AQ581" s="307"/>
      <c r="AR581" s="1"/>
      <c r="AS581" s="11"/>
      <c r="AT581" s="11"/>
      <c r="AU581" s="214"/>
      <c r="AV581" s="268"/>
      <c r="AW581" s="1"/>
      <c r="AX581" s="210"/>
      <c r="AY581" s="60"/>
      <c r="AZ581" s="15"/>
      <c r="BA581" s="15"/>
      <c r="BB581" s="1"/>
      <c r="BC581" s="49" t="e">
        <f>IF(OR(#REF!="",#REF!="")=TRUE,"",NETWORKDAYS.INTL(#REF!,#REF!))</f>
        <v>#REF!</v>
      </c>
    </row>
    <row r="582" spans="1:55" x14ac:dyDescent="0.45">
      <c r="A582" s="12">
        <v>577</v>
      </c>
      <c r="B582" s="150"/>
      <c r="C582" s="53"/>
      <c r="D582" s="1"/>
      <c r="E582" s="1"/>
      <c r="F582" s="1"/>
      <c r="G582" s="1"/>
      <c r="H582" s="307"/>
      <c r="I582" s="1"/>
      <c r="J582" s="1"/>
      <c r="K582" s="15"/>
      <c r="L582" s="17"/>
      <c r="M582" s="238"/>
      <c r="N582" s="17"/>
      <c r="O582" s="15"/>
      <c r="P582" s="17"/>
      <c r="Q582" s="307"/>
      <c r="R582" s="238"/>
      <c r="S582" s="17"/>
      <c r="T582" s="15"/>
      <c r="U582" s="17"/>
      <c r="V582" s="262"/>
      <c r="W582" s="262"/>
      <c r="X582" s="1"/>
      <c r="Y582" s="1"/>
      <c r="Z582" s="1"/>
      <c r="AA582" s="1"/>
      <c r="AB582" s="1"/>
      <c r="AC582" s="1"/>
      <c r="AD582" s="1"/>
      <c r="AE582" s="1"/>
      <c r="AF582" s="1"/>
      <c r="AG582" s="15"/>
      <c r="AH582" s="15"/>
      <c r="AI582" s="17"/>
      <c r="AJ582" s="15"/>
      <c r="AK582" s="124"/>
      <c r="AL582" s="17"/>
      <c r="AM582" s="17"/>
      <c r="AN582" s="263"/>
      <c r="AO582" s="1"/>
      <c r="AP582" s="1"/>
      <c r="AQ582" s="307"/>
      <c r="AR582" s="1"/>
      <c r="AS582" s="11"/>
      <c r="AT582" s="11"/>
      <c r="AU582" s="214"/>
      <c r="AV582" s="268"/>
      <c r="AW582" s="1"/>
      <c r="AX582" s="210"/>
      <c r="AY582" s="60"/>
      <c r="AZ582" s="15"/>
      <c r="BA582" s="15"/>
      <c r="BB582" s="1"/>
      <c r="BC582" s="49" t="e">
        <f>IF(OR(#REF!="",#REF!="")=TRUE,"",NETWORKDAYS.INTL(#REF!,#REF!))</f>
        <v>#REF!</v>
      </c>
    </row>
    <row r="583" spans="1:55" x14ac:dyDescent="0.45">
      <c r="A583" s="13">
        <v>578</v>
      </c>
      <c r="B583" s="155"/>
      <c r="C583" s="85"/>
      <c r="D583" s="1"/>
      <c r="E583" s="1"/>
      <c r="F583" s="1"/>
      <c r="G583" s="1"/>
      <c r="H583" s="307"/>
      <c r="I583" s="1"/>
      <c r="J583" s="1"/>
      <c r="K583" s="15"/>
      <c r="L583" s="17"/>
      <c r="M583" s="238"/>
      <c r="N583" s="17"/>
      <c r="O583" s="15"/>
      <c r="P583" s="17"/>
      <c r="Q583" s="307"/>
      <c r="R583" s="238"/>
      <c r="S583" s="17"/>
      <c r="T583" s="15"/>
      <c r="U583" s="17"/>
      <c r="V583" s="262"/>
      <c r="W583" s="262"/>
      <c r="X583" s="1"/>
      <c r="Y583" s="1"/>
      <c r="Z583" s="1"/>
      <c r="AA583" s="1"/>
      <c r="AB583" s="1"/>
      <c r="AC583" s="1"/>
      <c r="AD583" s="1"/>
      <c r="AE583" s="1"/>
      <c r="AF583" s="1"/>
      <c r="AG583" s="15"/>
      <c r="AH583" s="15"/>
      <c r="AI583" s="17"/>
      <c r="AJ583" s="15"/>
      <c r="AK583" s="124"/>
      <c r="AL583" s="17"/>
      <c r="AM583" s="17"/>
      <c r="AN583" s="263"/>
      <c r="AO583" s="1"/>
      <c r="AP583" s="1"/>
      <c r="AQ583" s="307"/>
      <c r="AR583" s="1"/>
      <c r="AS583" s="11"/>
      <c r="AT583" s="11"/>
      <c r="AU583" s="214"/>
      <c r="AV583" s="268"/>
      <c r="AW583" s="1"/>
      <c r="AX583" s="210"/>
      <c r="AY583" s="60"/>
      <c r="AZ583" s="15"/>
      <c r="BA583" s="15"/>
      <c r="BB583" s="1"/>
      <c r="BC583" s="49" t="e">
        <f>IF(OR(#REF!="",#REF!="")=TRUE,"",NETWORKDAYS.INTL(#REF!,#REF!))</f>
        <v>#REF!</v>
      </c>
    </row>
    <row r="584" spans="1:55" x14ac:dyDescent="0.45">
      <c r="A584" s="13">
        <v>579</v>
      </c>
      <c r="B584" s="155"/>
      <c r="C584" s="85"/>
      <c r="D584" s="1"/>
      <c r="E584" s="1"/>
      <c r="F584" s="1"/>
      <c r="G584" s="1"/>
      <c r="H584" s="307"/>
      <c r="I584" s="1"/>
      <c r="J584" s="1"/>
      <c r="K584" s="15"/>
      <c r="L584" s="17"/>
      <c r="M584" s="238"/>
      <c r="N584" s="17"/>
      <c r="O584" s="15"/>
      <c r="P584" s="17"/>
      <c r="Q584" s="307"/>
      <c r="R584" s="238"/>
      <c r="S584" s="17"/>
      <c r="T584" s="15"/>
      <c r="U584" s="17"/>
      <c r="V584" s="262"/>
      <c r="W584" s="262"/>
      <c r="X584" s="1"/>
      <c r="Y584" s="1"/>
      <c r="Z584" s="1"/>
      <c r="AA584" s="1"/>
      <c r="AB584" s="1"/>
      <c r="AC584" s="1"/>
      <c r="AD584" s="1"/>
      <c r="AE584" s="1"/>
      <c r="AF584" s="1"/>
      <c r="AG584" s="15"/>
      <c r="AH584" s="15"/>
      <c r="AI584" s="17"/>
      <c r="AJ584" s="15"/>
      <c r="AK584" s="124"/>
      <c r="AL584" s="17"/>
      <c r="AM584" s="17"/>
      <c r="AN584" s="263"/>
      <c r="AO584" s="1"/>
      <c r="AP584" s="1"/>
      <c r="AQ584" s="307"/>
      <c r="AR584" s="1"/>
      <c r="AS584" s="11"/>
      <c r="AT584" s="11"/>
      <c r="AU584" s="214"/>
      <c r="AV584" s="268"/>
      <c r="AW584" s="1"/>
      <c r="AX584" s="210"/>
      <c r="AY584" s="60"/>
      <c r="AZ584" s="15"/>
      <c r="BA584" s="15"/>
      <c r="BB584" s="1"/>
      <c r="BC584" s="49" t="e">
        <f>IF(OR(#REF!="",#REF!="")=TRUE,"",NETWORKDAYS.INTL(#REF!,#REF!))</f>
        <v>#REF!</v>
      </c>
    </row>
    <row r="585" spans="1:55" x14ac:dyDescent="0.45">
      <c r="A585" s="12">
        <v>580</v>
      </c>
      <c r="B585" s="150"/>
      <c r="C585" s="53"/>
      <c r="D585" s="1"/>
      <c r="E585" s="1"/>
      <c r="F585" s="1"/>
      <c r="G585" s="1"/>
      <c r="H585" s="307"/>
      <c r="I585" s="1"/>
      <c r="J585" s="1"/>
      <c r="K585" s="15"/>
      <c r="L585" s="17"/>
      <c r="M585" s="238"/>
      <c r="N585" s="17"/>
      <c r="O585" s="15"/>
      <c r="P585" s="17"/>
      <c r="Q585" s="307"/>
      <c r="R585" s="238"/>
      <c r="S585" s="17"/>
      <c r="T585" s="15"/>
      <c r="U585" s="17"/>
      <c r="V585" s="262"/>
      <c r="W585" s="262"/>
      <c r="X585" s="1"/>
      <c r="Y585" s="1"/>
      <c r="Z585" s="1"/>
      <c r="AA585" s="1"/>
      <c r="AB585" s="1"/>
      <c r="AC585" s="1"/>
      <c r="AD585" s="1"/>
      <c r="AE585" s="1"/>
      <c r="AF585" s="1"/>
      <c r="AG585" s="15"/>
      <c r="AH585" s="15"/>
      <c r="AI585" s="17"/>
      <c r="AJ585" s="15"/>
      <c r="AK585" s="124"/>
      <c r="AL585" s="17"/>
      <c r="AM585" s="17"/>
      <c r="AN585" s="263"/>
      <c r="AO585" s="1"/>
      <c r="AP585" s="1"/>
      <c r="AQ585" s="307"/>
      <c r="AR585" s="1"/>
      <c r="AS585" s="11"/>
      <c r="AT585" s="11"/>
      <c r="AU585" s="214"/>
      <c r="AV585" s="268"/>
      <c r="AW585" s="1"/>
      <c r="AX585" s="210"/>
      <c r="AY585" s="60"/>
      <c r="AZ585" s="15"/>
      <c r="BA585" s="15"/>
      <c r="BB585" s="1"/>
      <c r="BC585" s="49" t="e">
        <f>IF(OR(#REF!="",#REF!="")=TRUE,"",NETWORKDAYS.INTL(#REF!,#REF!))</f>
        <v>#REF!</v>
      </c>
    </row>
    <row r="586" spans="1:55" x14ac:dyDescent="0.45">
      <c r="A586" s="13">
        <v>581</v>
      </c>
      <c r="B586" s="155"/>
      <c r="C586" s="85"/>
      <c r="D586" s="1"/>
      <c r="E586" s="1"/>
      <c r="F586" s="1"/>
      <c r="G586" s="1"/>
      <c r="H586" s="307"/>
      <c r="I586" s="1"/>
      <c r="J586" s="1"/>
      <c r="K586" s="15"/>
      <c r="L586" s="17"/>
      <c r="M586" s="238"/>
      <c r="N586" s="17"/>
      <c r="O586" s="15"/>
      <c r="P586" s="17"/>
      <c r="Q586" s="307"/>
      <c r="R586" s="238"/>
      <c r="S586" s="17"/>
      <c r="T586" s="15"/>
      <c r="U586" s="17"/>
      <c r="V586" s="262"/>
      <c r="W586" s="262"/>
      <c r="X586" s="1"/>
      <c r="Y586" s="1"/>
      <c r="Z586" s="1"/>
      <c r="AA586" s="1"/>
      <c r="AB586" s="1"/>
      <c r="AC586" s="1"/>
      <c r="AD586" s="1"/>
      <c r="AE586" s="1"/>
      <c r="AF586" s="1"/>
      <c r="AG586" s="15"/>
      <c r="AH586" s="15"/>
      <c r="AI586" s="17"/>
      <c r="AJ586" s="15"/>
      <c r="AK586" s="124"/>
      <c r="AL586" s="17"/>
      <c r="AM586" s="17"/>
      <c r="AN586" s="263"/>
      <c r="AO586" s="1"/>
      <c r="AP586" s="1"/>
      <c r="AQ586" s="307"/>
      <c r="AR586" s="1"/>
      <c r="AS586" s="11"/>
      <c r="AT586" s="11"/>
      <c r="AU586" s="214"/>
      <c r="AV586" s="268"/>
      <c r="AW586" s="1"/>
      <c r="AX586" s="210"/>
      <c r="AY586" s="60"/>
      <c r="AZ586" s="15"/>
      <c r="BA586" s="15"/>
      <c r="BB586" s="1"/>
      <c r="BC586" s="49" t="e">
        <f>IF(OR(#REF!="",#REF!="")=TRUE,"",NETWORKDAYS.INTL(#REF!,#REF!))</f>
        <v>#REF!</v>
      </c>
    </row>
    <row r="587" spans="1:55" x14ac:dyDescent="0.45">
      <c r="A587" s="13">
        <v>582</v>
      </c>
      <c r="B587" s="155"/>
      <c r="C587" s="85"/>
      <c r="D587" s="1"/>
      <c r="E587" s="1"/>
      <c r="F587" s="1"/>
      <c r="G587" s="1"/>
      <c r="H587" s="307"/>
      <c r="I587" s="1"/>
      <c r="J587" s="1"/>
      <c r="K587" s="15"/>
      <c r="L587" s="17"/>
      <c r="M587" s="238"/>
      <c r="N587" s="17"/>
      <c r="O587" s="15"/>
      <c r="P587" s="17"/>
      <c r="Q587" s="307"/>
      <c r="R587" s="238"/>
      <c r="S587" s="17"/>
      <c r="T587" s="15"/>
      <c r="U587" s="17"/>
      <c r="V587" s="262"/>
      <c r="W587" s="262"/>
      <c r="X587" s="1"/>
      <c r="Y587" s="1"/>
      <c r="Z587" s="1"/>
      <c r="AA587" s="1"/>
      <c r="AB587" s="1"/>
      <c r="AC587" s="1"/>
      <c r="AD587" s="1"/>
      <c r="AE587" s="1"/>
      <c r="AF587" s="1"/>
      <c r="AG587" s="15"/>
      <c r="AH587" s="15"/>
      <c r="AI587" s="17"/>
      <c r="AJ587" s="15"/>
      <c r="AK587" s="124"/>
      <c r="AL587" s="17"/>
      <c r="AM587" s="17"/>
      <c r="AN587" s="263"/>
      <c r="AO587" s="1"/>
      <c r="AP587" s="1"/>
      <c r="AQ587" s="307"/>
      <c r="AR587" s="1"/>
      <c r="AS587" s="11"/>
      <c r="AT587" s="11"/>
      <c r="AU587" s="214"/>
      <c r="AV587" s="268"/>
      <c r="AW587" s="1"/>
      <c r="AX587" s="210"/>
      <c r="AY587" s="60"/>
      <c r="AZ587" s="15"/>
      <c r="BA587" s="15"/>
      <c r="BB587" s="1"/>
      <c r="BC587" s="49" t="e">
        <f>IF(OR(#REF!="",#REF!="")=TRUE,"",NETWORKDAYS.INTL(#REF!,#REF!))</f>
        <v>#REF!</v>
      </c>
    </row>
    <row r="588" spans="1:55" x14ac:dyDescent="0.45">
      <c r="A588" s="12">
        <v>583</v>
      </c>
      <c r="B588" s="150"/>
      <c r="C588" s="53"/>
      <c r="D588" s="1"/>
      <c r="E588" s="1"/>
      <c r="F588" s="1"/>
      <c r="G588" s="1"/>
      <c r="H588" s="307"/>
      <c r="I588" s="1"/>
      <c r="J588" s="1"/>
      <c r="K588" s="15"/>
      <c r="L588" s="17"/>
      <c r="M588" s="238"/>
      <c r="N588" s="17"/>
      <c r="O588" s="15"/>
      <c r="P588" s="17"/>
      <c r="Q588" s="307"/>
      <c r="R588" s="238"/>
      <c r="S588" s="17"/>
      <c r="T588" s="15"/>
      <c r="U588" s="17"/>
      <c r="V588" s="262"/>
      <c r="W588" s="262"/>
      <c r="X588" s="1"/>
      <c r="Y588" s="1"/>
      <c r="Z588" s="1"/>
      <c r="AA588" s="1"/>
      <c r="AB588" s="1"/>
      <c r="AC588" s="1"/>
      <c r="AD588" s="1"/>
      <c r="AE588" s="1"/>
      <c r="AF588" s="1"/>
      <c r="AG588" s="15"/>
      <c r="AH588" s="15"/>
      <c r="AI588" s="17"/>
      <c r="AJ588" s="15"/>
      <c r="AK588" s="124"/>
      <c r="AL588" s="17"/>
      <c r="AM588" s="17"/>
      <c r="AN588" s="263"/>
      <c r="AO588" s="1"/>
      <c r="AP588" s="1"/>
      <c r="AQ588" s="307"/>
      <c r="AR588" s="1"/>
      <c r="AS588" s="11"/>
      <c r="AT588" s="11"/>
      <c r="AU588" s="214"/>
      <c r="AV588" s="268"/>
      <c r="AW588" s="1"/>
      <c r="AX588" s="210"/>
      <c r="AY588" s="60"/>
      <c r="AZ588" s="15"/>
      <c r="BA588" s="15"/>
      <c r="BB588" s="1"/>
      <c r="BC588" s="49" t="e">
        <f>IF(OR(#REF!="",#REF!="")=TRUE,"",NETWORKDAYS.INTL(#REF!,#REF!))</f>
        <v>#REF!</v>
      </c>
    </row>
    <row r="589" spans="1:55" x14ac:dyDescent="0.45">
      <c r="A589" s="13">
        <v>584</v>
      </c>
      <c r="B589" s="155"/>
      <c r="C589" s="85"/>
      <c r="D589" s="1"/>
      <c r="E589" s="1"/>
      <c r="F589" s="1"/>
      <c r="G589" s="1"/>
      <c r="H589" s="307"/>
      <c r="I589" s="1"/>
      <c r="J589" s="1"/>
      <c r="K589" s="15"/>
      <c r="L589" s="17"/>
      <c r="M589" s="238"/>
      <c r="N589" s="17"/>
      <c r="O589" s="15"/>
      <c r="P589" s="17"/>
      <c r="Q589" s="307"/>
      <c r="R589" s="238"/>
      <c r="S589" s="17"/>
      <c r="T589" s="15"/>
      <c r="U589" s="17"/>
      <c r="V589" s="262"/>
      <c r="W589" s="262"/>
      <c r="X589" s="1"/>
      <c r="Y589" s="1"/>
      <c r="Z589" s="1"/>
      <c r="AA589" s="1"/>
      <c r="AB589" s="1"/>
      <c r="AC589" s="1"/>
      <c r="AD589" s="1"/>
      <c r="AE589" s="1"/>
      <c r="AF589" s="1"/>
      <c r="AG589" s="15"/>
      <c r="AH589" s="15"/>
      <c r="AI589" s="17"/>
      <c r="AJ589" s="15"/>
      <c r="AK589" s="124"/>
      <c r="AL589" s="17"/>
      <c r="AM589" s="17"/>
      <c r="AN589" s="263"/>
      <c r="AO589" s="1"/>
      <c r="AP589" s="1"/>
      <c r="AQ589" s="307"/>
      <c r="AR589" s="1"/>
      <c r="AS589" s="11"/>
      <c r="AT589" s="11"/>
      <c r="AU589" s="214"/>
      <c r="AV589" s="268"/>
      <c r="AW589" s="1"/>
      <c r="AX589" s="210"/>
      <c r="AY589" s="60"/>
      <c r="AZ589" s="15"/>
      <c r="BA589" s="15"/>
      <c r="BB589" s="1"/>
      <c r="BC589" s="49" t="e">
        <f>IF(OR(#REF!="",#REF!="")=TRUE,"",NETWORKDAYS.INTL(#REF!,#REF!))</f>
        <v>#REF!</v>
      </c>
    </row>
    <row r="590" spans="1:55" x14ac:dyDescent="0.45">
      <c r="A590" s="13">
        <v>585</v>
      </c>
      <c r="B590" s="155"/>
      <c r="C590" s="85"/>
      <c r="D590" s="1"/>
      <c r="E590" s="1"/>
      <c r="F590" s="1"/>
      <c r="G590" s="1"/>
      <c r="H590" s="307"/>
      <c r="I590" s="1"/>
      <c r="J590" s="1"/>
      <c r="K590" s="15"/>
      <c r="L590" s="17"/>
      <c r="M590" s="238"/>
      <c r="N590" s="17"/>
      <c r="O590" s="15"/>
      <c r="P590" s="17"/>
      <c r="Q590" s="307"/>
      <c r="R590" s="238"/>
      <c r="S590" s="17"/>
      <c r="T590" s="15"/>
      <c r="U590" s="17"/>
      <c r="V590" s="262"/>
      <c r="W590" s="262"/>
      <c r="X590" s="1"/>
      <c r="Y590" s="1"/>
      <c r="Z590" s="1"/>
      <c r="AA590" s="1"/>
      <c r="AB590" s="1"/>
      <c r="AC590" s="1"/>
      <c r="AD590" s="1"/>
      <c r="AE590" s="1"/>
      <c r="AF590" s="1"/>
      <c r="AG590" s="15"/>
      <c r="AH590" s="15"/>
      <c r="AI590" s="17"/>
      <c r="AJ590" s="15"/>
      <c r="AK590" s="124"/>
      <c r="AL590" s="17"/>
      <c r="AM590" s="17"/>
      <c r="AN590" s="263"/>
      <c r="AO590" s="1"/>
      <c r="AP590" s="1"/>
      <c r="AQ590" s="307"/>
      <c r="AR590" s="1"/>
      <c r="AS590" s="11"/>
      <c r="AT590" s="11"/>
      <c r="AU590" s="214"/>
      <c r="AV590" s="268"/>
      <c r="AW590" s="1"/>
      <c r="AX590" s="210"/>
      <c r="AY590" s="60"/>
      <c r="AZ590" s="15"/>
      <c r="BA590" s="15"/>
      <c r="BB590" s="1"/>
      <c r="BC590" s="49" t="e">
        <f>IF(OR(#REF!="",#REF!="")=TRUE,"",NETWORKDAYS.INTL(#REF!,#REF!))</f>
        <v>#REF!</v>
      </c>
    </row>
    <row r="591" spans="1:55" x14ac:dyDescent="0.45">
      <c r="A591" s="12">
        <v>586</v>
      </c>
      <c r="B591" s="150"/>
      <c r="C591" s="53"/>
      <c r="D591" s="1"/>
      <c r="E591" s="1"/>
      <c r="F591" s="1"/>
      <c r="G591" s="1"/>
      <c r="H591" s="307"/>
      <c r="I591" s="1"/>
      <c r="J591" s="1"/>
      <c r="K591" s="15"/>
      <c r="L591" s="17"/>
      <c r="M591" s="238"/>
      <c r="N591" s="17"/>
      <c r="O591" s="15"/>
      <c r="P591" s="17"/>
      <c r="Q591" s="307"/>
      <c r="R591" s="238"/>
      <c r="S591" s="17"/>
      <c r="T591" s="15"/>
      <c r="U591" s="17"/>
      <c r="V591" s="262"/>
      <c r="W591" s="262"/>
      <c r="X591" s="1"/>
      <c r="Y591" s="1"/>
      <c r="Z591" s="1"/>
      <c r="AA591" s="1"/>
      <c r="AB591" s="1"/>
      <c r="AC591" s="1"/>
      <c r="AD591" s="1"/>
      <c r="AE591" s="1"/>
      <c r="AF591" s="1"/>
      <c r="AG591" s="15"/>
      <c r="AH591" s="15"/>
      <c r="AI591" s="17"/>
      <c r="AJ591" s="15"/>
      <c r="AK591" s="124"/>
      <c r="AL591" s="17"/>
      <c r="AM591" s="17"/>
      <c r="AN591" s="263"/>
      <c r="AO591" s="1"/>
      <c r="AP591" s="1"/>
      <c r="AQ591" s="307"/>
      <c r="AR591" s="1"/>
      <c r="AS591" s="11"/>
      <c r="AT591" s="11"/>
      <c r="AU591" s="214"/>
      <c r="AV591" s="268"/>
      <c r="AW591" s="1"/>
      <c r="AX591" s="210"/>
      <c r="AY591" s="60"/>
      <c r="AZ591" s="15"/>
      <c r="BA591" s="15"/>
      <c r="BB591" s="1"/>
      <c r="BC591" s="49" t="e">
        <f>IF(OR(#REF!="",#REF!="")=TRUE,"",NETWORKDAYS.INTL(#REF!,#REF!))</f>
        <v>#REF!</v>
      </c>
    </row>
    <row r="592" spans="1:55" x14ac:dyDescent="0.45">
      <c r="A592" s="13">
        <v>587</v>
      </c>
      <c r="B592" s="155"/>
      <c r="C592" s="85"/>
      <c r="D592" s="1"/>
      <c r="E592" s="1"/>
      <c r="F592" s="1"/>
      <c r="G592" s="1"/>
      <c r="H592" s="307"/>
      <c r="I592" s="1"/>
      <c r="J592" s="1"/>
      <c r="K592" s="15"/>
      <c r="L592" s="17"/>
      <c r="M592" s="238"/>
      <c r="N592" s="17"/>
      <c r="O592" s="15"/>
      <c r="P592" s="17"/>
      <c r="Q592" s="307"/>
      <c r="R592" s="238"/>
      <c r="S592" s="17"/>
      <c r="T592" s="15"/>
      <c r="U592" s="17"/>
      <c r="V592" s="262"/>
      <c r="W592" s="262"/>
      <c r="X592" s="1"/>
      <c r="Y592" s="1"/>
      <c r="Z592" s="1"/>
      <c r="AA592" s="1"/>
      <c r="AB592" s="1"/>
      <c r="AC592" s="1"/>
      <c r="AD592" s="1"/>
      <c r="AE592" s="1"/>
      <c r="AF592" s="1"/>
      <c r="AG592" s="15"/>
      <c r="AH592" s="15"/>
      <c r="AI592" s="17"/>
      <c r="AJ592" s="15"/>
      <c r="AK592" s="124"/>
      <c r="AL592" s="17"/>
      <c r="AM592" s="17"/>
      <c r="AN592" s="263"/>
      <c r="AO592" s="1"/>
      <c r="AP592" s="1"/>
      <c r="AQ592" s="307"/>
      <c r="AR592" s="1"/>
      <c r="AS592" s="11"/>
      <c r="AT592" s="11"/>
      <c r="AU592" s="214"/>
      <c r="AV592" s="268"/>
      <c r="AW592" s="1"/>
      <c r="AX592" s="210"/>
      <c r="AY592" s="60"/>
      <c r="AZ592" s="15"/>
      <c r="BA592" s="15"/>
      <c r="BB592" s="1"/>
      <c r="BC592" s="49" t="e">
        <f>IF(OR(#REF!="",#REF!="")=TRUE,"",NETWORKDAYS.INTL(#REF!,#REF!))</f>
        <v>#REF!</v>
      </c>
    </row>
    <row r="593" spans="1:55" x14ac:dyDescent="0.45">
      <c r="A593" s="13">
        <v>588</v>
      </c>
      <c r="B593" s="155"/>
      <c r="C593" s="85"/>
      <c r="D593" s="1"/>
      <c r="E593" s="1"/>
      <c r="F593" s="1"/>
      <c r="G593" s="1"/>
      <c r="H593" s="307"/>
      <c r="I593" s="1"/>
      <c r="J593" s="1"/>
      <c r="K593" s="15"/>
      <c r="L593" s="17"/>
      <c r="M593" s="238"/>
      <c r="N593" s="17"/>
      <c r="O593" s="15"/>
      <c r="P593" s="17"/>
      <c r="Q593" s="307"/>
      <c r="R593" s="238"/>
      <c r="S593" s="17"/>
      <c r="T593" s="15"/>
      <c r="U593" s="17"/>
      <c r="V593" s="262"/>
      <c r="W593" s="262"/>
      <c r="X593" s="1"/>
      <c r="Y593" s="1"/>
      <c r="Z593" s="1"/>
      <c r="AA593" s="1"/>
      <c r="AB593" s="1"/>
      <c r="AC593" s="1"/>
      <c r="AD593" s="1"/>
      <c r="AE593" s="1"/>
      <c r="AF593" s="1"/>
      <c r="AG593" s="15"/>
      <c r="AH593" s="15"/>
      <c r="AI593" s="17"/>
      <c r="AJ593" s="15"/>
      <c r="AK593" s="124"/>
      <c r="AL593" s="17"/>
      <c r="AM593" s="17"/>
      <c r="AN593" s="263"/>
      <c r="AO593" s="1"/>
      <c r="AP593" s="1"/>
      <c r="AQ593" s="307"/>
      <c r="AR593" s="1"/>
      <c r="AS593" s="11"/>
      <c r="AT593" s="11"/>
      <c r="AU593" s="214"/>
      <c r="AV593" s="268"/>
      <c r="AW593" s="1"/>
      <c r="AX593" s="210"/>
      <c r="AY593" s="60"/>
      <c r="AZ593" s="15"/>
      <c r="BA593" s="15"/>
      <c r="BB593" s="1"/>
      <c r="BC593" s="49" t="e">
        <f>IF(OR(#REF!="",#REF!="")=TRUE,"",NETWORKDAYS.INTL(#REF!,#REF!))</f>
        <v>#REF!</v>
      </c>
    </row>
    <row r="594" spans="1:55" x14ac:dyDescent="0.45">
      <c r="A594" s="12">
        <v>589</v>
      </c>
      <c r="B594" s="150"/>
      <c r="C594" s="53"/>
      <c r="D594" s="1"/>
      <c r="E594" s="1"/>
      <c r="F594" s="1"/>
      <c r="G594" s="1"/>
      <c r="H594" s="307"/>
      <c r="I594" s="1"/>
      <c r="J594" s="1"/>
      <c r="K594" s="15"/>
      <c r="L594" s="17"/>
      <c r="M594" s="238"/>
      <c r="N594" s="17"/>
      <c r="O594" s="15"/>
      <c r="P594" s="17"/>
      <c r="Q594" s="307"/>
      <c r="R594" s="238"/>
      <c r="S594" s="17"/>
      <c r="T594" s="15"/>
      <c r="U594" s="17"/>
      <c r="V594" s="262"/>
      <c r="W594" s="262"/>
      <c r="X594" s="1"/>
      <c r="Y594" s="1"/>
      <c r="Z594" s="1"/>
      <c r="AA594" s="1"/>
      <c r="AB594" s="1"/>
      <c r="AC594" s="1"/>
      <c r="AD594" s="1"/>
      <c r="AE594" s="1"/>
      <c r="AF594" s="1"/>
      <c r="AG594" s="15"/>
      <c r="AH594" s="15"/>
      <c r="AI594" s="17"/>
      <c r="AJ594" s="15"/>
      <c r="AK594" s="124"/>
      <c r="AL594" s="17"/>
      <c r="AM594" s="17"/>
      <c r="AN594" s="263"/>
      <c r="AO594" s="1"/>
      <c r="AP594" s="1"/>
      <c r="AQ594" s="307"/>
      <c r="AR594" s="1"/>
      <c r="AS594" s="11"/>
      <c r="AT594" s="11"/>
      <c r="AU594" s="214"/>
      <c r="AV594" s="268"/>
      <c r="AW594" s="1"/>
      <c r="AX594" s="210"/>
      <c r="AY594" s="60"/>
      <c r="AZ594" s="15"/>
      <c r="BA594" s="15"/>
      <c r="BB594" s="1"/>
      <c r="BC594" s="49" t="e">
        <f>IF(OR(#REF!="",#REF!="")=TRUE,"",NETWORKDAYS.INTL(#REF!,#REF!))</f>
        <v>#REF!</v>
      </c>
    </row>
    <row r="595" spans="1:55" x14ac:dyDescent="0.45">
      <c r="A595" s="13">
        <v>590</v>
      </c>
      <c r="B595" s="155"/>
      <c r="C595" s="85"/>
      <c r="D595" s="1"/>
      <c r="E595" s="1"/>
      <c r="F595" s="1"/>
      <c r="G595" s="1"/>
      <c r="H595" s="307"/>
      <c r="I595" s="1"/>
      <c r="J595" s="1"/>
      <c r="K595" s="15"/>
      <c r="L595" s="17"/>
      <c r="M595" s="238"/>
      <c r="N595" s="17"/>
      <c r="O595" s="15"/>
      <c r="P595" s="17"/>
      <c r="Q595" s="307"/>
      <c r="R595" s="238"/>
      <c r="S595" s="17"/>
      <c r="T595" s="15"/>
      <c r="U595" s="17"/>
      <c r="V595" s="262"/>
      <c r="W595" s="262"/>
      <c r="X595" s="1"/>
      <c r="Y595" s="1"/>
      <c r="Z595" s="1"/>
      <c r="AA595" s="1"/>
      <c r="AB595" s="1"/>
      <c r="AC595" s="1"/>
      <c r="AD595" s="1"/>
      <c r="AE595" s="1"/>
      <c r="AF595" s="1"/>
      <c r="AG595" s="15"/>
      <c r="AH595" s="15"/>
      <c r="AI595" s="17"/>
      <c r="AJ595" s="15"/>
      <c r="AK595" s="124"/>
      <c r="AL595" s="17"/>
      <c r="AM595" s="17"/>
      <c r="AN595" s="263"/>
      <c r="AO595" s="1"/>
      <c r="AP595" s="1"/>
      <c r="AQ595" s="307"/>
      <c r="AR595" s="1"/>
      <c r="AS595" s="11"/>
      <c r="AT595" s="11"/>
      <c r="AU595" s="214"/>
      <c r="AV595" s="268"/>
      <c r="AW595" s="1"/>
      <c r="AX595" s="210"/>
      <c r="AY595" s="60"/>
      <c r="AZ595" s="15"/>
      <c r="BA595" s="15"/>
      <c r="BB595" s="1"/>
      <c r="BC595" s="49" t="e">
        <f>IF(OR(#REF!="",#REF!="")=TRUE,"",NETWORKDAYS.INTL(#REF!,#REF!))</f>
        <v>#REF!</v>
      </c>
    </row>
    <row r="596" spans="1:55" x14ac:dyDescent="0.45">
      <c r="A596" s="13">
        <v>591</v>
      </c>
      <c r="B596" s="155"/>
      <c r="C596" s="85"/>
      <c r="D596" s="1"/>
      <c r="E596" s="1"/>
      <c r="F596" s="1"/>
      <c r="G596" s="1"/>
      <c r="H596" s="307"/>
      <c r="I596" s="1"/>
      <c r="J596" s="1"/>
      <c r="K596" s="15"/>
      <c r="L596" s="17"/>
      <c r="M596" s="238"/>
      <c r="N596" s="17"/>
      <c r="O596" s="15"/>
      <c r="P596" s="17"/>
      <c r="Q596" s="307"/>
      <c r="R596" s="238"/>
      <c r="S596" s="17"/>
      <c r="T596" s="15"/>
      <c r="U596" s="17"/>
      <c r="V596" s="262"/>
      <c r="W596" s="262"/>
      <c r="X596" s="1"/>
      <c r="Y596" s="1"/>
      <c r="Z596" s="1"/>
      <c r="AA596" s="1"/>
      <c r="AB596" s="1"/>
      <c r="AC596" s="1"/>
      <c r="AD596" s="1"/>
      <c r="AE596" s="1"/>
      <c r="AF596" s="1"/>
      <c r="AG596" s="15"/>
      <c r="AH596" s="15"/>
      <c r="AI596" s="17"/>
      <c r="AJ596" s="15"/>
      <c r="AK596" s="124"/>
      <c r="AL596" s="17"/>
      <c r="AM596" s="17"/>
      <c r="AN596" s="263"/>
      <c r="AO596" s="1"/>
      <c r="AP596" s="1"/>
      <c r="AQ596" s="307"/>
      <c r="AR596" s="1"/>
      <c r="AS596" s="11"/>
      <c r="AT596" s="11"/>
      <c r="AU596" s="214"/>
      <c r="AV596" s="268"/>
      <c r="AW596" s="1"/>
      <c r="AX596" s="210"/>
      <c r="AY596" s="60"/>
      <c r="AZ596" s="15"/>
      <c r="BA596" s="15"/>
      <c r="BB596" s="1"/>
      <c r="BC596" s="49" t="e">
        <f>IF(OR(#REF!="",#REF!="")=TRUE,"",NETWORKDAYS.INTL(#REF!,#REF!))</f>
        <v>#REF!</v>
      </c>
    </row>
    <row r="597" spans="1:55" x14ac:dyDescent="0.45">
      <c r="A597" s="12">
        <v>592</v>
      </c>
      <c r="B597" s="150"/>
      <c r="C597" s="53"/>
      <c r="D597" s="1"/>
      <c r="E597" s="1"/>
      <c r="F597" s="1"/>
      <c r="G597" s="1"/>
      <c r="H597" s="307"/>
      <c r="I597" s="1"/>
      <c r="J597" s="1"/>
      <c r="K597" s="15"/>
      <c r="L597" s="17"/>
      <c r="M597" s="238"/>
      <c r="N597" s="17"/>
      <c r="O597" s="15"/>
      <c r="P597" s="17"/>
      <c r="Q597" s="307"/>
      <c r="R597" s="238"/>
      <c r="S597" s="17"/>
      <c r="T597" s="15"/>
      <c r="U597" s="17"/>
      <c r="V597" s="262"/>
      <c r="W597" s="262"/>
      <c r="X597" s="1"/>
      <c r="Y597" s="1"/>
      <c r="Z597" s="1"/>
      <c r="AA597" s="1"/>
      <c r="AB597" s="1"/>
      <c r="AC597" s="1"/>
      <c r="AD597" s="1"/>
      <c r="AE597" s="1"/>
      <c r="AF597" s="1"/>
      <c r="AG597" s="15"/>
      <c r="AH597" s="15"/>
      <c r="AI597" s="17"/>
      <c r="AJ597" s="15"/>
      <c r="AK597" s="124"/>
      <c r="AL597" s="17"/>
      <c r="AM597" s="17"/>
      <c r="AN597" s="263"/>
      <c r="AO597" s="1"/>
      <c r="AP597" s="1"/>
      <c r="AQ597" s="307"/>
      <c r="AR597" s="1"/>
      <c r="AS597" s="11"/>
      <c r="AT597" s="11"/>
      <c r="AU597" s="214"/>
      <c r="AV597" s="268"/>
      <c r="AW597" s="1"/>
      <c r="AX597" s="210"/>
      <c r="AY597" s="60"/>
      <c r="AZ597" s="15"/>
      <c r="BA597" s="15"/>
      <c r="BB597" s="1"/>
      <c r="BC597" s="49" t="e">
        <f>IF(OR(#REF!="",#REF!="")=TRUE,"",NETWORKDAYS.INTL(#REF!,#REF!))</f>
        <v>#REF!</v>
      </c>
    </row>
    <row r="598" spans="1:55" x14ac:dyDescent="0.45">
      <c r="A598" s="13">
        <v>593</v>
      </c>
      <c r="B598" s="155"/>
      <c r="C598" s="85"/>
      <c r="D598" s="1"/>
      <c r="E598" s="1"/>
      <c r="F598" s="1"/>
      <c r="G598" s="1"/>
      <c r="H598" s="307"/>
      <c r="I598" s="1"/>
      <c r="J598" s="1"/>
      <c r="K598" s="15"/>
      <c r="L598" s="17"/>
      <c r="M598" s="238"/>
      <c r="N598" s="17"/>
      <c r="O598" s="15"/>
      <c r="P598" s="17"/>
      <c r="Q598" s="307"/>
      <c r="R598" s="238"/>
      <c r="S598" s="17"/>
      <c r="T598" s="15"/>
      <c r="U598" s="17"/>
      <c r="V598" s="262"/>
      <c r="W598" s="262"/>
      <c r="X598" s="1"/>
      <c r="Y598" s="1"/>
      <c r="Z598" s="1"/>
      <c r="AA598" s="1"/>
      <c r="AB598" s="1"/>
      <c r="AC598" s="1"/>
      <c r="AD598" s="1"/>
      <c r="AE598" s="1"/>
      <c r="AF598" s="1"/>
      <c r="AG598" s="15"/>
      <c r="AH598" s="15"/>
      <c r="AI598" s="17"/>
      <c r="AJ598" s="15"/>
      <c r="AK598" s="124"/>
      <c r="AL598" s="17"/>
      <c r="AM598" s="17"/>
      <c r="AN598" s="263"/>
      <c r="AO598" s="1"/>
      <c r="AP598" s="1"/>
      <c r="AQ598" s="307"/>
      <c r="AR598" s="1"/>
      <c r="AS598" s="11"/>
      <c r="AT598" s="11"/>
      <c r="AU598" s="214"/>
      <c r="AV598" s="268"/>
      <c r="AW598" s="1"/>
      <c r="AX598" s="210"/>
      <c r="AY598" s="60"/>
      <c r="AZ598" s="15"/>
      <c r="BA598" s="15"/>
      <c r="BB598" s="1"/>
      <c r="BC598" s="49" t="e">
        <f>IF(OR(#REF!="",#REF!="")=TRUE,"",NETWORKDAYS.INTL(#REF!,#REF!))</f>
        <v>#REF!</v>
      </c>
    </row>
    <row r="599" spans="1:55" x14ac:dyDescent="0.45">
      <c r="A599" s="13">
        <v>594</v>
      </c>
      <c r="B599" s="155"/>
      <c r="C599" s="85"/>
      <c r="D599" s="1"/>
      <c r="E599" s="1"/>
      <c r="F599" s="1"/>
      <c r="G599" s="1"/>
      <c r="H599" s="307"/>
      <c r="I599" s="1"/>
      <c r="J599" s="1"/>
      <c r="K599" s="15"/>
      <c r="L599" s="17"/>
      <c r="M599" s="238"/>
      <c r="N599" s="17"/>
      <c r="O599" s="15"/>
      <c r="P599" s="17"/>
      <c r="Q599" s="307"/>
      <c r="R599" s="238"/>
      <c r="S599" s="17"/>
      <c r="T599" s="15"/>
      <c r="U599" s="17"/>
      <c r="V599" s="262"/>
      <c r="W599" s="262"/>
      <c r="X599" s="1"/>
      <c r="Y599" s="1"/>
      <c r="Z599" s="1"/>
      <c r="AA599" s="1"/>
      <c r="AB599" s="1"/>
      <c r="AC599" s="1"/>
      <c r="AD599" s="1"/>
      <c r="AE599" s="1"/>
      <c r="AF599" s="1"/>
      <c r="AG599" s="15"/>
      <c r="AH599" s="15"/>
      <c r="AI599" s="17"/>
      <c r="AJ599" s="15"/>
      <c r="AK599" s="124"/>
      <c r="AL599" s="17"/>
      <c r="AM599" s="17"/>
      <c r="AN599" s="263"/>
      <c r="AO599" s="1"/>
      <c r="AP599" s="1"/>
      <c r="AQ599" s="307"/>
      <c r="AR599" s="1"/>
      <c r="AS599" s="11"/>
      <c r="AT599" s="11"/>
      <c r="AU599" s="214"/>
      <c r="AV599" s="268"/>
      <c r="AW599" s="1"/>
      <c r="AX599" s="210"/>
      <c r="AY599" s="60"/>
      <c r="AZ599" s="15"/>
      <c r="BA599" s="15"/>
      <c r="BB599" s="1"/>
      <c r="BC599" s="49" t="e">
        <f>IF(OR(#REF!="",#REF!="")=TRUE,"",NETWORKDAYS.INTL(#REF!,#REF!))</f>
        <v>#REF!</v>
      </c>
    </row>
    <row r="600" spans="1:55" x14ac:dyDescent="0.45">
      <c r="A600" s="12">
        <v>595</v>
      </c>
      <c r="B600" s="150"/>
      <c r="C600" s="53"/>
      <c r="D600" s="1"/>
      <c r="E600" s="1"/>
      <c r="F600" s="1"/>
      <c r="G600" s="1"/>
      <c r="H600" s="307"/>
      <c r="I600" s="1"/>
      <c r="J600" s="1"/>
      <c r="K600" s="15"/>
      <c r="L600" s="17"/>
      <c r="M600" s="238"/>
      <c r="N600" s="17"/>
      <c r="O600" s="15"/>
      <c r="P600" s="17"/>
      <c r="Q600" s="307"/>
      <c r="R600" s="238"/>
      <c r="S600" s="17"/>
      <c r="T600" s="15"/>
      <c r="U600" s="17"/>
      <c r="V600" s="262"/>
      <c r="W600" s="262"/>
      <c r="X600" s="1"/>
      <c r="Y600" s="1"/>
      <c r="Z600" s="1"/>
      <c r="AA600" s="1"/>
      <c r="AB600" s="1"/>
      <c r="AC600" s="1"/>
      <c r="AD600" s="1"/>
      <c r="AE600" s="1"/>
      <c r="AF600" s="1"/>
      <c r="AG600" s="15"/>
      <c r="AH600" s="15"/>
      <c r="AI600" s="17"/>
      <c r="AJ600" s="15"/>
      <c r="AK600" s="124"/>
      <c r="AL600" s="17"/>
      <c r="AM600" s="17"/>
      <c r="AN600" s="263"/>
      <c r="AO600" s="1"/>
      <c r="AP600" s="1"/>
      <c r="AQ600" s="307"/>
      <c r="AR600" s="1"/>
      <c r="AS600" s="11"/>
      <c r="AT600" s="11"/>
      <c r="AU600" s="214"/>
      <c r="AV600" s="268"/>
      <c r="AW600" s="1"/>
      <c r="AX600" s="210"/>
      <c r="AY600" s="60"/>
      <c r="AZ600" s="15"/>
      <c r="BA600" s="15"/>
      <c r="BB600" s="1"/>
      <c r="BC600" s="49" t="e">
        <f>IF(OR(#REF!="",#REF!="")=TRUE,"",NETWORKDAYS.INTL(#REF!,#REF!))</f>
        <v>#REF!</v>
      </c>
    </row>
    <row r="601" spans="1:55" x14ac:dyDescent="0.45">
      <c r="A601" s="13">
        <v>596</v>
      </c>
      <c r="B601" s="155"/>
      <c r="C601" s="85"/>
      <c r="D601" s="1"/>
      <c r="E601" s="1"/>
      <c r="F601" s="1"/>
      <c r="G601" s="1"/>
      <c r="H601" s="307"/>
      <c r="I601" s="1"/>
      <c r="J601" s="1"/>
      <c r="K601" s="15"/>
      <c r="L601" s="17"/>
      <c r="M601" s="238"/>
      <c r="N601" s="17"/>
      <c r="O601" s="15"/>
      <c r="P601" s="17"/>
      <c r="Q601" s="307"/>
      <c r="R601" s="238"/>
      <c r="S601" s="17"/>
      <c r="T601" s="15"/>
      <c r="U601" s="17"/>
      <c r="V601" s="262"/>
      <c r="W601" s="262"/>
      <c r="X601" s="1"/>
      <c r="Y601" s="1"/>
      <c r="Z601" s="1"/>
      <c r="AA601" s="1"/>
      <c r="AB601" s="1"/>
      <c r="AC601" s="1"/>
      <c r="AD601" s="1"/>
      <c r="AE601" s="1"/>
      <c r="AF601" s="1"/>
      <c r="AG601" s="15"/>
      <c r="AH601" s="15"/>
      <c r="AI601" s="17"/>
      <c r="AJ601" s="15"/>
      <c r="AK601" s="124"/>
      <c r="AL601" s="17"/>
      <c r="AM601" s="17"/>
      <c r="AN601" s="263"/>
      <c r="AO601" s="1"/>
      <c r="AP601" s="1"/>
      <c r="AQ601" s="307"/>
      <c r="AR601" s="1"/>
      <c r="AS601" s="11"/>
      <c r="AT601" s="11"/>
      <c r="AU601" s="214"/>
      <c r="AV601" s="268"/>
      <c r="AW601" s="1"/>
      <c r="AX601" s="210"/>
      <c r="AY601" s="60"/>
      <c r="AZ601" s="15"/>
      <c r="BA601" s="15"/>
      <c r="BB601" s="1"/>
      <c r="BC601" s="49" t="e">
        <f>IF(OR(#REF!="",#REF!="")=TRUE,"",NETWORKDAYS.INTL(#REF!,#REF!))</f>
        <v>#REF!</v>
      </c>
    </row>
    <row r="602" spans="1:55" x14ac:dyDescent="0.45">
      <c r="A602" s="13">
        <v>597</v>
      </c>
      <c r="B602" s="155"/>
      <c r="C602" s="85"/>
      <c r="D602" s="1"/>
      <c r="E602" s="1"/>
      <c r="F602" s="1"/>
      <c r="G602" s="1"/>
      <c r="H602" s="307"/>
      <c r="I602" s="1"/>
      <c r="J602" s="1"/>
      <c r="K602" s="15"/>
      <c r="L602" s="17"/>
      <c r="M602" s="238"/>
      <c r="N602" s="17"/>
      <c r="O602" s="15"/>
      <c r="P602" s="17"/>
      <c r="Q602" s="307"/>
      <c r="R602" s="238"/>
      <c r="S602" s="17"/>
      <c r="T602" s="15"/>
      <c r="U602" s="17"/>
      <c r="V602" s="262"/>
      <c r="W602" s="262"/>
      <c r="X602" s="1"/>
      <c r="Y602" s="1"/>
      <c r="Z602" s="1"/>
      <c r="AA602" s="1"/>
      <c r="AB602" s="1"/>
      <c r="AC602" s="1"/>
      <c r="AD602" s="1"/>
      <c r="AE602" s="1"/>
      <c r="AF602" s="1"/>
      <c r="AG602" s="15"/>
      <c r="AH602" s="15"/>
      <c r="AI602" s="17"/>
      <c r="AJ602" s="15"/>
      <c r="AK602" s="124"/>
      <c r="AL602" s="17"/>
      <c r="AM602" s="17"/>
      <c r="AN602" s="263"/>
      <c r="AO602" s="1"/>
      <c r="AP602" s="1"/>
      <c r="AQ602" s="307"/>
      <c r="AR602" s="1"/>
      <c r="AS602" s="11"/>
      <c r="AT602" s="11"/>
      <c r="AU602" s="214"/>
      <c r="AV602" s="268"/>
      <c r="AW602" s="1"/>
      <c r="AX602" s="210"/>
      <c r="AY602" s="60"/>
      <c r="AZ602" s="15"/>
      <c r="BA602" s="15"/>
      <c r="BB602" s="1"/>
      <c r="BC602" s="49" t="e">
        <f>IF(OR(#REF!="",#REF!="")=TRUE,"",NETWORKDAYS.INTL(#REF!,#REF!))</f>
        <v>#REF!</v>
      </c>
    </row>
    <row r="603" spans="1:55" x14ac:dyDescent="0.45">
      <c r="A603" s="12">
        <v>598</v>
      </c>
      <c r="B603" s="150"/>
      <c r="C603" s="53"/>
      <c r="D603" s="1"/>
      <c r="E603" s="1"/>
      <c r="F603" s="1"/>
      <c r="G603" s="1"/>
      <c r="H603" s="307"/>
      <c r="I603" s="1"/>
      <c r="J603" s="1"/>
      <c r="K603" s="15"/>
      <c r="L603" s="17"/>
      <c r="M603" s="238"/>
      <c r="N603" s="17"/>
      <c r="O603" s="15"/>
      <c r="P603" s="17"/>
      <c r="Q603" s="307"/>
      <c r="R603" s="238"/>
      <c r="S603" s="17"/>
      <c r="T603" s="15"/>
      <c r="U603" s="17"/>
      <c r="V603" s="262"/>
      <c r="W603" s="262"/>
      <c r="X603" s="1"/>
      <c r="Y603" s="1"/>
      <c r="Z603" s="1"/>
      <c r="AA603" s="1"/>
      <c r="AB603" s="1"/>
      <c r="AC603" s="1"/>
      <c r="AD603" s="1"/>
      <c r="AE603" s="1"/>
      <c r="AF603" s="1"/>
      <c r="AG603" s="15"/>
      <c r="AH603" s="15"/>
      <c r="AI603" s="17"/>
      <c r="AJ603" s="15"/>
      <c r="AK603" s="124"/>
      <c r="AL603" s="17"/>
      <c r="AM603" s="17"/>
      <c r="AN603" s="263"/>
      <c r="AO603" s="1"/>
      <c r="AP603" s="1"/>
      <c r="AQ603" s="307"/>
      <c r="AR603" s="1"/>
      <c r="AS603" s="11"/>
      <c r="AT603" s="11"/>
      <c r="AU603" s="214"/>
      <c r="AV603" s="268"/>
      <c r="AW603" s="1"/>
      <c r="AX603" s="210"/>
      <c r="AY603" s="60"/>
      <c r="AZ603" s="15"/>
      <c r="BA603" s="15"/>
      <c r="BB603" s="1"/>
      <c r="BC603" s="49" t="e">
        <f>IF(OR(#REF!="",#REF!="")=TRUE,"",NETWORKDAYS.INTL(#REF!,#REF!))</f>
        <v>#REF!</v>
      </c>
    </row>
    <row r="604" spans="1:55" x14ac:dyDescent="0.45">
      <c r="A604" s="13">
        <v>599</v>
      </c>
      <c r="B604" s="155"/>
      <c r="C604" s="85"/>
      <c r="D604" s="1"/>
      <c r="E604" s="1"/>
      <c r="F604" s="1"/>
      <c r="G604" s="1"/>
      <c r="H604" s="307"/>
      <c r="I604" s="1"/>
      <c r="J604" s="1"/>
      <c r="K604" s="15"/>
      <c r="L604" s="17"/>
      <c r="M604" s="238"/>
      <c r="N604" s="17"/>
      <c r="O604" s="15"/>
      <c r="P604" s="17"/>
      <c r="Q604" s="307"/>
      <c r="R604" s="238"/>
      <c r="S604" s="17"/>
      <c r="T604" s="15"/>
      <c r="U604" s="17"/>
      <c r="V604" s="262"/>
      <c r="W604" s="262"/>
      <c r="X604" s="1"/>
      <c r="Y604" s="1"/>
      <c r="Z604" s="1"/>
      <c r="AA604" s="1"/>
      <c r="AB604" s="1"/>
      <c r="AC604" s="1"/>
      <c r="AD604" s="1"/>
      <c r="AE604" s="1"/>
      <c r="AF604" s="1"/>
      <c r="AG604" s="15"/>
      <c r="AH604" s="15"/>
      <c r="AI604" s="17"/>
      <c r="AJ604" s="15"/>
      <c r="AK604" s="124"/>
      <c r="AL604" s="17"/>
      <c r="AM604" s="17"/>
      <c r="AN604" s="263"/>
      <c r="AO604" s="1"/>
      <c r="AP604" s="1"/>
      <c r="AQ604" s="307"/>
      <c r="AR604" s="1"/>
      <c r="AS604" s="11"/>
      <c r="AT604" s="11"/>
      <c r="AU604" s="214"/>
      <c r="AV604" s="268"/>
      <c r="AW604" s="1"/>
      <c r="AX604" s="210"/>
      <c r="AY604" s="60"/>
      <c r="AZ604" s="15"/>
      <c r="BA604" s="15"/>
      <c r="BB604" s="1"/>
      <c r="BC604" s="49" t="e">
        <f>IF(OR(#REF!="",#REF!="")=TRUE,"",NETWORKDAYS.INTL(#REF!,#REF!))</f>
        <v>#REF!</v>
      </c>
    </row>
    <row r="605" spans="1:55" x14ac:dyDescent="0.45">
      <c r="A605" s="13">
        <v>600</v>
      </c>
      <c r="B605" s="155"/>
      <c r="C605" s="85"/>
      <c r="D605" s="1"/>
      <c r="E605" s="1"/>
      <c r="F605" s="1"/>
      <c r="G605" s="1"/>
      <c r="H605" s="307"/>
      <c r="I605" s="1"/>
      <c r="J605" s="1"/>
      <c r="K605" s="15"/>
      <c r="L605" s="17"/>
      <c r="M605" s="238"/>
      <c r="N605" s="17"/>
      <c r="O605" s="15"/>
      <c r="P605" s="17"/>
      <c r="Q605" s="307"/>
      <c r="R605" s="238"/>
      <c r="S605" s="17"/>
      <c r="T605" s="15"/>
      <c r="U605" s="17"/>
      <c r="V605" s="262"/>
      <c r="W605" s="262"/>
      <c r="X605" s="1"/>
      <c r="Y605" s="1"/>
      <c r="Z605" s="1"/>
      <c r="AA605" s="1"/>
      <c r="AB605" s="1"/>
      <c r="AC605" s="1"/>
      <c r="AD605" s="1"/>
      <c r="AE605" s="1"/>
      <c r="AF605" s="1"/>
      <c r="AG605" s="15"/>
      <c r="AH605" s="15"/>
      <c r="AI605" s="17"/>
      <c r="AJ605" s="15"/>
      <c r="AK605" s="124"/>
      <c r="AL605" s="17"/>
      <c r="AM605" s="17"/>
      <c r="AN605" s="263"/>
      <c r="AO605" s="1"/>
      <c r="AP605" s="1"/>
      <c r="AQ605" s="307"/>
      <c r="AR605" s="1"/>
      <c r="AS605" s="11"/>
      <c r="AT605" s="11"/>
      <c r="AU605" s="214"/>
      <c r="AV605" s="268"/>
      <c r="AW605" s="1"/>
      <c r="AX605" s="210"/>
      <c r="AY605" s="60"/>
      <c r="AZ605" s="15"/>
      <c r="BA605" s="15"/>
      <c r="BB605" s="1"/>
      <c r="BC605" s="49" t="e">
        <f>IF(OR(#REF!="",#REF!="")=TRUE,"",NETWORKDAYS.INTL(#REF!,#REF!))</f>
        <v>#REF!</v>
      </c>
    </row>
    <row r="606" spans="1:55" x14ac:dyDescent="0.45">
      <c r="A606" s="12">
        <v>601</v>
      </c>
      <c r="B606" s="150"/>
      <c r="C606" s="53"/>
      <c r="D606" s="1"/>
      <c r="E606" s="1"/>
      <c r="F606" s="1"/>
      <c r="G606" s="1"/>
      <c r="H606" s="307"/>
      <c r="I606" s="1"/>
      <c r="J606" s="1"/>
      <c r="K606" s="15"/>
      <c r="L606" s="17"/>
      <c r="M606" s="238"/>
      <c r="N606" s="17"/>
      <c r="O606" s="15"/>
      <c r="P606" s="17"/>
      <c r="Q606" s="307"/>
      <c r="R606" s="238"/>
      <c r="S606" s="17"/>
      <c r="T606" s="15"/>
      <c r="U606" s="17"/>
      <c r="V606" s="262"/>
      <c r="W606" s="262"/>
      <c r="X606" s="1"/>
      <c r="Y606" s="1"/>
      <c r="Z606" s="1"/>
      <c r="AA606" s="1"/>
      <c r="AB606" s="1"/>
      <c r="AC606" s="1"/>
      <c r="AD606" s="1"/>
      <c r="AE606" s="1"/>
      <c r="AF606" s="1"/>
      <c r="AG606" s="15"/>
      <c r="AH606" s="15"/>
      <c r="AI606" s="17"/>
      <c r="AJ606" s="15"/>
      <c r="AK606" s="124"/>
      <c r="AL606" s="17"/>
      <c r="AM606" s="17"/>
      <c r="AN606" s="263"/>
      <c r="AO606" s="1"/>
      <c r="AP606" s="1"/>
      <c r="AQ606" s="307"/>
      <c r="AR606" s="1"/>
      <c r="AS606" s="11"/>
      <c r="AT606" s="11"/>
      <c r="AU606" s="214"/>
      <c r="AV606" s="268"/>
      <c r="AW606" s="1"/>
      <c r="AX606" s="210"/>
      <c r="AY606" s="60"/>
      <c r="AZ606" s="15"/>
      <c r="BA606" s="15"/>
      <c r="BB606" s="1"/>
      <c r="BC606" s="49" t="e">
        <f>IF(OR(#REF!="",#REF!="")=TRUE,"",NETWORKDAYS.INTL(#REF!,#REF!))</f>
        <v>#REF!</v>
      </c>
    </row>
    <row r="607" spans="1:55" x14ac:dyDescent="0.45">
      <c r="A607" s="13">
        <v>602</v>
      </c>
      <c r="B607" s="155"/>
      <c r="C607" s="85"/>
      <c r="D607" s="1"/>
      <c r="E607" s="1"/>
      <c r="F607" s="1"/>
      <c r="G607" s="1"/>
      <c r="H607" s="307"/>
      <c r="I607" s="1"/>
      <c r="J607" s="1"/>
      <c r="K607" s="15"/>
      <c r="L607" s="17"/>
      <c r="M607" s="238"/>
      <c r="N607" s="17"/>
      <c r="O607" s="15"/>
      <c r="P607" s="17"/>
      <c r="Q607" s="307"/>
      <c r="R607" s="238"/>
      <c r="S607" s="17"/>
      <c r="T607" s="15"/>
      <c r="U607" s="17"/>
      <c r="V607" s="262"/>
      <c r="W607" s="262"/>
      <c r="X607" s="1"/>
      <c r="Y607" s="1"/>
      <c r="Z607" s="1"/>
      <c r="AA607" s="1"/>
      <c r="AB607" s="1"/>
      <c r="AC607" s="1"/>
      <c r="AD607" s="1"/>
      <c r="AE607" s="1"/>
      <c r="AF607" s="1"/>
      <c r="AG607" s="15"/>
      <c r="AH607" s="15"/>
      <c r="AI607" s="17"/>
      <c r="AJ607" s="15"/>
      <c r="AK607" s="124"/>
      <c r="AL607" s="17"/>
      <c r="AM607" s="17"/>
      <c r="AN607" s="263"/>
      <c r="AO607" s="1"/>
      <c r="AP607" s="1"/>
      <c r="AQ607" s="307"/>
      <c r="AR607" s="1"/>
      <c r="AS607" s="11"/>
      <c r="AT607" s="11"/>
      <c r="AU607" s="214"/>
      <c r="AV607" s="268"/>
      <c r="AW607" s="1"/>
      <c r="AX607" s="210"/>
      <c r="AY607" s="60"/>
      <c r="AZ607" s="15"/>
      <c r="BA607" s="15"/>
      <c r="BB607" s="1"/>
      <c r="BC607" s="49" t="e">
        <f>IF(OR(#REF!="",#REF!="")=TRUE,"",NETWORKDAYS.INTL(#REF!,#REF!))</f>
        <v>#REF!</v>
      </c>
    </row>
    <row r="608" spans="1:55" x14ac:dyDescent="0.45">
      <c r="A608" s="13">
        <v>603</v>
      </c>
      <c r="B608" s="155"/>
      <c r="C608" s="85"/>
      <c r="D608" s="1"/>
      <c r="E608" s="1"/>
      <c r="F608" s="1"/>
      <c r="G608" s="1"/>
      <c r="H608" s="307"/>
      <c r="I608" s="1"/>
      <c r="J608" s="1"/>
      <c r="K608" s="15"/>
      <c r="L608" s="17"/>
      <c r="M608" s="238"/>
      <c r="N608" s="17"/>
      <c r="O608" s="15"/>
      <c r="P608" s="17"/>
      <c r="Q608" s="307"/>
      <c r="R608" s="238"/>
      <c r="S608" s="17"/>
      <c r="T608" s="15"/>
      <c r="U608" s="17"/>
      <c r="V608" s="262"/>
      <c r="W608" s="262"/>
      <c r="X608" s="1"/>
      <c r="Y608" s="1"/>
      <c r="Z608" s="1"/>
      <c r="AA608" s="1"/>
      <c r="AB608" s="1"/>
      <c r="AC608" s="1"/>
      <c r="AD608" s="1"/>
      <c r="AE608" s="1"/>
      <c r="AF608" s="1"/>
      <c r="AG608" s="15"/>
      <c r="AH608" s="15"/>
      <c r="AI608" s="17"/>
      <c r="AJ608" s="15"/>
      <c r="AK608" s="124"/>
      <c r="AL608" s="17"/>
      <c r="AM608" s="17"/>
      <c r="AN608" s="263"/>
      <c r="AO608" s="1"/>
      <c r="AP608" s="1"/>
      <c r="AQ608" s="307"/>
      <c r="AR608" s="1"/>
      <c r="AS608" s="11"/>
      <c r="AT608" s="11"/>
      <c r="AU608" s="214"/>
      <c r="AV608" s="268"/>
      <c r="AW608" s="1"/>
      <c r="AX608" s="210"/>
      <c r="AY608" s="60"/>
      <c r="AZ608" s="15"/>
      <c r="BA608" s="15"/>
      <c r="BB608" s="1"/>
      <c r="BC608" s="49" t="e">
        <f>IF(OR(#REF!="",#REF!="")=TRUE,"",NETWORKDAYS.INTL(#REF!,#REF!))</f>
        <v>#REF!</v>
      </c>
    </row>
    <row r="609" spans="1:55" x14ac:dyDescent="0.45">
      <c r="A609" s="12">
        <v>604</v>
      </c>
      <c r="B609" s="150"/>
      <c r="C609" s="53"/>
      <c r="D609" s="1"/>
      <c r="E609" s="1"/>
      <c r="F609" s="1"/>
      <c r="G609" s="1"/>
      <c r="H609" s="307"/>
      <c r="I609" s="1"/>
      <c r="J609" s="1"/>
      <c r="K609" s="15"/>
      <c r="L609" s="17"/>
      <c r="M609" s="238"/>
      <c r="N609" s="17"/>
      <c r="O609" s="15"/>
      <c r="P609" s="17"/>
      <c r="Q609" s="307"/>
      <c r="R609" s="238"/>
      <c r="S609" s="17"/>
      <c r="T609" s="15"/>
      <c r="U609" s="17"/>
      <c r="V609" s="262"/>
      <c r="W609" s="262"/>
      <c r="X609" s="1"/>
      <c r="Y609" s="1"/>
      <c r="Z609" s="1"/>
      <c r="AA609" s="1"/>
      <c r="AB609" s="1"/>
      <c r="AC609" s="1"/>
      <c r="AD609" s="1"/>
      <c r="AE609" s="1"/>
      <c r="AF609" s="1"/>
      <c r="AG609" s="15"/>
      <c r="AH609" s="15"/>
      <c r="AI609" s="17"/>
      <c r="AJ609" s="15"/>
      <c r="AK609" s="124"/>
      <c r="AL609" s="17"/>
      <c r="AM609" s="17"/>
      <c r="AN609" s="263"/>
      <c r="AO609" s="1"/>
      <c r="AP609" s="1"/>
      <c r="AQ609" s="307"/>
      <c r="AR609" s="1"/>
      <c r="AS609" s="11"/>
      <c r="AT609" s="11"/>
      <c r="AU609" s="214"/>
      <c r="AV609" s="268"/>
      <c r="AW609" s="1"/>
      <c r="AX609" s="210"/>
      <c r="AY609" s="60"/>
      <c r="AZ609" s="15"/>
      <c r="BA609" s="15"/>
      <c r="BB609" s="1"/>
      <c r="BC609" s="49" t="e">
        <f>IF(OR(#REF!="",#REF!="")=TRUE,"",NETWORKDAYS.INTL(#REF!,#REF!))</f>
        <v>#REF!</v>
      </c>
    </row>
    <row r="610" spans="1:55" x14ac:dyDescent="0.45">
      <c r="A610" s="13">
        <v>605</v>
      </c>
      <c r="B610" s="155"/>
      <c r="C610" s="85"/>
      <c r="D610" s="1"/>
      <c r="E610" s="1"/>
      <c r="F610" s="1"/>
      <c r="G610" s="1"/>
      <c r="H610" s="307"/>
      <c r="I610" s="1"/>
      <c r="J610" s="1"/>
      <c r="K610" s="15"/>
      <c r="L610" s="17"/>
      <c r="M610" s="238"/>
      <c r="N610" s="17"/>
      <c r="O610" s="15"/>
      <c r="P610" s="17"/>
      <c r="Q610" s="307"/>
      <c r="R610" s="238"/>
      <c r="S610" s="17"/>
      <c r="T610" s="15"/>
      <c r="U610" s="17"/>
      <c r="V610" s="262"/>
      <c r="W610" s="262"/>
      <c r="X610" s="1"/>
      <c r="Y610" s="1"/>
      <c r="Z610" s="1"/>
      <c r="AA610" s="1"/>
      <c r="AB610" s="1"/>
      <c r="AC610" s="1"/>
      <c r="AD610" s="1"/>
      <c r="AE610" s="1"/>
      <c r="AF610" s="1"/>
      <c r="AG610" s="15"/>
      <c r="AH610" s="15"/>
      <c r="AI610" s="17"/>
      <c r="AJ610" s="15"/>
      <c r="AK610" s="124"/>
      <c r="AL610" s="17"/>
      <c r="AM610" s="17"/>
      <c r="AN610" s="263"/>
      <c r="AO610" s="1"/>
      <c r="AP610" s="1"/>
      <c r="AQ610" s="307"/>
      <c r="AR610" s="1"/>
      <c r="AS610" s="11"/>
      <c r="AT610" s="11"/>
      <c r="AU610" s="214"/>
      <c r="AV610" s="268"/>
      <c r="AW610" s="1"/>
      <c r="AX610" s="210"/>
      <c r="AY610" s="60"/>
      <c r="AZ610" s="15"/>
      <c r="BA610" s="15"/>
      <c r="BB610" s="1"/>
      <c r="BC610" s="49" t="e">
        <f>IF(OR(#REF!="",#REF!="")=TRUE,"",NETWORKDAYS.INTL(#REF!,#REF!))</f>
        <v>#REF!</v>
      </c>
    </row>
    <row r="611" spans="1:55" x14ac:dyDescent="0.45">
      <c r="A611" s="13">
        <v>606</v>
      </c>
      <c r="B611" s="155"/>
      <c r="C611" s="85"/>
      <c r="D611" s="1"/>
      <c r="E611" s="1"/>
      <c r="F611" s="1"/>
      <c r="G611" s="1"/>
      <c r="H611" s="307"/>
      <c r="I611" s="1"/>
      <c r="J611" s="1"/>
      <c r="K611" s="15"/>
      <c r="L611" s="17"/>
      <c r="M611" s="238"/>
      <c r="N611" s="17"/>
      <c r="O611" s="15"/>
      <c r="P611" s="17"/>
      <c r="Q611" s="307"/>
      <c r="R611" s="238"/>
      <c r="S611" s="17"/>
      <c r="T611" s="15"/>
      <c r="U611" s="17"/>
      <c r="V611" s="262"/>
      <c r="W611" s="262"/>
      <c r="X611" s="1"/>
      <c r="Y611" s="1"/>
      <c r="Z611" s="1"/>
      <c r="AA611" s="1"/>
      <c r="AB611" s="1"/>
      <c r="AC611" s="1"/>
      <c r="AD611" s="1"/>
      <c r="AE611" s="1"/>
      <c r="AF611" s="1"/>
      <c r="AG611" s="15"/>
      <c r="AH611" s="15"/>
      <c r="AI611" s="17"/>
      <c r="AJ611" s="15"/>
      <c r="AK611" s="124"/>
      <c r="AL611" s="17"/>
      <c r="AM611" s="17"/>
      <c r="AN611" s="263"/>
      <c r="AO611" s="1"/>
      <c r="AP611" s="1"/>
      <c r="AQ611" s="307"/>
      <c r="AR611" s="1"/>
      <c r="AS611" s="11"/>
      <c r="AT611" s="11"/>
      <c r="AU611" s="214"/>
      <c r="AV611" s="268"/>
      <c r="AW611" s="1"/>
      <c r="AX611" s="210"/>
      <c r="AY611" s="60"/>
      <c r="AZ611" s="15"/>
      <c r="BA611" s="15"/>
      <c r="BB611" s="1"/>
      <c r="BC611" s="49" t="e">
        <f>IF(OR(#REF!="",#REF!="")=TRUE,"",NETWORKDAYS.INTL(#REF!,#REF!))</f>
        <v>#REF!</v>
      </c>
    </row>
    <row r="612" spans="1:55" x14ac:dyDescent="0.45">
      <c r="H612" s="307"/>
      <c r="Q612" s="307"/>
      <c r="V612" s="262"/>
    </row>
    <row r="613" spans="1:55" x14ac:dyDescent="0.45">
      <c r="V613" s="262"/>
    </row>
    <row r="614" spans="1:55" x14ac:dyDescent="0.45">
      <c r="V614" s="262"/>
    </row>
  </sheetData>
  <autoFilter ref="A6:BD611" xr:uid="{A54E4BCB-CCA4-4604-8B37-421118842CA3}">
    <filterColumn colId="23" showButton="0"/>
    <filterColumn colId="24" showButton="0"/>
    <filterColumn colId="26" showButton="0"/>
    <filterColumn colId="27" showButton="0"/>
    <filterColumn colId="29" showButton="0"/>
    <filterColumn colId="30" showButton="0"/>
  </autoFilter>
  <mergeCells count="46">
    <mergeCell ref="M4:P4"/>
    <mergeCell ref="BC1:BD1"/>
    <mergeCell ref="M2:N2"/>
    <mergeCell ref="O2:P2"/>
    <mergeCell ref="R2:S2"/>
    <mergeCell ref="T2:U2"/>
    <mergeCell ref="V2:AF2"/>
    <mergeCell ref="AG2:AI2"/>
    <mergeCell ref="AJ2:AM2"/>
    <mergeCell ref="AN2:AR2"/>
    <mergeCell ref="AZ2:BB2"/>
    <mergeCell ref="BC2:BD2"/>
    <mergeCell ref="R3:S3"/>
    <mergeCell ref="T3:U3"/>
    <mergeCell ref="M3:P3"/>
    <mergeCell ref="AG3:AI3"/>
    <mergeCell ref="AJ3:AM3"/>
    <mergeCell ref="AN3:AR3"/>
    <mergeCell ref="AU3:AW3"/>
    <mergeCell ref="AX3:AY3"/>
    <mergeCell ref="AU2:AW2"/>
    <mergeCell ref="AX2:AY2"/>
    <mergeCell ref="AZ3:BB3"/>
    <mergeCell ref="BC3:BD3"/>
    <mergeCell ref="T4:U4"/>
    <mergeCell ref="AG4:AI4"/>
    <mergeCell ref="AJ4:AM4"/>
    <mergeCell ref="AU4:AW4"/>
    <mergeCell ref="AX4:AY4"/>
    <mergeCell ref="V3:AF3"/>
    <mergeCell ref="X6:Z6"/>
    <mergeCell ref="AA6:AC6"/>
    <mergeCell ref="AD6:AF6"/>
    <mergeCell ref="BC4:BD4"/>
    <mergeCell ref="R5:S5"/>
    <mergeCell ref="T5:U5"/>
    <mergeCell ref="V5:AF5"/>
    <mergeCell ref="K5:L5"/>
    <mergeCell ref="AN5:AR5"/>
    <mergeCell ref="AU5:AW5"/>
    <mergeCell ref="AX5:AY5"/>
    <mergeCell ref="AZ5:BB5"/>
    <mergeCell ref="BC5:BD5"/>
    <mergeCell ref="AG5:AI5"/>
    <mergeCell ref="AJ5:AM5"/>
    <mergeCell ref="M5:P5"/>
  </mergeCells>
  <dataValidations count="5">
    <dataValidation type="list" allowBlank="1" showInputMessage="1" showErrorMessage="1" sqref="BA7:BA611" xr:uid="{0CFD798B-E5CD-4170-A0D9-218857B10F1E}">
      <formula1>"Complet, Incomplet"</formula1>
    </dataValidation>
    <dataValidation type="list" allowBlank="1" showInputMessage="1" showErrorMessage="1" sqref="K136:K141 K260" xr:uid="{8EFB01F5-02CF-4657-B124-13403C9705E7}">
      <formula1>"Travaux, Fournitures, Prestations"</formula1>
    </dataValidation>
    <dataValidation type="list" allowBlank="1" showInputMessage="1" showErrorMessage="1" sqref="M137 M217" xr:uid="{F4C51ACC-D2BE-46CE-AD98-C380377F68B7}">
      <formula1>"Travaux,Fournitures,Prestattions,AUTRE"</formula1>
    </dataValidation>
    <dataValidation type="list" allowBlank="1" showInputMessage="1" showErrorMessage="1" sqref="K7:K135 K142:K259 K261:K65536" xr:uid="{4EEB075B-A57C-406E-B7E8-14E3F9B70F3C}">
      <formula1>"TRAVAUX, FOURNITURES, PRESTATIONS"</formula1>
    </dataValidation>
    <dataValidation type="list" allowBlank="1" showInputMessage="1" showErrorMessage="1" sqref="M7:M17 AK18:AK135 AJ136:AL141 AJ7:AJ135 AX7:AX611 AU7:AU611 AL142:AL171 T7:T150 AJ142:AJ171 AK167 AJ172:AL204 AK157 AJ205:AJ231 AZ7:AZ611 AJ232:AL260 M205:M223 AG7:AH611 R7:R611 T152:T611 M228:M231 AK224:AL227 AJ281:AL611 AJ261:AK280 M136:M171 M260 AL7:AL135 O7:O611" xr:uid="{0A72F481-226B-4A2D-B0DA-1E4934C26CF6}">
      <formula1>"OUI, NON"</formula1>
    </dataValidation>
  </dataValidations>
  <pageMargins left="0.7" right="0.7" top="0.75" bottom="0.75"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8F08FF-9379-4F5F-B553-93F9CC655E6D}">
  <sheetPr codeName="Feuil3">
    <tabColor rgb="FFFFFF00"/>
  </sheetPr>
  <dimension ref="A1:BN614"/>
  <sheetViews>
    <sheetView topLeftCell="R1" zoomScaleNormal="100" workbookViewId="0">
      <pane ySplit="6" topLeftCell="A417" activePane="bottomLeft" state="frozen"/>
      <selection activeCell="AM1" sqref="AM1"/>
      <selection pane="bottomLeft" activeCell="L410" sqref="L410"/>
    </sheetView>
  </sheetViews>
  <sheetFormatPr baseColWidth="10" defaultRowHeight="14.25" x14ac:dyDescent="0.45"/>
  <cols>
    <col min="1" max="1" width="4" bestFit="1" customWidth="1"/>
    <col min="2" max="2" width="12.59765625" style="259" customWidth="1"/>
    <col min="3" max="3" width="12.59765625" style="304" customWidth="1"/>
    <col min="4" max="4" width="68" customWidth="1"/>
    <col min="5" max="5" width="22.3984375" customWidth="1"/>
    <col min="6" max="6" width="12.59765625" customWidth="1"/>
    <col min="7" max="7" width="21.59765625" customWidth="1"/>
    <col min="8" max="8" width="20.59765625" customWidth="1"/>
    <col min="9" max="9" width="21.86328125" customWidth="1"/>
    <col min="10" max="10" width="15.59765625" style="19" customWidth="1"/>
    <col min="11" max="12" width="12.59765625" style="18" customWidth="1"/>
    <col min="13" max="13" width="12.59765625" style="239" customWidth="1"/>
    <col min="14" max="14" width="20.59765625" style="243" customWidth="1"/>
    <col min="15" max="15" width="30.59765625" style="245" customWidth="1"/>
    <col min="16" max="16" width="16.3984375" style="18" customWidth="1"/>
    <col min="17" max="17" width="12.59765625" style="217" customWidth="1"/>
    <col min="18" max="18" width="12.59765625" style="18" customWidth="1"/>
    <col min="19" max="19" width="12.59765625" style="19" customWidth="1"/>
    <col min="20" max="21" width="12.59765625" style="18" customWidth="1"/>
    <col min="22" max="23" width="12.59765625" style="19" customWidth="1"/>
    <col min="24" max="24" width="12.59765625" style="18" customWidth="1"/>
    <col min="25" max="25" width="20.59765625" style="233" customWidth="1"/>
    <col min="26" max="26" width="20.59765625" customWidth="1"/>
    <col min="27" max="27" width="19.86328125" style="287" customWidth="1"/>
    <col min="28" max="28" width="12.59765625" style="239" customWidth="1"/>
    <col min="29" max="29" width="12.59765625" style="18" customWidth="1"/>
    <col min="30" max="30" width="20.59765625" style="19" customWidth="1"/>
    <col min="31" max="31" width="25.59765625" style="18" customWidth="1"/>
    <col min="32" max="32" width="20.59765625" style="264" customWidth="1"/>
    <col min="33" max="33" width="30.59765625" style="259" customWidth="1"/>
    <col min="34" max="35" width="12.59765625" customWidth="1"/>
    <col min="36" max="36" width="15" customWidth="1"/>
    <col min="37" max="38" width="12.59765625" customWidth="1"/>
    <col min="39" max="39" width="14.86328125" customWidth="1"/>
    <col min="40" max="41" width="12.59765625" customWidth="1"/>
    <col min="42" max="42" width="16.1328125" customWidth="1"/>
    <col min="43" max="44" width="12.59765625" customWidth="1"/>
    <col min="45" max="45" width="12.59765625" style="18" customWidth="1"/>
    <col min="46" max="46" width="12.59765625" style="14" customWidth="1"/>
    <col min="47" max="47" width="12.59765625" style="165" customWidth="1"/>
    <col min="48" max="49" width="12.59765625" style="18" customWidth="1"/>
    <col min="50" max="50" width="12.59765625" style="264" customWidth="1"/>
    <col min="51" max="52" width="12.59765625" customWidth="1"/>
    <col min="53" max="53" width="16.3984375" style="287" customWidth="1"/>
    <col min="54" max="54" width="12.59765625" customWidth="1"/>
    <col min="55" max="55" width="30.59765625" style="254" customWidth="1"/>
    <col min="56" max="56" width="20.59765625" style="254" customWidth="1"/>
    <col min="57" max="57" width="12.59765625" style="208" customWidth="1"/>
    <col min="58" max="58" width="12.59765625" style="281" customWidth="1"/>
    <col min="59" max="59" width="14.3984375" customWidth="1"/>
    <col min="60" max="60" width="12.59765625" style="259" customWidth="1"/>
    <col min="61" max="61" width="12.59765625" style="86" customWidth="1"/>
    <col min="62" max="63" width="12.59765625" customWidth="1"/>
    <col min="64" max="64" width="20.3984375" customWidth="1"/>
    <col min="65" max="65" width="20.59765625" style="50" customWidth="1"/>
    <col min="66" max="66" width="11.59765625" style="1" customWidth="1"/>
  </cols>
  <sheetData>
    <row r="1" spans="1:66" s="14" customFormat="1" ht="12" customHeight="1" thickBot="1" x14ac:dyDescent="0.5">
      <c r="B1" s="208"/>
      <c r="C1" s="240"/>
      <c r="M1" s="247"/>
      <c r="N1" s="240"/>
      <c r="O1" s="234"/>
      <c r="Q1" s="208"/>
      <c r="Y1" s="222"/>
      <c r="AA1" s="282"/>
      <c r="AB1" s="237"/>
      <c r="AF1" s="237"/>
      <c r="AG1" s="208"/>
      <c r="AU1" s="82"/>
      <c r="AX1" s="247"/>
      <c r="BA1" s="282"/>
      <c r="BC1" s="249"/>
      <c r="BD1" s="249"/>
      <c r="BE1" s="208"/>
      <c r="BF1" s="265"/>
      <c r="BH1" s="208"/>
      <c r="BI1" s="82"/>
      <c r="BM1" s="407"/>
      <c r="BN1" s="408"/>
    </row>
    <row r="2" spans="1:66" s="26" customFormat="1" ht="12" customHeight="1" x14ac:dyDescent="0.45">
      <c r="A2" s="23"/>
      <c r="B2" s="258" t="s">
        <v>42</v>
      </c>
      <c r="C2" s="83" t="s">
        <v>43</v>
      </c>
      <c r="D2" s="24" t="s">
        <v>44</v>
      </c>
      <c r="E2" s="24" t="s">
        <v>45</v>
      </c>
      <c r="F2" s="24" t="s">
        <v>46</v>
      </c>
      <c r="G2" s="24" t="s">
        <v>47</v>
      </c>
      <c r="H2" s="24" t="s">
        <v>48</v>
      </c>
      <c r="I2" s="24" t="s">
        <v>49</v>
      </c>
      <c r="J2" s="24" t="s">
        <v>50</v>
      </c>
      <c r="K2" s="24" t="s">
        <v>85</v>
      </c>
      <c r="L2" s="344"/>
      <c r="M2" s="397" t="s">
        <v>51</v>
      </c>
      <c r="N2" s="398"/>
      <c r="O2" s="398"/>
      <c r="P2" s="399"/>
      <c r="Q2" s="397" t="s">
        <v>52</v>
      </c>
      <c r="R2" s="398"/>
      <c r="S2" s="398"/>
      <c r="T2" s="398"/>
      <c r="U2" s="399"/>
      <c r="V2" s="397" t="s">
        <v>53</v>
      </c>
      <c r="W2" s="398"/>
      <c r="X2" s="399"/>
      <c r="Y2" s="223" t="s">
        <v>54</v>
      </c>
      <c r="Z2" s="25" t="s">
        <v>55</v>
      </c>
      <c r="AA2" s="223" t="s">
        <v>56</v>
      </c>
      <c r="AB2" s="397" t="s">
        <v>57</v>
      </c>
      <c r="AC2" s="399"/>
      <c r="AD2" s="397" t="s">
        <v>58</v>
      </c>
      <c r="AE2" s="399"/>
      <c r="AF2" s="397" t="s">
        <v>59</v>
      </c>
      <c r="AG2" s="398"/>
      <c r="AH2" s="398"/>
      <c r="AI2" s="398"/>
      <c r="AJ2" s="398"/>
      <c r="AK2" s="398"/>
      <c r="AL2" s="398"/>
      <c r="AM2" s="398"/>
      <c r="AN2" s="398"/>
      <c r="AO2" s="398"/>
      <c r="AP2" s="399"/>
      <c r="AQ2" s="397" t="s">
        <v>60</v>
      </c>
      <c r="AR2" s="398"/>
      <c r="AS2" s="399"/>
      <c r="AT2" s="397" t="s">
        <v>61</v>
      </c>
      <c r="AU2" s="398"/>
      <c r="AV2" s="398"/>
      <c r="AW2" s="399"/>
      <c r="AX2" s="397" t="s">
        <v>62</v>
      </c>
      <c r="AY2" s="398"/>
      <c r="AZ2" s="398"/>
      <c r="BA2" s="409"/>
      <c r="BB2" s="399"/>
      <c r="BC2" s="223" t="s">
        <v>63</v>
      </c>
      <c r="BD2" s="223" t="s">
        <v>64</v>
      </c>
      <c r="BE2" s="397" t="s">
        <v>65</v>
      </c>
      <c r="BF2" s="398"/>
      <c r="BG2" s="399"/>
      <c r="BH2" s="397" t="s">
        <v>66</v>
      </c>
      <c r="BI2" s="399"/>
      <c r="BJ2" s="397" t="s">
        <v>67</v>
      </c>
      <c r="BK2" s="398"/>
      <c r="BL2" s="399"/>
      <c r="BM2" s="401"/>
      <c r="BN2" s="402"/>
    </row>
    <row r="3" spans="1:66" s="36" customFormat="1" ht="50.1" customHeight="1" x14ac:dyDescent="0.45">
      <c r="A3" s="35"/>
      <c r="B3" s="412" t="s">
        <v>137</v>
      </c>
      <c r="C3" s="413"/>
      <c r="D3" s="414"/>
      <c r="E3" s="414"/>
      <c r="F3" s="414"/>
      <c r="G3" s="414"/>
      <c r="H3" s="414"/>
      <c r="I3" s="414"/>
      <c r="J3" s="414"/>
      <c r="K3" s="415"/>
      <c r="L3" s="313"/>
      <c r="M3" s="395" t="s">
        <v>87</v>
      </c>
      <c r="N3" s="400"/>
      <c r="O3" s="400"/>
      <c r="P3" s="396"/>
      <c r="Q3" s="395" t="s">
        <v>88</v>
      </c>
      <c r="R3" s="400"/>
      <c r="S3" s="400"/>
      <c r="T3" s="400"/>
      <c r="U3" s="396"/>
      <c r="V3" s="395" t="s">
        <v>89</v>
      </c>
      <c r="W3" s="420"/>
      <c r="X3" s="396"/>
      <c r="Y3" s="224" t="s">
        <v>25</v>
      </c>
      <c r="Z3" s="16"/>
      <c r="AA3" s="224" t="s">
        <v>25</v>
      </c>
      <c r="AB3" s="395" t="s">
        <v>90</v>
      </c>
      <c r="AC3" s="396"/>
      <c r="AD3" s="395" t="s">
        <v>25</v>
      </c>
      <c r="AE3" s="396"/>
      <c r="AF3" s="395" t="s">
        <v>25</v>
      </c>
      <c r="AG3" s="400"/>
      <c r="AH3" s="400"/>
      <c r="AI3" s="400"/>
      <c r="AJ3" s="400"/>
      <c r="AK3" s="400"/>
      <c r="AL3" s="400"/>
      <c r="AM3" s="400"/>
      <c r="AN3" s="400"/>
      <c r="AO3" s="400"/>
      <c r="AP3" s="396"/>
      <c r="AQ3" s="395" t="s">
        <v>25</v>
      </c>
      <c r="AR3" s="400"/>
      <c r="AS3" s="396"/>
      <c r="AT3" s="395" t="s">
        <v>25</v>
      </c>
      <c r="AU3" s="400"/>
      <c r="AV3" s="400"/>
      <c r="AW3" s="396"/>
      <c r="AX3" s="395" t="s">
        <v>25</v>
      </c>
      <c r="AY3" s="400"/>
      <c r="AZ3" s="400"/>
      <c r="BA3" s="403"/>
      <c r="BB3" s="396"/>
      <c r="BC3" s="224"/>
      <c r="BD3" s="250"/>
      <c r="BE3" s="395" t="s">
        <v>25</v>
      </c>
      <c r="BF3" s="400"/>
      <c r="BG3" s="396"/>
      <c r="BH3" s="395" t="s">
        <v>25</v>
      </c>
      <c r="BI3" s="396"/>
      <c r="BJ3" s="395" t="s">
        <v>112</v>
      </c>
      <c r="BK3" s="400"/>
      <c r="BL3" s="396"/>
      <c r="BM3" s="395"/>
      <c r="BN3" s="396"/>
    </row>
    <row r="4" spans="1:66" s="22" customFormat="1" ht="15" customHeight="1" x14ac:dyDescent="0.45">
      <c r="A4" s="28"/>
      <c r="B4" s="416" t="s">
        <v>142</v>
      </c>
      <c r="C4" s="417"/>
      <c r="D4" s="418"/>
      <c r="E4" s="418"/>
      <c r="F4" s="418"/>
      <c r="G4" s="418"/>
      <c r="H4" s="418"/>
      <c r="I4" s="418"/>
      <c r="J4" s="418"/>
      <c r="K4" s="419"/>
      <c r="L4" s="312"/>
      <c r="M4" s="248"/>
      <c r="N4" s="241"/>
      <c r="O4" s="235"/>
      <c r="P4" s="29"/>
      <c r="Q4" s="405"/>
      <c r="R4" s="405"/>
      <c r="S4" s="405"/>
      <c r="T4" s="405"/>
      <c r="U4" s="406"/>
      <c r="V4" s="395"/>
      <c r="W4" s="400"/>
      <c r="X4" s="396"/>
      <c r="Y4" s="225"/>
      <c r="Z4" s="30"/>
      <c r="AA4" s="283"/>
      <c r="AB4" s="236"/>
      <c r="AC4" s="31"/>
      <c r="AD4" s="395"/>
      <c r="AE4" s="396"/>
      <c r="AF4" s="236"/>
      <c r="AG4" s="260"/>
      <c r="AH4" s="27"/>
      <c r="AI4" s="52"/>
      <c r="AJ4" s="27"/>
      <c r="AK4" s="27"/>
      <c r="AL4" s="52"/>
      <c r="AM4" s="27"/>
      <c r="AN4" s="27"/>
      <c r="AO4" s="52"/>
      <c r="AP4" s="27"/>
      <c r="AQ4" s="395"/>
      <c r="AR4" s="400"/>
      <c r="AS4" s="396"/>
      <c r="AT4" s="395"/>
      <c r="AU4" s="400"/>
      <c r="AV4" s="400"/>
      <c r="AW4" s="396"/>
      <c r="AX4" s="246"/>
      <c r="AY4" s="33"/>
      <c r="AZ4" s="33"/>
      <c r="BA4" s="257"/>
      <c r="BB4" s="31"/>
      <c r="BC4" s="255"/>
      <c r="BD4" s="251"/>
      <c r="BE4" s="395"/>
      <c r="BF4" s="400"/>
      <c r="BG4" s="396"/>
      <c r="BH4" s="395"/>
      <c r="BI4" s="396"/>
      <c r="BJ4" s="32"/>
      <c r="BK4" s="27"/>
      <c r="BL4" s="34"/>
      <c r="BM4" s="395"/>
      <c r="BN4" s="396"/>
    </row>
    <row r="5" spans="1:66" s="41" customFormat="1" ht="62.1" customHeight="1" x14ac:dyDescent="0.35">
      <c r="A5" s="37" t="s">
        <v>79</v>
      </c>
      <c r="B5" s="38" t="s">
        <v>35</v>
      </c>
      <c r="C5" s="302" t="s">
        <v>101</v>
      </c>
      <c r="D5" s="39" t="s">
        <v>33</v>
      </c>
      <c r="E5" s="47" t="s">
        <v>138</v>
      </c>
      <c r="F5" s="39" t="s">
        <v>40</v>
      </c>
      <c r="G5" s="39" t="s">
        <v>39</v>
      </c>
      <c r="H5" s="39" t="s">
        <v>133</v>
      </c>
      <c r="I5" s="39" t="s">
        <v>134</v>
      </c>
      <c r="J5" s="410" t="s">
        <v>135</v>
      </c>
      <c r="K5" s="411"/>
      <c r="L5" s="345"/>
      <c r="M5" s="384" t="s">
        <v>103</v>
      </c>
      <c r="N5" s="386"/>
      <c r="O5" s="386"/>
      <c r="P5" s="385"/>
      <c r="Q5" s="384" t="s">
        <v>104</v>
      </c>
      <c r="R5" s="386"/>
      <c r="S5" s="386"/>
      <c r="T5" s="386"/>
      <c r="U5" s="385"/>
      <c r="V5" s="389" t="s">
        <v>81</v>
      </c>
      <c r="W5" s="421"/>
      <c r="X5" s="390"/>
      <c r="Y5" s="226" t="s">
        <v>105</v>
      </c>
      <c r="Z5" s="40" t="s">
        <v>127</v>
      </c>
      <c r="AA5" s="226" t="s">
        <v>106</v>
      </c>
      <c r="AB5" s="389" t="s">
        <v>91</v>
      </c>
      <c r="AC5" s="390"/>
      <c r="AD5" s="384" t="s">
        <v>107</v>
      </c>
      <c r="AE5" s="385"/>
      <c r="AF5" s="384" t="s">
        <v>121</v>
      </c>
      <c r="AG5" s="386"/>
      <c r="AH5" s="386"/>
      <c r="AI5" s="386"/>
      <c r="AJ5" s="386"/>
      <c r="AK5" s="386"/>
      <c r="AL5" s="386"/>
      <c r="AM5" s="386"/>
      <c r="AN5" s="386"/>
      <c r="AO5" s="386"/>
      <c r="AP5" s="385"/>
      <c r="AQ5" s="384" t="s">
        <v>108</v>
      </c>
      <c r="AR5" s="386"/>
      <c r="AS5" s="385"/>
      <c r="AT5" s="389" t="s">
        <v>86</v>
      </c>
      <c r="AU5" s="391"/>
      <c r="AV5" s="391"/>
      <c r="AW5" s="390"/>
      <c r="AX5" s="384" t="s">
        <v>110</v>
      </c>
      <c r="AY5" s="386"/>
      <c r="AZ5" s="386"/>
      <c r="BA5" s="387"/>
      <c r="BB5" s="385"/>
      <c r="BC5" s="226" t="s">
        <v>125</v>
      </c>
      <c r="BD5" s="226" t="s">
        <v>98</v>
      </c>
      <c r="BE5" s="384" t="s">
        <v>111</v>
      </c>
      <c r="BF5" s="386"/>
      <c r="BG5" s="385"/>
      <c r="BH5" s="384" t="s">
        <v>139</v>
      </c>
      <c r="BI5" s="385"/>
      <c r="BJ5" s="388" t="s">
        <v>124</v>
      </c>
      <c r="BK5" s="388"/>
      <c r="BL5" s="388"/>
      <c r="BM5" s="389" t="s">
        <v>23</v>
      </c>
      <c r="BN5" s="390"/>
    </row>
    <row r="6" spans="1:66" s="46" customFormat="1" ht="50.1" customHeight="1" thickBot="1" x14ac:dyDescent="0.4">
      <c r="A6" s="42"/>
      <c r="B6" s="209" t="s">
        <v>132</v>
      </c>
      <c r="C6" s="84"/>
      <c r="D6" s="44"/>
      <c r="E6" s="44"/>
      <c r="F6" s="43" t="s">
        <v>102</v>
      </c>
      <c r="G6" s="44"/>
      <c r="H6" s="43" t="s">
        <v>136</v>
      </c>
      <c r="I6" s="44"/>
      <c r="J6" s="43" t="s">
        <v>131</v>
      </c>
      <c r="K6" s="44" t="s">
        <v>31</v>
      </c>
      <c r="L6" s="44" t="s">
        <v>176</v>
      </c>
      <c r="M6" s="43" t="s">
        <v>130</v>
      </c>
      <c r="N6" s="164" t="s">
        <v>129</v>
      </c>
      <c r="O6" s="43" t="s">
        <v>92</v>
      </c>
      <c r="P6" s="43" t="s">
        <v>31</v>
      </c>
      <c r="Q6" s="209" t="s">
        <v>113</v>
      </c>
      <c r="R6" s="43" t="s">
        <v>93</v>
      </c>
      <c r="S6" s="43" t="s">
        <v>94</v>
      </c>
      <c r="T6" s="43" t="s">
        <v>140</v>
      </c>
      <c r="U6" s="43" t="s">
        <v>31</v>
      </c>
      <c r="V6" s="43" t="s">
        <v>128</v>
      </c>
      <c r="W6" s="45" t="s">
        <v>141</v>
      </c>
      <c r="X6" s="44" t="s">
        <v>31</v>
      </c>
      <c r="Y6" s="227" t="s">
        <v>99</v>
      </c>
      <c r="Z6" s="43" t="s">
        <v>100</v>
      </c>
      <c r="AA6" s="252" t="s">
        <v>99</v>
      </c>
      <c r="AB6" s="43" t="s">
        <v>113</v>
      </c>
      <c r="AC6" s="44" t="s">
        <v>31</v>
      </c>
      <c r="AD6" s="43" t="s">
        <v>114</v>
      </c>
      <c r="AE6" s="44" t="s">
        <v>31</v>
      </c>
      <c r="AF6" s="43" t="s">
        <v>10</v>
      </c>
      <c r="AG6" s="261" t="s">
        <v>126</v>
      </c>
      <c r="AH6" s="422" t="s">
        <v>118</v>
      </c>
      <c r="AI6" s="423"/>
      <c r="AJ6" s="424"/>
      <c r="AK6" s="422" t="s">
        <v>119</v>
      </c>
      <c r="AL6" s="423"/>
      <c r="AM6" s="424"/>
      <c r="AN6" s="422" t="s">
        <v>120</v>
      </c>
      <c r="AO6" s="423"/>
      <c r="AP6" s="424"/>
      <c r="AQ6" s="43" t="s">
        <v>115</v>
      </c>
      <c r="AR6" s="43" t="s">
        <v>116</v>
      </c>
      <c r="AS6" s="44" t="s">
        <v>31</v>
      </c>
      <c r="AT6" s="45" t="s">
        <v>117</v>
      </c>
      <c r="AU6" s="84" t="s">
        <v>93</v>
      </c>
      <c r="AV6" s="43" t="s">
        <v>109</v>
      </c>
      <c r="AW6" s="44" t="s">
        <v>31</v>
      </c>
      <c r="AX6" s="44" t="s">
        <v>95</v>
      </c>
      <c r="AY6" s="43" t="s">
        <v>96</v>
      </c>
      <c r="AZ6" s="44" t="s">
        <v>97</v>
      </c>
      <c r="BA6" s="252" t="s">
        <v>99</v>
      </c>
      <c r="BB6" s="43" t="s">
        <v>31</v>
      </c>
      <c r="BC6" s="252" t="s">
        <v>99</v>
      </c>
      <c r="BD6" s="252" t="s">
        <v>100</v>
      </c>
      <c r="BE6" s="261" t="s">
        <v>113</v>
      </c>
      <c r="BF6" s="266" t="s">
        <v>93</v>
      </c>
      <c r="BG6" s="44" t="s">
        <v>31</v>
      </c>
      <c r="BH6" s="209" t="s">
        <v>113</v>
      </c>
      <c r="BI6" s="84" t="s">
        <v>31</v>
      </c>
      <c r="BJ6" s="43" t="s">
        <v>115</v>
      </c>
      <c r="BK6" s="43" t="s">
        <v>122</v>
      </c>
      <c r="BL6" s="44" t="s">
        <v>31</v>
      </c>
      <c r="BM6" s="48" t="s">
        <v>123</v>
      </c>
      <c r="BN6" s="51" t="s">
        <v>31</v>
      </c>
    </row>
    <row r="7" spans="1:66" s="176" customFormat="1" x14ac:dyDescent="0.45">
      <c r="A7" s="12">
        <v>1</v>
      </c>
      <c r="B7" s="150">
        <f>Saisie!B7</f>
        <v>0</v>
      </c>
      <c r="C7" s="150">
        <f>Saisie!C7</f>
        <v>0</v>
      </c>
      <c r="D7" s="150">
        <f>Saisie!D7</f>
        <v>0</v>
      </c>
      <c r="E7" s="150">
        <f>Saisie!E7</f>
        <v>0</v>
      </c>
      <c r="F7" s="150">
        <f>Saisie!F7</f>
        <v>0</v>
      </c>
      <c r="G7" s="150">
        <f>Saisie!G7</f>
        <v>0</v>
      </c>
      <c r="H7" s="150">
        <f>Saisie!I7</f>
        <v>0</v>
      </c>
      <c r="I7" s="150">
        <f>Saisie!J7</f>
        <v>0</v>
      </c>
      <c r="J7" s="150" t="str">
        <f>Saisie!K7</f>
        <v>PRESTATIONS</v>
      </c>
      <c r="K7" s="150">
        <f>Saisie!L7</f>
        <v>0</v>
      </c>
      <c r="L7" s="150" t="e">
        <f>Saisie!#REF!</f>
        <v>#REF!</v>
      </c>
      <c r="M7" s="55" t="e">
        <f t="array" ref="M7">_xlfn.IFS(Saisie!M7="OUI",1,Saisie!M7="NON",0)</f>
        <v>#N/A</v>
      </c>
      <c r="N7" s="64" t="e">
        <f>Saisie!#REF!</f>
        <v>#REF!</v>
      </c>
      <c r="O7" s="63" t="e">
        <f>Saisie!#REF!</f>
        <v>#REF!</v>
      </c>
      <c r="P7" s="63">
        <f>Saisie!N7</f>
        <v>0</v>
      </c>
      <c r="Q7" s="63" t="e">
        <f t="array" ref="Q7">_xlfn.IFS(Saisie!#REF!="OUI",1,Saisie!#REF!="NON",0)</f>
        <v>#REF!</v>
      </c>
      <c r="R7" s="63" t="e">
        <f>Saisie!#REF!</f>
        <v>#REF!</v>
      </c>
      <c r="S7" s="65" t="e">
        <f>Saisie!#REF!</f>
        <v>#REF!</v>
      </c>
      <c r="T7" s="63" t="e">
        <f>Saisie!#REF!</f>
        <v>#REF!</v>
      </c>
      <c r="U7" s="63" t="e">
        <f>Saisie!#REF!</f>
        <v>#REF!</v>
      </c>
      <c r="V7" s="63" t="e">
        <f t="array" ref="V7">_xlfn.IFS(Saisie!#REF!="OUI",1,Saisie!#REF!="NON",0)</f>
        <v>#REF!</v>
      </c>
      <c r="W7" s="63" t="e">
        <f t="array" ref="W7">_xlfn.IFS(Saisie!O7="OUI",1,Saisie!O7="NON",0)</f>
        <v>#N/A</v>
      </c>
      <c r="X7" s="63">
        <f>Saisie!P7</f>
        <v>0</v>
      </c>
      <c r="Y7" s="228">
        <f>Saisie!H7</f>
        <v>0</v>
      </c>
      <c r="Z7" s="58" t="e">
        <f>Saisie!#REF!</f>
        <v>#REF!</v>
      </c>
      <c r="AA7" s="230">
        <f>Saisie!Q7</f>
        <v>0</v>
      </c>
      <c r="AB7" s="63" t="e">
        <f t="array" ref="AB7">_xlfn.IFS(Saisie!R7="OUI",1,Saisie!R7="NON",0)</f>
        <v>#N/A</v>
      </c>
      <c r="AC7" s="63">
        <f>Saisie!S7</f>
        <v>0</v>
      </c>
      <c r="AD7" s="63" t="e">
        <f t="array" ref="AD7">_xlfn.IFS(Saisie!T7="OUI",1,Saisie!T7="NON",0)</f>
        <v>#N/A</v>
      </c>
      <c r="AE7" s="171">
        <f>Saisie!U7</f>
        <v>0</v>
      </c>
      <c r="AF7" s="189">
        <v>3</v>
      </c>
      <c r="AG7" s="129">
        <f>Saisie!W7</f>
        <v>0</v>
      </c>
      <c r="AH7" s="20">
        <f>Saisie!X7</f>
        <v>0</v>
      </c>
      <c r="AI7" s="21">
        <f>Saisie!Y7</f>
        <v>0</v>
      </c>
      <c r="AJ7" s="59">
        <f>Saisie!Z7</f>
        <v>0</v>
      </c>
      <c r="AK7" s="20">
        <f>Saisie!AA7</f>
        <v>0</v>
      </c>
      <c r="AL7" s="21">
        <f>Saisie!AB7</f>
        <v>0</v>
      </c>
      <c r="AM7" s="59">
        <f>Saisie!AC7</f>
        <v>0</v>
      </c>
      <c r="AN7" s="20">
        <f>Saisie!AD7</f>
        <v>0</v>
      </c>
      <c r="AO7" s="21">
        <f>Saisie!AE7</f>
        <v>0</v>
      </c>
      <c r="AP7" s="59">
        <f>Saisie!AF7</f>
        <v>0</v>
      </c>
      <c r="AQ7" s="129" t="e">
        <f t="array" ref="AQ7">_xlfn.IFS(Saisie!AG7="OUI",1,Saisie!AG7="NON",0)</f>
        <v>#N/A</v>
      </c>
      <c r="AR7" s="129" t="e">
        <f t="array" ref="AR7">_xlfn.IFS(Saisie!AH7="OUI",1,Saisie!AH7="NON",0)</f>
        <v>#N/A</v>
      </c>
      <c r="AS7" s="171">
        <f>Saisie!AI7</f>
        <v>0</v>
      </c>
      <c r="AT7" s="263" t="e">
        <f t="array" ref="AT7">_xlfn.IFS(Saisie!AJ7="OUI",1,Saisie!AJ7="NON",0)</f>
        <v>#N/A</v>
      </c>
      <c r="AU7" s="173">
        <f>Saisie!AK7</f>
        <v>0</v>
      </c>
      <c r="AV7" s="263" t="e">
        <f t="array" ref="AV7">_xlfn.IFS(Saisie!AL7="OUI",1,Saisie!AL7="NON",0)</f>
        <v>#N/A</v>
      </c>
      <c r="AW7" s="171">
        <f>Saisie!AM7</f>
        <v>0</v>
      </c>
      <c r="AX7" s="68">
        <f>Saisie!AN7</f>
        <v>0</v>
      </c>
      <c r="AY7" s="20">
        <f>Saisie!AO7</f>
        <v>0</v>
      </c>
      <c r="AZ7" s="21">
        <f>Saisie!AP7</f>
        <v>0</v>
      </c>
      <c r="BA7" s="286">
        <f>Saisie!AQ7</f>
        <v>0</v>
      </c>
      <c r="BB7" s="170">
        <f>Saisie!AR7</f>
        <v>0</v>
      </c>
      <c r="BC7" s="174">
        <f>Saisie!AS7</f>
        <v>0</v>
      </c>
      <c r="BD7" s="61">
        <f>Saisie!AT7</f>
        <v>0</v>
      </c>
      <c r="BE7" s="175" t="e">
        <f t="array" ref="BE7">_xlfn.IFS(Saisie!AU7="OUI",1,Saisie!AU7="NON",0)</f>
        <v>#N/A</v>
      </c>
      <c r="BF7" s="267">
        <f>Saisie!AV7</f>
        <v>0</v>
      </c>
      <c r="BG7" s="55">
        <f>Saisie!AW7</f>
        <v>0</v>
      </c>
      <c r="BH7" s="55" t="e">
        <f t="array" ref="BH7">_xlfn.IFS(Saisie!AX7="OUI",1,Saisie!AX7="NON",0)</f>
        <v>#N/A</v>
      </c>
      <c r="BI7" s="62">
        <f>Saisie!AY7</f>
        <v>0</v>
      </c>
      <c r="BJ7" s="55" t="e">
        <f t="array" ref="BJ7">_xlfn.IFS(Saisie!AZ7="OUI",1,Saisie!AZ7="NON",0)</f>
        <v>#N/A</v>
      </c>
      <c r="BK7" s="55" t="e">
        <f t="array" ref="BK7">_xlfn.IFS(Saisie!BA7="OUI",1,Saisie!BA7="NON",0)</f>
        <v>#N/A</v>
      </c>
      <c r="BL7" s="55">
        <f>Saisie!BB7</f>
        <v>0</v>
      </c>
      <c r="BM7" s="49" t="e">
        <f>Saisie!BC7</f>
        <v>#REF!</v>
      </c>
      <c r="BN7" s="175"/>
    </row>
    <row r="8" spans="1:66" s="176" customFormat="1" x14ac:dyDescent="0.45">
      <c r="A8" s="13">
        <v>2</v>
      </c>
      <c r="B8" s="150">
        <f>Saisie!B8</f>
        <v>0</v>
      </c>
      <c r="C8" s="150">
        <f>Saisie!C8</f>
        <v>0</v>
      </c>
      <c r="D8" s="150">
        <f>Saisie!D8</f>
        <v>0</v>
      </c>
      <c r="E8" s="150">
        <f>Saisie!E8</f>
        <v>0</v>
      </c>
      <c r="F8" s="150">
        <f>Saisie!F8</f>
        <v>0</v>
      </c>
      <c r="G8" s="150">
        <f>Saisie!G8</f>
        <v>0</v>
      </c>
      <c r="H8" s="150">
        <f>Saisie!I8</f>
        <v>0</v>
      </c>
      <c r="I8" s="150">
        <f>Saisie!J8</f>
        <v>0</v>
      </c>
      <c r="J8" s="150">
        <f>Saisie!K8</f>
        <v>0</v>
      </c>
      <c r="K8" s="150">
        <f>Saisie!L8</f>
        <v>0</v>
      </c>
      <c r="L8" s="150" t="e">
        <f>Saisie!#REF!</f>
        <v>#REF!</v>
      </c>
      <c r="M8" s="55" t="e">
        <f t="array" ref="M8">_xlfn.IFS(Saisie!M8="OUI",1,Saisie!M8="NON",0)</f>
        <v>#N/A</v>
      </c>
      <c r="N8" s="64" t="e">
        <f>Saisie!#REF!</f>
        <v>#REF!</v>
      </c>
      <c r="O8" s="63" t="e">
        <f>Saisie!#REF!</f>
        <v>#REF!</v>
      </c>
      <c r="P8" s="63">
        <f>Saisie!N8</f>
        <v>0</v>
      </c>
      <c r="Q8" s="63" t="e">
        <f t="array" ref="Q8">_xlfn.IFS(Saisie!#REF!="OUI",1,Saisie!#REF!="NON",0)</f>
        <v>#REF!</v>
      </c>
      <c r="R8" s="63" t="e">
        <f>Saisie!#REF!</f>
        <v>#REF!</v>
      </c>
      <c r="S8" s="65" t="e">
        <f>Saisie!#REF!</f>
        <v>#REF!</v>
      </c>
      <c r="T8" s="63" t="e">
        <f>Saisie!#REF!</f>
        <v>#REF!</v>
      </c>
      <c r="U8" s="63" t="e">
        <f>Saisie!#REF!</f>
        <v>#REF!</v>
      </c>
      <c r="V8" s="63" t="e">
        <f t="array" ref="V8">_xlfn.IFS(Saisie!#REF!="OUI",1,Saisie!#REF!="NON",0)</f>
        <v>#REF!</v>
      </c>
      <c r="W8" s="63" t="e">
        <f t="array" ref="W8">_xlfn.IFS(Saisie!O8="OUI",1,Saisie!O8="NON",0)</f>
        <v>#N/A</v>
      </c>
      <c r="X8" s="63">
        <f>Saisie!P8</f>
        <v>0</v>
      </c>
      <c r="Y8" s="299">
        <f>Saisie!H8</f>
        <v>0</v>
      </c>
      <c r="Z8" s="58" t="e">
        <f>Saisie!#REF!</f>
        <v>#REF!</v>
      </c>
      <c r="AA8" s="299">
        <f>Saisie!Q8</f>
        <v>0</v>
      </c>
      <c r="AB8" s="63" t="e">
        <f t="array" ref="AB8">_xlfn.IFS(Saisie!R8="OUI",1,Saisie!R8="NON",0)</f>
        <v>#N/A</v>
      </c>
      <c r="AC8" s="63">
        <f>Saisie!S8</f>
        <v>0</v>
      </c>
      <c r="AD8" s="63" t="e">
        <f t="array" ref="AD8">_xlfn.IFS(Saisie!T8="OUI",1,Saisie!T8="NON",0)</f>
        <v>#N/A</v>
      </c>
      <c r="AE8" s="171">
        <f>Saisie!U8</f>
        <v>0</v>
      </c>
      <c r="AF8" s="263">
        <v>3</v>
      </c>
      <c r="AG8" s="129">
        <f>Saisie!W8</f>
        <v>0</v>
      </c>
      <c r="AH8" s="20">
        <f>Saisie!X8</f>
        <v>0</v>
      </c>
      <c r="AI8" s="21">
        <f>Saisie!Y8</f>
        <v>0</v>
      </c>
      <c r="AJ8" s="59">
        <f>Saisie!Z8</f>
        <v>0</v>
      </c>
      <c r="AK8" s="20">
        <f>Saisie!AA8</f>
        <v>0</v>
      </c>
      <c r="AL8" s="21">
        <f>Saisie!AB8</f>
        <v>0</v>
      </c>
      <c r="AM8" s="59">
        <f>Saisie!AC8</f>
        <v>0</v>
      </c>
      <c r="AN8" s="20">
        <f>Saisie!AD8</f>
        <v>0</v>
      </c>
      <c r="AO8" s="21">
        <f>Saisie!AE8</f>
        <v>0</v>
      </c>
      <c r="AP8" s="59">
        <f>Saisie!AF8</f>
        <v>0</v>
      </c>
      <c r="AQ8" s="129" t="e">
        <f t="array" ref="AQ8">_xlfn.IFS(Saisie!AG8="OUI",1,Saisie!AG8="NON",0)</f>
        <v>#N/A</v>
      </c>
      <c r="AR8" s="129" t="e">
        <f t="array" ref="AR8">_xlfn.IFS(Saisie!AH8="OUI",1,Saisie!AH8="NON",0)</f>
        <v>#N/A</v>
      </c>
      <c r="AS8" s="171">
        <f>Saisie!AI8</f>
        <v>0</v>
      </c>
      <c r="AT8" s="263" t="e">
        <f t="array" ref="AT8">_xlfn.IFS(Saisie!AJ8="OUI",1,Saisie!AJ8="NON",0)</f>
        <v>#N/A</v>
      </c>
      <c r="AU8" s="173">
        <f>Saisie!AK8</f>
        <v>0</v>
      </c>
      <c r="AV8" s="263" t="e">
        <f t="array" ref="AV8">_xlfn.IFS(Saisie!AL8="OUI",1,Saisie!AL8="NON",0)</f>
        <v>#N/A</v>
      </c>
      <c r="AW8" s="171">
        <f>Saisie!AM8</f>
        <v>0</v>
      </c>
      <c r="AX8" s="68">
        <f>Saisie!AN8</f>
        <v>0</v>
      </c>
      <c r="AY8" s="20">
        <f>Saisie!AO8</f>
        <v>0</v>
      </c>
      <c r="AZ8" s="21">
        <f>Saisie!AP8</f>
        <v>0</v>
      </c>
      <c r="BA8" s="298">
        <f>Saisie!AQ8</f>
        <v>0</v>
      </c>
      <c r="BB8" s="170">
        <f>Saisie!AR8</f>
        <v>0</v>
      </c>
      <c r="BC8" s="174">
        <f>Saisie!AS8</f>
        <v>0</v>
      </c>
      <c r="BD8" s="61">
        <f>Saisie!AT8</f>
        <v>0</v>
      </c>
      <c r="BE8" s="175" t="e">
        <f t="array" ref="BE8">_xlfn.IFS(Saisie!AU8="OUI",1,Saisie!AU8="NON",0)</f>
        <v>#N/A</v>
      </c>
      <c r="BF8" s="267">
        <f>Saisie!AV8</f>
        <v>0</v>
      </c>
      <c r="BG8" s="55">
        <f>Saisie!AW8</f>
        <v>0</v>
      </c>
      <c r="BH8" s="55" t="e">
        <f t="array" ref="BH8">_xlfn.IFS(Saisie!AX8="OUI",1,Saisie!AX8="NON",0)</f>
        <v>#N/A</v>
      </c>
      <c r="BI8" s="62">
        <f>Saisie!AY8</f>
        <v>0</v>
      </c>
      <c r="BJ8" s="55" t="e">
        <f t="array" ref="BJ8">_xlfn.IFS(Saisie!AZ8="OUI",1,Saisie!AZ8="NON",0)</f>
        <v>#N/A</v>
      </c>
      <c r="BK8" s="55" t="e">
        <f t="array" ref="BK8">_xlfn.IFS(Saisie!BA8="OUI",1,Saisie!BA8="NON",0)</f>
        <v>#N/A</v>
      </c>
      <c r="BL8" s="55">
        <f>Saisie!BB8</f>
        <v>0</v>
      </c>
      <c r="BM8" s="49" t="e">
        <f>Saisie!BC8</f>
        <v>#REF!</v>
      </c>
      <c r="BN8" s="175"/>
    </row>
    <row r="9" spans="1:66" s="176" customFormat="1" x14ac:dyDescent="0.45">
      <c r="A9" s="13">
        <v>3</v>
      </c>
      <c r="B9" s="150">
        <f>Saisie!B9</f>
        <v>0</v>
      </c>
      <c r="C9" s="150">
        <f>Saisie!C9</f>
        <v>0</v>
      </c>
      <c r="D9" s="150">
        <f>Saisie!D9</f>
        <v>0</v>
      </c>
      <c r="E9" s="150">
        <f>Saisie!E9</f>
        <v>0</v>
      </c>
      <c r="F9" s="150">
        <f>Saisie!F9</f>
        <v>0</v>
      </c>
      <c r="G9" s="150">
        <f>Saisie!G9</f>
        <v>0</v>
      </c>
      <c r="H9" s="150">
        <f>Saisie!I9</f>
        <v>0</v>
      </c>
      <c r="I9" s="150">
        <f>Saisie!J9</f>
        <v>0</v>
      </c>
      <c r="J9" s="150">
        <f>Saisie!K9</f>
        <v>0</v>
      </c>
      <c r="K9" s="150">
        <f>Saisie!L9</f>
        <v>0</v>
      </c>
      <c r="L9" s="150" t="e">
        <f>Saisie!#REF!</f>
        <v>#REF!</v>
      </c>
      <c r="M9" s="55" t="e">
        <f t="array" ref="M9">_xlfn.IFS(Saisie!M9="OUI",1,Saisie!M9="NON",0)</f>
        <v>#N/A</v>
      </c>
      <c r="N9" s="64" t="e">
        <f>Saisie!#REF!</f>
        <v>#REF!</v>
      </c>
      <c r="O9" s="63" t="e">
        <f>Saisie!#REF!</f>
        <v>#REF!</v>
      </c>
      <c r="P9" s="63">
        <f>Saisie!N9</f>
        <v>0</v>
      </c>
      <c r="Q9" s="63" t="e">
        <f t="array" ref="Q9">_xlfn.IFS(Saisie!#REF!="OUI",1,Saisie!#REF!="NON",0)</f>
        <v>#REF!</v>
      </c>
      <c r="R9" s="63" t="e">
        <f>Saisie!#REF!</f>
        <v>#REF!</v>
      </c>
      <c r="S9" s="65" t="e">
        <f>Saisie!#REF!</f>
        <v>#REF!</v>
      </c>
      <c r="T9" s="63" t="e">
        <f>Saisie!#REF!</f>
        <v>#REF!</v>
      </c>
      <c r="U9" s="63" t="e">
        <f>Saisie!#REF!</f>
        <v>#REF!</v>
      </c>
      <c r="V9" s="63" t="e">
        <f t="array" ref="V9">_xlfn.IFS(Saisie!#REF!="OUI",1,Saisie!#REF!="NON",0)</f>
        <v>#REF!</v>
      </c>
      <c r="W9" s="63" t="e">
        <f t="array" ref="W9">_xlfn.IFS(Saisie!O9="OUI",1,Saisie!O9="NON",0)</f>
        <v>#N/A</v>
      </c>
      <c r="X9" s="63">
        <f>Saisie!P9</f>
        <v>0</v>
      </c>
      <c r="Y9" s="299">
        <f>Saisie!H9</f>
        <v>0</v>
      </c>
      <c r="Z9" s="58" t="e">
        <f>Saisie!#REF!</f>
        <v>#REF!</v>
      </c>
      <c r="AA9" s="299">
        <f>Saisie!Q9</f>
        <v>0</v>
      </c>
      <c r="AB9" s="63" t="e">
        <f t="array" ref="AB9">_xlfn.IFS(Saisie!R9="OUI",1,Saisie!R9="NON",0)</f>
        <v>#N/A</v>
      </c>
      <c r="AC9" s="63">
        <f>Saisie!S9</f>
        <v>0</v>
      </c>
      <c r="AD9" s="63" t="e">
        <f t="array" ref="AD9">_xlfn.IFS(Saisie!T9="OUI",1,Saisie!T9="NON",0)</f>
        <v>#N/A</v>
      </c>
      <c r="AE9" s="171">
        <f>Saisie!U9</f>
        <v>0</v>
      </c>
      <c r="AF9" s="263">
        <v>3</v>
      </c>
      <c r="AG9" s="129">
        <f>Saisie!W9</f>
        <v>0</v>
      </c>
      <c r="AH9" s="20">
        <f>Saisie!X9</f>
        <v>0</v>
      </c>
      <c r="AI9" s="21">
        <f>Saisie!Y9</f>
        <v>0</v>
      </c>
      <c r="AJ9" s="59">
        <f>Saisie!Z9</f>
        <v>0</v>
      </c>
      <c r="AK9" s="20">
        <f>Saisie!AA9</f>
        <v>0</v>
      </c>
      <c r="AL9" s="21">
        <f>Saisie!AB9</f>
        <v>0</v>
      </c>
      <c r="AM9" s="59">
        <f>Saisie!AC9</f>
        <v>0</v>
      </c>
      <c r="AN9" s="20">
        <f>Saisie!AD9</f>
        <v>0</v>
      </c>
      <c r="AO9" s="21">
        <f>Saisie!AE9</f>
        <v>0</v>
      </c>
      <c r="AP9" s="59">
        <f>Saisie!AF9</f>
        <v>0</v>
      </c>
      <c r="AQ9" s="129" t="e">
        <f t="array" ref="AQ9">_xlfn.IFS(Saisie!AG9="OUI",1,Saisie!AG9="NON",0)</f>
        <v>#N/A</v>
      </c>
      <c r="AR9" s="129" t="e">
        <f t="array" ref="AR9">_xlfn.IFS(Saisie!AH9="OUI",1,Saisie!AH9="NON",0)</f>
        <v>#N/A</v>
      </c>
      <c r="AS9" s="171">
        <f>Saisie!AI9</f>
        <v>0</v>
      </c>
      <c r="AT9" s="263" t="e">
        <f t="array" ref="AT9">_xlfn.IFS(Saisie!AJ9="OUI",1,Saisie!AJ9="NON",0)</f>
        <v>#N/A</v>
      </c>
      <c r="AU9" s="173">
        <f>Saisie!AK9</f>
        <v>0</v>
      </c>
      <c r="AV9" s="263" t="e">
        <f t="array" ref="AV9">_xlfn.IFS(Saisie!AL9="OUI",1,Saisie!AL9="NON",0)</f>
        <v>#N/A</v>
      </c>
      <c r="AW9" s="171">
        <f>Saisie!AM9</f>
        <v>0</v>
      </c>
      <c r="AX9" s="68">
        <f>Saisie!AN9</f>
        <v>0</v>
      </c>
      <c r="AY9" s="20">
        <f>Saisie!AO9</f>
        <v>0</v>
      </c>
      <c r="AZ9" s="21">
        <f>Saisie!AP9</f>
        <v>0</v>
      </c>
      <c r="BA9" s="298">
        <f>Saisie!AQ9</f>
        <v>0</v>
      </c>
      <c r="BB9" s="170">
        <f>Saisie!AR9</f>
        <v>0</v>
      </c>
      <c r="BC9" s="174">
        <f>Saisie!AS9</f>
        <v>0</v>
      </c>
      <c r="BD9" s="61">
        <f>Saisie!AT9</f>
        <v>0</v>
      </c>
      <c r="BE9" s="175" t="e">
        <f t="array" ref="BE9">_xlfn.IFS(Saisie!AU9="OUI",1,Saisie!AU9="NON",0)</f>
        <v>#N/A</v>
      </c>
      <c r="BF9" s="267">
        <f>Saisie!AV9</f>
        <v>0</v>
      </c>
      <c r="BG9" s="55">
        <f>Saisie!AW9</f>
        <v>0</v>
      </c>
      <c r="BH9" s="55" t="e">
        <f t="array" ref="BH9">_xlfn.IFS(Saisie!AX9="OUI",1,Saisie!AX9="NON",0)</f>
        <v>#N/A</v>
      </c>
      <c r="BI9" s="62">
        <f>Saisie!AY9</f>
        <v>0</v>
      </c>
      <c r="BJ9" s="55" t="e">
        <f t="array" ref="BJ9">_xlfn.IFS(Saisie!AZ9="OUI",1,Saisie!AZ9="NON",0)</f>
        <v>#N/A</v>
      </c>
      <c r="BK9" s="55" t="e">
        <f t="array" ref="BK9">_xlfn.IFS(Saisie!BA9="OUI",1,Saisie!BA9="NON",0)</f>
        <v>#N/A</v>
      </c>
      <c r="BL9" s="55">
        <f>Saisie!BB9</f>
        <v>0</v>
      </c>
      <c r="BM9" s="49" t="e">
        <f>Saisie!BC9</f>
        <v>#REF!</v>
      </c>
      <c r="BN9" s="175"/>
    </row>
    <row r="10" spans="1:66" s="176" customFormat="1" x14ac:dyDescent="0.45">
      <c r="A10" s="12">
        <v>4</v>
      </c>
      <c r="B10" s="150">
        <f>Saisie!B10</f>
        <v>0</v>
      </c>
      <c r="C10" s="150">
        <f>Saisie!C10</f>
        <v>0</v>
      </c>
      <c r="D10" s="150">
        <f>Saisie!D10</f>
        <v>0</v>
      </c>
      <c r="E10" s="150">
        <f>Saisie!E10</f>
        <v>0</v>
      </c>
      <c r="F10" s="150">
        <f>Saisie!F10</f>
        <v>0</v>
      </c>
      <c r="G10" s="150">
        <f>Saisie!G10</f>
        <v>0</v>
      </c>
      <c r="H10" s="150">
        <f>Saisie!I10</f>
        <v>0</v>
      </c>
      <c r="I10" s="150">
        <f>Saisie!J10</f>
        <v>0</v>
      </c>
      <c r="J10" s="150">
        <f>Saisie!K10</f>
        <v>0</v>
      </c>
      <c r="K10" s="150">
        <f>Saisie!L10</f>
        <v>0</v>
      </c>
      <c r="L10" s="150" t="e">
        <f>Saisie!#REF!</f>
        <v>#REF!</v>
      </c>
      <c r="M10" s="55" t="e">
        <f t="array" ref="M10">_xlfn.IFS(Saisie!M10="OUI",1,Saisie!M10="NON",0)</f>
        <v>#N/A</v>
      </c>
      <c r="N10" s="64" t="e">
        <f>Saisie!#REF!</f>
        <v>#REF!</v>
      </c>
      <c r="O10" s="63" t="e">
        <f>Saisie!#REF!</f>
        <v>#REF!</v>
      </c>
      <c r="P10" s="63">
        <f>Saisie!N10</f>
        <v>0</v>
      </c>
      <c r="Q10" s="63" t="e">
        <f t="array" ref="Q10">_xlfn.IFS(Saisie!#REF!="OUI",1,Saisie!#REF!="NON",0)</f>
        <v>#REF!</v>
      </c>
      <c r="R10" s="63" t="e">
        <f>Saisie!#REF!</f>
        <v>#REF!</v>
      </c>
      <c r="S10" s="65" t="e">
        <f>Saisie!#REF!</f>
        <v>#REF!</v>
      </c>
      <c r="T10" s="63" t="e">
        <f>Saisie!#REF!</f>
        <v>#REF!</v>
      </c>
      <c r="U10" s="63" t="e">
        <f>Saisie!#REF!</f>
        <v>#REF!</v>
      </c>
      <c r="V10" s="63" t="e">
        <f t="array" ref="V10">_xlfn.IFS(Saisie!#REF!="OUI",1,Saisie!#REF!="NON",0)</f>
        <v>#REF!</v>
      </c>
      <c r="W10" s="63" t="e">
        <f t="array" ref="W10">_xlfn.IFS(Saisie!O10="OUI",1,Saisie!O10="NON",0)</f>
        <v>#N/A</v>
      </c>
      <c r="X10" s="63">
        <f>Saisie!P10</f>
        <v>0</v>
      </c>
      <c r="Y10" s="299">
        <f>Saisie!H10</f>
        <v>0</v>
      </c>
      <c r="Z10" s="58" t="e">
        <f>Saisie!#REF!</f>
        <v>#REF!</v>
      </c>
      <c r="AA10" s="299">
        <f>Saisie!Q10</f>
        <v>0</v>
      </c>
      <c r="AB10" s="63" t="e">
        <f t="array" ref="AB10">_xlfn.IFS(Saisie!R10="OUI",1,Saisie!R10="NON",0)</f>
        <v>#N/A</v>
      </c>
      <c r="AC10" s="63">
        <f>Saisie!S10</f>
        <v>0</v>
      </c>
      <c r="AD10" s="63" t="e">
        <f t="array" ref="AD10">_xlfn.IFS(Saisie!T10="OUI",1,Saisie!T10="NON",0)</f>
        <v>#N/A</v>
      </c>
      <c r="AE10" s="171">
        <f>Saisie!U10</f>
        <v>0</v>
      </c>
      <c r="AF10" s="263">
        <v>3</v>
      </c>
      <c r="AG10" s="129">
        <f>Saisie!W10</f>
        <v>0</v>
      </c>
      <c r="AH10" s="20">
        <f>Saisie!X10</f>
        <v>0</v>
      </c>
      <c r="AI10" s="21">
        <f>Saisie!Y10</f>
        <v>0</v>
      </c>
      <c r="AJ10" s="59">
        <f>Saisie!Z10</f>
        <v>0</v>
      </c>
      <c r="AK10" s="20">
        <f>Saisie!AA10</f>
        <v>0</v>
      </c>
      <c r="AL10" s="21">
        <f>Saisie!AB10</f>
        <v>0</v>
      </c>
      <c r="AM10" s="59">
        <f>Saisie!AC10</f>
        <v>0</v>
      </c>
      <c r="AN10" s="20">
        <f>Saisie!AD10</f>
        <v>0</v>
      </c>
      <c r="AO10" s="21">
        <f>Saisie!AE10</f>
        <v>0</v>
      </c>
      <c r="AP10" s="59">
        <f>Saisie!AF10</f>
        <v>0</v>
      </c>
      <c r="AQ10" s="129" t="e">
        <f t="array" ref="AQ10">_xlfn.IFS(Saisie!AG10="OUI",1,Saisie!AG10="NON",0)</f>
        <v>#N/A</v>
      </c>
      <c r="AR10" s="129" t="e">
        <f t="array" ref="AR10">_xlfn.IFS(Saisie!AH10="OUI",1,Saisie!AH10="NON",0)</f>
        <v>#N/A</v>
      </c>
      <c r="AS10" s="171">
        <f>Saisie!AI10</f>
        <v>0</v>
      </c>
      <c r="AT10" s="263" t="e">
        <f t="array" ref="AT10">_xlfn.IFS(Saisie!AJ10="OUI",1,Saisie!AJ10="NON",0)</f>
        <v>#N/A</v>
      </c>
      <c r="AU10" s="173">
        <f>Saisie!AK10</f>
        <v>0</v>
      </c>
      <c r="AV10" s="263" t="e">
        <f t="array" ref="AV10">_xlfn.IFS(Saisie!AL10="OUI",1,Saisie!AL10="NON",0)</f>
        <v>#N/A</v>
      </c>
      <c r="AW10" s="171">
        <f>Saisie!AM10</f>
        <v>0</v>
      </c>
      <c r="AX10" s="68">
        <f>Saisie!AN10</f>
        <v>0</v>
      </c>
      <c r="AY10" s="20">
        <f>Saisie!AO10</f>
        <v>0</v>
      </c>
      <c r="AZ10" s="21">
        <f>Saisie!AP10</f>
        <v>0</v>
      </c>
      <c r="BA10" s="298">
        <f>Saisie!AQ10</f>
        <v>0</v>
      </c>
      <c r="BB10" s="170">
        <f>Saisie!AR10</f>
        <v>0</v>
      </c>
      <c r="BC10" s="174">
        <f>Saisie!AS10</f>
        <v>0</v>
      </c>
      <c r="BD10" s="61">
        <f>Saisie!AT10</f>
        <v>0</v>
      </c>
      <c r="BE10" s="175" t="e">
        <f t="array" ref="BE10">_xlfn.IFS(Saisie!AU10="OUI",1,Saisie!AU10="NON",0)</f>
        <v>#N/A</v>
      </c>
      <c r="BF10" s="267">
        <f>Saisie!AV10</f>
        <v>0</v>
      </c>
      <c r="BG10" s="55">
        <f>Saisie!AW10</f>
        <v>0</v>
      </c>
      <c r="BH10" s="55" t="e">
        <f t="array" ref="BH10">_xlfn.IFS(Saisie!AX10="OUI",1,Saisie!AX10="NON",0)</f>
        <v>#N/A</v>
      </c>
      <c r="BI10" s="62">
        <f>Saisie!AY10</f>
        <v>0</v>
      </c>
      <c r="BJ10" s="55" t="e">
        <f t="array" ref="BJ10">_xlfn.IFS(Saisie!AZ10="OUI",1,Saisie!AZ10="NON",0)</f>
        <v>#N/A</v>
      </c>
      <c r="BK10" s="55" t="e">
        <f t="array" ref="BK10">_xlfn.IFS(Saisie!BA10="OUI",1,Saisie!BA10="NON",0)</f>
        <v>#N/A</v>
      </c>
      <c r="BL10" s="55">
        <f>Saisie!BB10</f>
        <v>0</v>
      </c>
      <c r="BM10" s="49" t="e">
        <f>Saisie!BC10</f>
        <v>#REF!</v>
      </c>
      <c r="BN10" s="175"/>
    </row>
    <row r="11" spans="1:66" s="176" customFormat="1" x14ac:dyDescent="0.45">
      <c r="A11" s="13">
        <v>5</v>
      </c>
      <c r="B11" s="150">
        <f>Saisie!B11</f>
        <v>0</v>
      </c>
      <c r="C11" s="150">
        <f>Saisie!C11</f>
        <v>0</v>
      </c>
      <c r="D11" s="150">
        <f>Saisie!D11</f>
        <v>0</v>
      </c>
      <c r="E11" s="150">
        <f>Saisie!E11</f>
        <v>0</v>
      </c>
      <c r="F11" s="150">
        <f>Saisie!F11</f>
        <v>0</v>
      </c>
      <c r="G11" s="150">
        <f>Saisie!G11</f>
        <v>0</v>
      </c>
      <c r="H11" s="150">
        <f>Saisie!I11</f>
        <v>0</v>
      </c>
      <c r="I11" s="150">
        <f>Saisie!J11</f>
        <v>0</v>
      </c>
      <c r="J11" s="150">
        <f>Saisie!K11</f>
        <v>0</v>
      </c>
      <c r="K11" s="150">
        <f>Saisie!L11</f>
        <v>0</v>
      </c>
      <c r="L11" s="150" t="e">
        <f>Saisie!#REF!</f>
        <v>#REF!</v>
      </c>
      <c r="M11" s="55" t="e">
        <f t="array" ref="M11">_xlfn.IFS(Saisie!M11="OUI",1,Saisie!M11="NON",0)</f>
        <v>#N/A</v>
      </c>
      <c r="N11" s="64" t="e">
        <f>Saisie!#REF!</f>
        <v>#REF!</v>
      </c>
      <c r="O11" s="63" t="e">
        <f>Saisie!#REF!</f>
        <v>#REF!</v>
      </c>
      <c r="P11" s="63">
        <f>Saisie!N11</f>
        <v>0</v>
      </c>
      <c r="Q11" s="63" t="e">
        <f t="array" ref="Q11">_xlfn.IFS(Saisie!#REF!="OUI",1,Saisie!#REF!="NON",0)</f>
        <v>#REF!</v>
      </c>
      <c r="R11" s="63" t="e">
        <f>Saisie!#REF!</f>
        <v>#REF!</v>
      </c>
      <c r="S11" s="65" t="e">
        <f>Saisie!#REF!</f>
        <v>#REF!</v>
      </c>
      <c r="T11" s="63" t="e">
        <f>Saisie!#REF!</f>
        <v>#REF!</v>
      </c>
      <c r="U11" s="63" t="e">
        <f>Saisie!#REF!</f>
        <v>#REF!</v>
      </c>
      <c r="V11" s="63" t="e">
        <f t="array" ref="V11">_xlfn.IFS(Saisie!#REF!="OUI",1,Saisie!#REF!="NON",0)</f>
        <v>#REF!</v>
      </c>
      <c r="W11" s="63" t="e">
        <f t="array" ref="W11">_xlfn.IFS(Saisie!O11="OUI",1,Saisie!O11="NON",0)</f>
        <v>#N/A</v>
      </c>
      <c r="X11" s="63">
        <f>Saisie!P11</f>
        <v>0</v>
      </c>
      <c r="Y11" s="299">
        <f>Saisie!H11</f>
        <v>0</v>
      </c>
      <c r="Z11" s="58" t="e">
        <f>Saisie!#REF!</f>
        <v>#REF!</v>
      </c>
      <c r="AA11" s="299">
        <f>Saisie!Q11</f>
        <v>0</v>
      </c>
      <c r="AB11" s="63" t="e">
        <f t="array" ref="AB11">_xlfn.IFS(Saisie!R11="OUI",1,Saisie!R11="NON",0)</f>
        <v>#N/A</v>
      </c>
      <c r="AC11" s="63">
        <f>Saisie!S11</f>
        <v>0</v>
      </c>
      <c r="AD11" s="63" t="e">
        <f t="array" ref="AD11">_xlfn.IFS(Saisie!T11="OUI",1,Saisie!T11="NON",0)</f>
        <v>#N/A</v>
      </c>
      <c r="AE11" s="171">
        <f>Saisie!U11</f>
        <v>0</v>
      </c>
      <c r="AF11" s="263">
        <v>3</v>
      </c>
      <c r="AG11" s="129">
        <f>Saisie!W11</f>
        <v>0</v>
      </c>
      <c r="AH11" s="20">
        <f>Saisie!X11</f>
        <v>0</v>
      </c>
      <c r="AI11" s="21">
        <f>Saisie!Y11</f>
        <v>0</v>
      </c>
      <c r="AJ11" s="59">
        <f>Saisie!Z11</f>
        <v>0</v>
      </c>
      <c r="AK11" s="20">
        <f>Saisie!AA11</f>
        <v>0</v>
      </c>
      <c r="AL11" s="21">
        <f>Saisie!AB11</f>
        <v>0</v>
      </c>
      <c r="AM11" s="59">
        <f>Saisie!AC11</f>
        <v>0</v>
      </c>
      <c r="AN11" s="20">
        <f>Saisie!AD11</f>
        <v>0</v>
      </c>
      <c r="AO11" s="21">
        <f>Saisie!AE11</f>
        <v>0</v>
      </c>
      <c r="AP11" s="59">
        <f>Saisie!AF11</f>
        <v>0</v>
      </c>
      <c r="AQ11" s="129" t="e">
        <f t="array" ref="AQ11">_xlfn.IFS(Saisie!AG11="OUI",1,Saisie!AG11="NON",0)</f>
        <v>#N/A</v>
      </c>
      <c r="AR11" s="129" t="e">
        <f t="array" ref="AR11">_xlfn.IFS(Saisie!AH11="OUI",1,Saisie!AH11="NON",0)</f>
        <v>#N/A</v>
      </c>
      <c r="AS11" s="171">
        <f>Saisie!AI11</f>
        <v>0</v>
      </c>
      <c r="AT11" s="263" t="e">
        <f t="array" ref="AT11">_xlfn.IFS(Saisie!AJ11="OUI",1,Saisie!AJ11="NON",0)</f>
        <v>#N/A</v>
      </c>
      <c r="AU11" s="173">
        <f>Saisie!AK11</f>
        <v>0</v>
      </c>
      <c r="AV11" s="263" t="e">
        <f t="array" ref="AV11">_xlfn.IFS(Saisie!AL11="OUI",1,Saisie!AL11="NON",0)</f>
        <v>#N/A</v>
      </c>
      <c r="AW11" s="171">
        <f>Saisie!AM11</f>
        <v>0</v>
      </c>
      <c r="AX11" s="68">
        <f>Saisie!AN11</f>
        <v>0</v>
      </c>
      <c r="AY11" s="20">
        <f>Saisie!AO11</f>
        <v>0</v>
      </c>
      <c r="AZ11" s="21">
        <f>Saisie!AP11</f>
        <v>0</v>
      </c>
      <c r="BA11" s="298">
        <f>Saisie!AQ11</f>
        <v>0</v>
      </c>
      <c r="BB11" s="170">
        <f>Saisie!AR11</f>
        <v>0</v>
      </c>
      <c r="BC11" s="174">
        <f>Saisie!AS11</f>
        <v>0</v>
      </c>
      <c r="BD11" s="61">
        <f>Saisie!AT11</f>
        <v>0</v>
      </c>
      <c r="BE11" s="175" t="e">
        <f t="array" ref="BE11">_xlfn.IFS(Saisie!AU11="OUI",1,Saisie!AU11="NON",0)</f>
        <v>#N/A</v>
      </c>
      <c r="BF11" s="267">
        <f>Saisie!AV11</f>
        <v>0</v>
      </c>
      <c r="BG11" s="55">
        <f>Saisie!AW11</f>
        <v>0</v>
      </c>
      <c r="BH11" s="55" t="e">
        <f t="array" ref="BH11">_xlfn.IFS(Saisie!AX11="OUI",1,Saisie!AX11="NON",0)</f>
        <v>#N/A</v>
      </c>
      <c r="BI11" s="62">
        <f>Saisie!AY11</f>
        <v>0</v>
      </c>
      <c r="BJ11" s="55" t="e">
        <f t="array" ref="BJ11">_xlfn.IFS(Saisie!AZ11="OUI",1,Saisie!AZ11="NON",0)</f>
        <v>#N/A</v>
      </c>
      <c r="BK11" s="55" t="e">
        <f t="array" ref="BK11">_xlfn.IFS(Saisie!BA11="OUI",1,Saisie!BA11="NON",0)</f>
        <v>#N/A</v>
      </c>
      <c r="BL11" s="55">
        <f>Saisie!BB11</f>
        <v>0</v>
      </c>
      <c r="BM11" s="49" t="e">
        <f>Saisie!BC11</f>
        <v>#REF!</v>
      </c>
      <c r="BN11" s="175"/>
    </row>
    <row r="12" spans="1:66" s="176" customFormat="1" x14ac:dyDescent="0.45">
      <c r="A12" s="13">
        <v>6</v>
      </c>
      <c r="B12" s="150">
        <f>Saisie!B12</f>
        <v>0</v>
      </c>
      <c r="C12" s="150">
        <f>Saisie!C12</f>
        <v>0</v>
      </c>
      <c r="D12" s="150">
        <f>Saisie!D12</f>
        <v>0</v>
      </c>
      <c r="E12" s="150">
        <f>Saisie!E12</f>
        <v>0</v>
      </c>
      <c r="F12" s="150">
        <f>Saisie!F12</f>
        <v>0</v>
      </c>
      <c r="G12" s="150">
        <f>Saisie!G12</f>
        <v>0</v>
      </c>
      <c r="H12" s="150">
        <f>Saisie!I12</f>
        <v>0</v>
      </c>
      <c r="I12" s="150">
        <f>Saisie!J12</f>
        <v>0</v>
      </c>
      <c r="J12" s="150">
        <f>Saisie!K12</f>
        <v>0</v>
      </c>
      <c r="K12" s="150">
        <f>Saisie!L12</f>
        <v>0</v>
      </c>
      <c r="L12" s="150" t="e">
        <f>Saisie!#REF!</f>
        <v>#REF!</v>
      </c>
      <c r="M12" s="55" t="e">
        <f t="array" ref="M12">_xlfn.IFS(Saisie!M12="OUI",1,Saisie!M12="NON",0)</f>
        <v>#N/A</v>
      </c>
      <c r="N12" s="64" t="e">
        <f>Saisie!#REF!</f>
        <v>#REF!</v>
      </c>
      <c r="O12" s="63" t="e">
        <f>Saisie!#REF!</f>
        <v>#REF!</v>
      </c>
      <c r="P12" s="63">
        <f>Saisie!N12</f>
        <v>0</v>
      </c>
      <c r="Q12" s="63" t="e">
        <f t="array" ref="Q12">_xlfn.IFS(Saisie!#REF!="OUI",1,Saisie!#REF!="NON",0)</f>
        <v>#REF!</v>
      </c>
      <c r="R12" s="63" t="e">
        <f>Saisie!#REF!</f>
        <v>#REF!</v>
      </c>
      <c r="S12" s="65" t="e">
        <f>Saisie!#REF!</f>
        <v>#REF!</v>
      </c>
      <c r="T12" s="63" t="e">
        <f>Saisie!#REF!</f>
        <v>#REF!</v>
      </c>
      <c r="U12" s="63" t="e">
        <f>Saisie!#REF!</f>
        <v>#REF!</v>
      </c>
      <c r="V12" s="63" t="e">
        <f t="array" ref="V12">_xlfn.IFS(Saisie!#REF!="OUI",1,Saisie!#REF!="NON",0)</f>
        <v>#REF!</v>
      </c>
      <c r="W12" s="63" t="e">
        <f t="array" ref="W12">_xlfn.IFS(Saisie!O12="OUI",1,Saisie!O12="NON",0)</f>
        <v>#N/A</v>
      </c>
      <c r="X12" s="63">
        <f>Saisie!P12</f>
        <v>0</v>
      </c>
      <c r="Y12" s="299">
        <f>Saisie!H12</f>
        <v>0</v>
      </c>
      <c r="Z12" s="58" t="e">
        <f>Saisie!#REF!</f>
        <v>#REF!</v>
      </c>
      <c r="AA12" s="299">
        <f>Saisie!Q12</f>
        <v>0</v>
      </c>
      <c r="AB12" s="63" t="e">
        <f t="array" ref="AB12">_xlfn.IFS(Saisie!R12="OUI",1,Saisie!R12="NON",0)</f>
        <v>#N/A</v>
      </c>
      <c r="AC12" s="63">
        <f>Saisie!S12</f>
        <v>0</v>
      </c>
      <c r="AD12" s="63" t="e">
        <f t="array" ref="AD12">_xlfn.IFS(Saisie!T12="OUI",1,Saisie!T12="NON",0)</f>
        <v>#N/A</v>
      </c>
      <c r="AE12" s="171">
        <f>Saisie!U12</f>
        <v>0</v>
      </c>
      <c r="AF12" s="263">
        <v>3</v>
      </c>
      <c r="AG12" s="129">
        <f>Saisie!W12</f>
        <v>0</v>
      </c>
      <c r="AH12" s="20">
        <f>Saisie!X12</f>
        <v>0</v>
      </c>
      <c r="AI12" s="21">
        <f>Saisie!Y12</f>
        <v>0</v>
      </c>
      <c r="AJ12" s="59">
        <f>Saisie!Z12</f>
        <v>0</v>
      </c>
      <c r="AK12" s="20">
        <f>Saisie!AA12</f>
        <v>0</v>
      </c>
      <c r="AL12" s="21">
        <f>Saisie!AB12</f>
        <v>0</v>
      </c>
      <c r="AM12" s="59">
        <f>Saisie!AC12</f>
        <v>0</v>
      </c>
      <c r="AN12" s="20">
        <f>Saisie!AD12</f>
        <v>0</v>
      </c>
      <c r="AO12" s="21">
        <f>Saisie!AE12</f>
        <v>0</v>
      </c>
      <c r="AP12" s="59">
        <f>Saisie!AF12</f>
        <v>0</v>
      </c>
      <c r="AQ12" s="129" t="e">
        <f t="array" ref="AQ12">_xlfn.IFS(Saisie!AG12="OUI",1,Saisie!AG12="NON",0)</f>
        <v>#N/A</v>
      </c>
      <c r="AR12" s="129" t="e">
        <f t="array" ref="AR12">_xlfn.IFS(Saisie!AH12="OUI",1,Saisie!AH12="NON",0)</f>
        <v>#N/A</v>
      </c>
      <c r="AS12" s="171">
        <f>Saisie!AI12</f>
        <v>0</v>
      </c>
      <c r="AT12" s="263" t="e">
        <f t="array" ref="AT12">_xlfn.IFS(Saisie!AJ12="OUI",1,Saisie!AJ12="NON",0)</f>
        <v>#N/A</v>
      </c>
      <c r="AU12" s="173">
        <f>Saisie!AK12</f>
        <v>0</v>
      </c>
      <c r="AV12" s="263" t="e">
        <f t="array" ref="AV12">_xlfn.IFS(Saisie!AL12="OUI",1,Saisie!AL12="NON",0)</f>
        <v>#N/A</v>
      </c>
      <c r="AW12" s="171">
        <f>Saisie!AM12</f>
        <v>0</v>
      </c>
      <c r="AX12" s="68">
        <f>Saisie!AN12</f>
        <v>0</v>
      </c>
      <c r="AY12" s="20">
        <f>Saisie!AO12</f>
        <v>0</v>
      </c>
      <c r="AZ12" s="21">
        <f>Saisie!AP12</f>
        <v>0</v>
      </c>
      <c r="BA12" s="298">
        <f>Saisie!AQ12</f>
        <v>0</v>
      </c>
      <c r="BB12" s="170">
        <f>Saisie!AR12</f>
        <v>0</v>
      </c>
      <c r="BC12" s="174">
        <f>Saisie!AS12</f>
        <v>0</v>
      </c>
      <c r="BD12" s="61">
        <f>Saisie!AT12</f>
        <v>0</v>
      </c>
      <c r="BE12" s="175" t="e">
        <f t="array" ref="BE12">_xlfn.IFS(Saisie!AU12="OUI",1,Saisie!AU12="NON",0)</f>
        <v>#N/A</v>
      </c>
      <c r="BF12" s="267">
        <f>Saisie!AV12</f>
        <v>0</v>
      </c>
      <c r="BG12" s="55">
        <f>Saisie!AW12</f>
        <v>0</v>
      </c>
      <c r="BH12" s="55" t="e">
        <f t="array" ref="BH12">_xlfn.IFS(Saisie!AX12="OUI",1,Saisie!AX12="NON",0)</f>
        <v>#N/A</v>
      </c>
      <c r="BI12" s="62">
        <f>Saisie!AY12</f>
        <v>0</v>
      </c>
      <c r="BJ12" s="55" t="e">
        <f t="array" ref="BJ12">_xlfn.IFS(Saisie!AZ12="OUI",1,Saisie!AZ12="NON",0)</f>
        <v>#N/A</v>
      </c>
      <c r="BK12" s="55" t="e">
        <f t="array" ref="BK12">_xlfn.IFS(Saisie!BA12="OUI",1,Saisie!BA12="NON",0)</f>
        <v>#N/A</v>
      </c>
      <c r="BL12" s="55">
        <f>Saisie!BB12</f>
        <v>0</v>
      </c>
      <c r="BM12" s="49" t="e">
        <f>Saisie!BC12</f>
        <v>#REF!</v>
      </c>
      <c r="BN12" s="175"/>
    </row>
    <row r="13" spans="1:66" s="176" customFormat="1" x14ac:dyDescent="0.45">
      <c r="A13" s="12">
        <v>7</v>
      </c>
      <c r="B13" s="150">
        <f>Saisie!B13</f>
        <v>0</v>
      </c>
      <c r="C13" s="150">
        <f>Saisie!C13</f>
        <v>0</v>
      </c>
      <c r="D13" s="150">
        <f>Saisie!D13</f>
        <v>0</v>
      </c>
      <c r="E13" s="150">
        <f>Saisie!E13</f>
        <v>0</v>
      </c>
      <c r="F13" s="150">
        <f>Saisie!F13</f>
        <v>0</v>
      </c>
      <c r="G13" s="150">
        <f>Saisie!G13</f>
        <v>0</v>
      </c>
      <c r="H13" s="150">
        <f>Saisie!I13</f>
        <v>0</v>
      </c>
      <c r="I13" s="150">
        <f>Saisie!J13</f>
        <v>0</v>
      </c>
      <c r="J13" s="150">
        <f>Saisie!K13</f>
        <v>0</v>
      </c>
      <c r="K13" s="150">
        <f>Saisie!L13</f>
        <v>0</v>
      </c>
      <c r="L13" s="150" t="e">
        <f>Saisie!#REF!</f>
        <v>#REF!</v>
      </c>
      <c r="M13" s="55" t="e">
        <f t="array" ref="M13">_xlfn.IFS(Saisie!M13="OUI",1,Saisie!M13="NON",0)</f>
        <v>#N/A</v>
      </c>
      <c r="N13" s="64" t="e">
        <f>Saisie!#REF!</f>
        <v>#REF!</v>
      </c>
      <c r="O13" s="63" t="e">
        <f>Saisie!#REF!</f>
        <v>#REF!</v>
      </c>
      <c r="P13" s="63">
        <f>Saisie!N13</f>
        <v>0</v>
      </c>
      <c r="Q13" s="63" t="e">
        <f t="array" ref="Q13">_xlfn.IFS(Saisie!#REF!="OUI",1,Saisie!#REF!="NON",0)</f>
        <v>#REF!</v>
      </c>
      <c r="R13" s="63" t="e">
        <f>Saisie!#REF!</f>
        <v>#REF!</v>
      </c>
      <c r="S13" s="65" t="e">
        <f>Saisie!#REF!</f>
        <v>#REF!</v>
      </c>
      <c r="T13" s="63" t="e">
        <f>Saisie!#REF!</f>
        <v>#REF!</v>
      </c>
      <c r="U13" s="63" t="e">
        <f>Saisie!#REF!</f>
        <v>#REF!</v>
      </c>
      <c r="V13" s="63" t="e">
        <f t="array" ref="V13">_xlfn.IFS(Saisie!#REF!="OUI",1,Saisie!#REF!="NON",0)</f>
        <v>#REF!</v>
      </c>
      <c r="W13" s="63" t="e">
        <f t="array" ref="W13">_xlfn.IFS(Saisie!O13="OUI",1,Saisie!O13="NON",0)</f>
        <v>#N/A</v>
      </c>
      <c r="X13" s="63">
        <f>Saisie!P13</f>
        <v>0</v>
      </c>
      <c r="Y13" s="299">
        <f>Saisie!H13</f>
        <v>0</v>
      </c>
      <c r="Z13" s="58" t="e">
        <f>Saisie!#REF!</f>
        <v>#REF!</v>
      </c>
      <c r="AA13" s="299">
        <f>Saisie!Q13</f>
        <v>0</v>
      </c>
      <c r="AB13" s="63" t="e">
        <f t="array" ref="AB13">_xlfn.IFS(Saisie!R13="OUI",1,Saisie!R13="NON",0)</f>
        <v>#N/A</v>
      </c>
      <c r="AC13" s="63">
        <f>Saisie!S13</f>
        <v>0</v>
      </c>
      <c r="AD13" s="63" t="e">
        <f t="array" ref="AD13">_xlfn.IFS(Saisie!T13="OUI",1,Saisie!T13="NON",0)</f>
        <v>#N/A</v>
      </c>
      <c r="AE13" s="171">
        <f>Saisie!U13</f>
        <v>0</v>
      </c>
      <c r="AF13" s="263">
        <v>3</v>
      </c>
      <c r="AG13" s="129">
        <f>Saisie!W13</f>
        <v>0</v>
      </c>
      <c r="AH13" s="20">
        <f>Saisie!X13</f>
        <v>0</v>
      </c>
      <c r="AI13" s="21">
        <f>Saisie!Y13</f>
        <v>0</v>
      </c>
      <c r="AJ13" s="59">
        <f>Saisie!Z13</f>
        <v>0</v>
      </c>
      <c r="AK13" s="20">
        <f>Saisie!AA13</f>
        <v>0</v>
      </c>
      <c r="AL13" s="21">
        <f>Saisie!AB13</f>
        <v>0</v>
      </c>
      <c r="AM13" s="59">
        <f>Saisie!AC13</f>
        <v>0</v>
      </c>
      <c r="AN13" s="20">
        <f>Saisie!AD13</f>
        <v>0</v>
      </c>
      <c r="AO13" s="21">
        <f>Saisie!AE13</f>
        <v>0</v>
      </c>
      <c r="AP13" s="59">
        <f>Saisie!AF13</f>
        <v>0</v>
      </c>
      <c r="AQ13" s="129" t="e">
        <f t="array" ref="AQ13">_xlfn.IFS(Saisie!AG13="OUI",1,Saisie!AG13="NON",0)</f>
        <v>#N/A</v>
      </c>
      <c r="AR13" s="129" t="e">
        <f t="array" ref="AR13">_xlfn.IFS(Saisie!AH13="OUI",1,Saisie!AH13="NON",0)</f>
        <v>#N/A</v>
      </c>
      <c r="AS13" s="171">
        <f>Saisie!AI13</f>
        <v>0</v>
      </c>
      <c r="AT13" s="263" t="e">
        <f t="array" ref="AT13">_xlfn.IFS(Saisie!AJ13="OUI",1,Saisie!AJ13="NON",0)</f>
        <v>#N/A</v>
      </c>
      <c r="AU13" s="173">
        <f>Saisie!AK13</f>
        <v>0</v>
      </c>
      <c r="AV13" s="263" t="e">
        <f t="array" ref="AV13">_xlfn.IFS(Saisie!AL13="OUI",1,Saisie!AL13="NON",0)</f>
        <v>#N/A</v>
      </c>
      <c r="AW13" s="171">
        <f>Saisie!AM13</f>
        <v>0</v>
      </c>
      <c r="AX13" s="68">
        <f>Saisie!AN13</f>
        <v>0</v>
      </c>
      <c r="AY13" s="20">
        <f>Saisie!AO13</f>
        <v>0</v>
      </c>
      <c r="AZ13" s="21">
        <f>Saisie!AP13</f>
        <v>0</v>
      </c>
      <c r="BA13" s="298">
        <f>Saisie!AQ13</f>
        <v>0</v>
      </c>
      <c r="BB13" s="170">
        <f>Saisie!AR13</f>
        <v>0</v>
      </c>
      <c r="BC13" s="174">
        <f>Saisie!AS13</f>
        <v>0</v>
      </c>
      <c r="BD13" s="61">
        <f>Saisie!AT13</f>
        <v>0</v>
      </c>
      <c r="BE13" s="175" t="e">
        <f t="array" ref="BE13">_xlfn.IFS(Saisie!AU13="OUI",1,Saisie!AU13="NON",0)</f>
        <v>#N/A</v>
      </c>
      <c r="BF13" s="267">
        <f>Saisie!AV13</f>
        <v>0</v>
      </c>
      <c r="BG13" s="55">
        <f>Saisie!AW13</f>
        <v>0</v>
      </c>
      <c r="BH13" s="55" t="e">
        <f t="array" ref="BH13">_xlfn.IFS(Saisie!AX13="OUI",1,Saisie!AX13="NON",0)</f>
        <v>#N/A</v>
      </c>
      <c r="BI13" s="62">
        <f>Saisie!AY13</f>
        <v>0</v>
      </c>
      <c r="BJ13" s="55" t="e">
        <f t="array" ref="BJ13">_xlfn.IFS(Saisie!AZ13="OUI",1,Saisie!AZ13="NON",0)</f>
        <v>#N/A</v>
      </c>
      <c r="BK13" s="55" t="e">
        <f t="array" ref="BK13">_xlfn.IFS(Saisie!BA13="OUI",1,Saisie!BA13="NON",0)</f>
        <v>#N/A</v>
      </c>
      <c r="BL13" s="55">
        <f>Saisie!BB13</f>
        <v>0</v>
      </c>
      <c r="BM13" s="49" t="e">
        <f>Saisie!BC13</f>
        <v>#REF!</v>
      </c>
      <c r="BN13" s="175"/>
    </row>
    <row r="14" spans="1:66" s="176" customFormat="1" x14ac:dyDescent="0.45">
      <c r="A14" s="13">
        <v>8</v>
      </c>
      <c r="B14" s="150">
        <f>Saisie!B14</f>
        <v>0</v>
      </c>
      <c r="C14" s="150">
        <f>Saisie!C14</f>
        <v>0</v>
      </c>
      <c r="D14" s="150">
        <f>Saisie!D14</f>
        <v>0</v>
      </c>
      <c r="E14" s="150">
        <f>Saisie!E14</f>
        <v>0</v>
      </c>
      <c r="F14" s="150">
        <f>Saisie!F14</f>
        <v>0</v>
      </c>
      <c r="G14" s="150">
        <f>Saisie!G14</f>
        <v>0</v>
      </c>
      <c r="H14" s="150">
        <f>Saisie!I14</f>
        <v>0</v>
      </c>
      <c r="I14" s="150">
        <f>Saisie!J14</f>
        <v>0</v>
      </c>
      <c r="J14" s="150">
        <f>Saisie!K14</f>
        <v>0</v>
      </c>
      <c r="K14" s="150">
        <f>Saisie!L14</f>
        <v>0</v>
      </c>
      <c r="L14" s="150" t="e">
        <f>Saisie!#REF!</f>
        <v>#REF!</v>
      </c>
      <c r="M14" s="55" t="e">
        <f t="array" ref="M14">_xlfn.IFS(Saisie!M14="OUI",1,Saisie!M14="NON",0)</f>
        <v>#N/A</v>
      </c>
      <c r="N14" s="64" t="e">
        <f>Saisie!#REF!</f>
        <v>#REF!</v>
      </c>
      <c r="O14" s="63" t="e">
        <f>Saisie!#REF!</f>
        <v>#REF!</v>
      </c>
      <c r="P14" s="63">
        <f>Saisie!N14</f>
        <v>0</v>
      </c>
      <c r="Q14" s="63" t="e">
        <f t="array" ref="Q14">_xlfn.IFS(Saisie!#REF!="OUI",1,Saisie!#REF!="NON",0)</f>
        <v>#REF!</v>
      </c>
      <c r="R14" s="63" t="e">
        <f>Saisie!#REF!</f>
        <v>#REF!</v>
      </c>
      <c r="S14" s="65" t="e">
        <f>Saisie!#REF!</f>
        <v>#REF!</v>
      </c>
      <c r="T14" s="63" t="e">
        <f>Saisie!#REF!</f>
        <v>#REF!</v>
      </c>
      <c r="U14" s="63" t="e">
        <f>Saisie!#REF!</f>
        <v>#REF!</v>
      </c>
      <c r="V14" s="63" t="e">
        <f t="array" ref="V14">_xlfn.IFS(Saisie!#REF!="OUI",1,Saisie!#REF!="NON",0)</f>
        <v>#REF!</v>
      </c>
      <c r="W14" s="63" t="e">
        <f t="array" ref="W14">_xlfn.IFS(Saisie!O14="OUI",1,Saisie!O14="NON",0)</f>
        <v>#N/A</v>
      </c>
      <c r="X14" s="63">
        <f>Saisie!P14</f>
        <v>0</v>
      </c>
      <c r="Y14" s="299">
        <f>Saisie!H14</f>
        <v>0</v>
      </c>
      <c r="Z14" s="58" t="e">
        <f>Saisie!#REF!</f>
        <v>#REF!</v>
      </c>
      <c r="AA14" s="299">
        <f>Saisie!Q14</f>
        <v>0</v>
      </c>
      <c r="AB14" s="63" t="e">
        <f t="array" ref="AB14">_xlfn.IFS(Saisie!R14="OUI",1,Saisie!R14="NON",0)</f>
        <v>#N/A</v>
      </c>
      <c r="AC14" s="63">
        <f>Saisie!S14</f>
        <v>0</v>
      </c>
      <c r="AD14" s="63" t="e">
        <f t="array" ref="AD14">_xlfn.IFS(Saisie!T14="OUI",1,Saisie!T14="NON",0)</f>
        <v>#N/A</v>
      </c>
      <c r="AE14" s="171">
        <f>Saisie!U14</f>
        <v>0</v>
      </c>
      <c r="AF14" s="263">
        <v>3</v>
      </c>
      <c r="AG14" s="129">
        <f>Saisie!W14</f>
        <v>0</v>
      </c>
      <c r="AH14" s="20">
        <f>Saisie!X14</f>
        <v>0</v>
      </c>
      <c r="AI14" s="21">
        <f>Saisie!Y14</f>
        <v>0</v>
      </c>
      <c r="AJ14" s="59">
        <f>Saisie!Z14</f>
        <v>0</v>
      </c>
      <c r="AK14" s="20">
        <f>Saisie!AA14</f>
        <v>0</v>
      </c>
      <c r="AL14" s="21">
        <f>Saisie!AB14</f>
        <v>0</v>
      </c>
      <c r="AM14" s="59">
        <f>Saisie!AC14</f>
        <v>0</v>
      </c>
      <c r="AN14" s="20">
        <f>Saisie!AD14</f>
        <v>0</v>
      </c>
      <c r="AO14" s="21">
        <f>Saisie!AE14</f>
        <v>0</v>
      </c>
      <c r="AP14" s="59">
        <f>Saisie!AF14</f>
        <v>0</v>
      </c>
      <c r="AQ14" s="129" t="e">
        <f t="array" ref="AQ14">_xlfn.IFS(Saisie!AG14="OUI",1,Saisie!AG14="NON",0)</f>
        <v>#N/A</v>
      </c>
      <c r="AR14" s="129" t="e">
        <f t="array" ref="AR14">_xlfn.IFS(Saisie!AH14="OUI",1,Saisie!AH14="NON",0)</f>
        <v>#N/A</v>
      </c>
      <c r="AS14" s="171">
        <f>Saisie!AI14</f>
        <v>0</v>
      </c>
      <c r="AT14" s="263" t="e">
        <f t="array" ref="AT14">_xlfn.IFS(Saisie!AJ14="OUI",1,Saisie!AJ14="NON",0)</f>
        <v>#N/A</v>
      </c>
      <c r="AU14" s="173">
        <f>Saisie!AK14</f>
        <v>0</v>
      </c>
      <c r="AV14" s="263" t="e">
        <f t="array" ref="AV14">_xlfn.IFS(Saisie!AL14="OUI",1,Saisie!AL14="NON",0)</f>
        <v>#N/A</v>
      </c>
      <c r="AW14" s="171">
        <f>Saisie!AM14</f>
        <v>0</v>
      </c>
      <c r="AX14" s="68">
        <f>Saisie!AN14</f>
        <v>0</v>
      </c>
      <c r="AY14" s="20">
        <f>Saisie!AO14</f>
        <v>0</v>
      </c>
      <c r="AZ14" s="21">
        <f>Saisie!AP14</f>
        <v>0</v>
      </c>
      <c r="BA14" s="298">
        <f>Saisie!AQ14</f>
        <v>0</v>
      </c>
      <c r="BB14" s="170">
        <f>Saisie!AR14</f>
        <v>0</v>
      </c>
      <c r="BC14" s="174">
        <f>Saisie!AS14</f>
        <v>0</v>
      </c>
      <c r="BD14" s="61">
        <f>Saisie!AT14</f>
        <v>0</v>
      </c>
      <c r="BE14" s="175" t="e">
        <f t="array" ref="BE14">_xlfn.IFS(Saisie!AU14="OUI",1,Saisie!AU14="NON",0)</f>
        <v>#N/A</v>
      </c>
      <c r="BF14" s="267">
        <f>Saisie!AV14</f>
        <v>0</v>
      </c>
      <c r="BG14" s="55">
        <f>Saisie!AW14</f>
        <v>0</v>
      </c>
      <c r="BH14" s="55" t="e">
        <f t="array" ref="BH14">_xlfn.IFS(Saisie!AX14="OUI",1,Saisie!AX14="NON",0)</f>
        <v>#N/A</v>
      </c>
      <c r="BI14" s="62">
        <f>Saisie!AY14</f>
        <v>0</v>
      </c>
      <c r="BJ14" s="55" t="e">
        <f t="array" ref="BJ14">_xlfn.IFS(Saisie!AZ14="OUI",1,Saisie!AZ14="NON",0)</f>
        <v>#N/A</v>
      </c>
      <c r="BK14" s="55" t="e">
        <f t="array" ref="BK14">_xlfn.IFS(Saisie!BA14="OUI",1,Saisie!BA14="NON",0)</f>
        <v>#N/A</v>
      </c>
      <c r="BL14" s="55">
        <f>Saisie!BB14</f>
        <v>0</v>
      </c>
      <c r="BM14" s="49" t="e">
        <f>Saisie!BC14</f>
        <v>#REF!</v>
      </c>
      <c r="BN14" s="175"/>
    </row>
    <row r="15" spans="1:66" s="176" customFormat="1" x14ac:dyDescent="0.45">
      <c r="A15" s="13">
        <v>9</v>
      </c>
      <c r="B15" s="150">
        <f>Saisie!B15</f>
        <v>0</v>
      </c>
      <c r="C15" s="150">
        <f>Saisie!C15</f>
        <v>0</v>
      </c>
      <c r="D15" s="150">
        <f>Saisie!D15</f>
        <v>0</v>
      </c>
      <c r="E15" s="150">
        <f>Saisie!E15</f>
        <v>0</v>
      </c>
      <c r="F15" s="150">
        <f>Saisie!F15</f>
        <v>0</v>
      </c>
      <c r="G15" s="150">
        <f>Saisie!G15</f>
        <v>0</v>
      </c>
      <c r="H15" s="150">
        <f>Saisie!I15</f>
        <v>0</v>
      </c>
      <c r="I15" s="150">
        <f>Saisie!J15</f>
        <v>0</v>
      </c>
      <c r="J15" s="150">
        <f>Saisie!K15</f>
        <v>0</v>
      </c>
      <c r="K15" s="150">
        <f>Saisie!L15</f>
        <v>0</v>
      </c>
      <c r="L15" s="150" t="e">
        <f>Saisie!#REF!</f>
        <v>#REF!</v>
      </c>
      <c r="M15" s="55" t="e">
        <f t="array" ref="M15">_xlfn.IFS(Saisie!M15="OUI",1,Saisie!M15="NON",0)</f>
        <v>#N/A</v>
      </c>
      <c r="N15" s="64" t="e">
        <f>Saisie!#REF!</f>
        <v>#REF!</v>
      </c>
      <c r="O15" s="63" t="e">
        <f>Saisie!#REF!</f>
        <v>#REF!</v>
      </c>
      <c r="P15" s="63">
        <f>Saisie!N15</f>
        <v>0</v>
      </c>
      <c r="Q15" s="63" t="e">
        <f t="array" ref="Q15">_xlfn.IFS(Saisie!#REF!="OUI",1,Saisie!#REF!="NON",0)</f>
        <v>#REF!</v>
      </c>
      <c r="R15" s="63" t="e">
        <f>Saisie!#REF!</f>
        <v>#REF!</v>
      </c>
      <c r="S15" s="65" t="e">
        <f>Saisie!#REF!</f>
        <v>#REF!</v>
      </c>
      <c r="T15" s="63" t="e">
        <f>Saisie!#REF!</f>
        <v>#REF!</v>
      </c>
      <c r="U15" s="63" t="e">
        <f>Saisie!#REF!</f>
        <v>#REF!</v>
      </c>
      <c r="V15" s="63" t="e">
        <f t="array" ref="V15">_xlfn.IFS(Saisie!#REF!="OUI",1,Saisie!#REF!="NON",0)</f>
        <v>#REF!</v>
      </c>
      <c r="W15" s="63" t="e">
        <f t="array" ref="W15">_xlfn.IFS(Saisie!O15="OUI",1,Saisie!O15="NON",0)</f>
        <v>#N/A</v>
      </c>
      <c r="X15" s="63">
        <f>Saisie!P15</f>
        <v>0</v>
      </c>
      <c r="Y15" s="299">
        <f>Saisie!H15</f>
        <v>0</v>
      </c>
      <c r="Z15" s="58" t="e">
        <f>Saisie!#REF!</f>
        <v>#REF!</v>
      </c>
      <c r="AA15" s="299">
        <f>Saisie!Q15</f>
        <v>0</v>
      </c>
      <c r="AB15" s="63" t="e">
        <f t="array" ref="AB15">_xlfn.IFS(Saisie!R15="OUI",1,Saisie!R15="NON",0)</f>
        <v>#N/A</v>
      </c>
      <c r="AC15" s="63">
        <f>Saisie!S15</f>
        <v>0</v>
      </c>
      <c r="AD15" s="63" t="e">
        <f t="array" ref="AD15">_xlfn.IFS(Saisie!T15="OUI",1,Saisie!T15="NON",0)</f>
        <v>#N/A</v>
      </c>
      <c r="AE15" s="171">
        <f>Saisie!U15</f>
        <v>0</v>
      </c>
      <c r="AF15" s="263">
        <v>3</v>
      </c>
      <c r="AG15" s="129">
        <f>Saisie!W15</f>
        <v>0</v>
      </c>
      <c r="AH15" s="20">
        <f>Saisie!X15</f>
        <v>0</v>
      </c>
      <c r="AI15" s="21">
        <f>Saisie!Y15</f>
        <v>0</v>
      </c>
      <c r="AJ15" s="59">
        <f>Saisie!Z15</f>
        <v>0</v>
      </c>
      <c r="AK15" s="20">
        <f>Saisie!AA15</f>
        <v>0</v>
      </c>
      <c r="AL15" s="21">
        <f>Saisie!AB15</f>
        <v>0</v>
      </c>
      <c r="AM15" s="59">
        <f>Saisie!AC15</f>
        <v>0</v>
      </c>
      <c r="AN15" s="20">
        <f>Saisie!AD15</f>
        <v>0</v>
      </c>
      <c r="AO15" s="21">
        <f>Saisie!AE15</f>
        <v>0</v>
      </c>
      <c r="AP15" s="59">
        <f>Saisie!AF15</f>
        <v>0</v>
      </c>
      <c r="AQ15" s="129" t="e">
        <f t="array" ref="AQ15">_xlfn.IFS(Saisie!AG15="OUI",1,Saisie!AG15="NON",0)</f>
        <v>#N/A</v>
      </c>
      <c r="AR15" s="129" t="e">
        <f t="array" ref="AR15">_xlfn.IFS(Saisie!AH15="OUI",1,Saisie!AH15="NON",0)</f>
        <v>#N/A</v>
      </c>
      <c r="AS15" s="171">
        <f>Saisie!AI15</f>
        <v>0</v>
      </c>
      <c r="AT15" s="263" t="e">
        <f t="array" ref="AT15">_xlfn.IFS(Saisie!AJ15="OUI",1,Saisie!AJ15="NON",0)</f>
        <v>#N/A</v>
      </c>
      <c r="AU15" s="173">
        <f>Saisie!AK15</f>
        <v>0</v>
      </c>
      <c r="AV15" s="263" t="e">
        <f t="array" ref="AV15">_xlfn.IFS(Saisie!AL15="OUI",1,Saisie!AL15="NON",0)</f>
        <v>#N/A</v>
      </c>
      <c r="AW15" s="171">
        <f>Saisie!AM15</f>
        <v>0</v>
      </c>
      <c r="AX15" s="68">
        <f>Saisie!AN15</f>
        <v>0</v>
      </c>
      <c r="AY15" s="20">
        <f>Saisie!AO15</f>
        <v>0</v>
      </c>
      <c r="AZ15" s="21">
        <f>Saisie!AP15</f>
        <v>0</v>
      </c>
      <c r="BA15" s="298">
        <f>Saisie!AQ15</f>
        <v>0</v>
      </c>
      <c r="BB15" s="170">
        <f>Saisie!AR15</f>
        <v>0</v>
      </c>
      <c r="BC15" s="174">
        <f>Saisie!AS15</f>
        <v>0</v>
      </c>
      <c r="BD15" s="61">
        <f>Saisie!AT15</f>
        <v>0</v>
      </c>
      <c r="BE15" s="175" t="e">
        <f t="array" ref="BE15">_xlfn.IFS(Saisie!AU15="OUI",1,Saisie!AU15="NON",0)</f>
        <v>#N/A</v>
      </c>
      <c r="BF15" s="267">
        <f>Saisie!AV15</f>
        <v>0</v>
      </c>
      <c r="BG15" s="55">
        <f>Saisie!AW15</f>
        <v>0</v>
      </c>
      <c r="BH15" s="55" t="e">
        <f t="array" ref="BH15">_xlfn.IFS(Saisie!AX15="OUI",1,Saisie!AX15="NON",0)</f>
        <v>#N/A</v>
      </c>
      <c r="BI15" s="62">
        <f>Saisie!AY15</f>
        <v>0</v>
      </c>
      <c r="BJ15" s="55" t="e">
        <f t="array" ref="BJ15">_xlfn.IFS(Saisie!AZ15="OUI",1,Saisie!AZ15="NON",0)</f>
        <v>#N/A</v>
      </c>
      <c r="BK15" s="55" t="e">
        <f t="array" ref="BK15">_xlfn.IFS(Saisie!BA15="OUI",1,Saisie!BA15="NON",0)</f>
        <v>#N/A</v>
      </c>
      <c r="BL15" s="55">
        <f>Saisie!BB15</f>
        <v>0</v>
      </c>
      <c r="BM15" s="49" t="e">
        <f>Saisie!BC15</f>
        <v>#REF!</v>
      </c>
      <c r="BN15" s="175"/>
    </row>
    <row r="16" spans="1:66" s="176" customFormat="1" x14ac:dyDescent="0.45">
      <c r="A16" s="12">
        <v>10</v>
      </c>
      <c r="B16" s="150">
        <f>Saisie!B16</f>
        <v>0</v>
      </c>
      <c r="C16" s="150">
        <f>Saisie!C16</f>
        <v>0</v>
      </c>
      <c r="D16" s="150">
        <f>Saisie!D16</f>
        <v>0</v>
      </c>
      <c r="E16" s="150">
        <f>Saisie!E16</f>
        <v>0</v>
      </c>
      <c r="F16" s="150">
        <f>Saisie!F16</f>
        <v>0</v>
      </c>
      <c r="G16" s="150">
        <f>Saisie!G16</f>
        <v>0</v>
      </c>
      <c r="H16" s="150">
        <f>Saisie!I16</f>
        <v>0</v>
      </c>
      <c r="I16" s="150">
        <f>Saisie!J16</f>
        <v>0</v>
      </c>
      <c r="J16" s="150">
        <f>Saisie!K16</f>
        <v>0</v>
      </c>
      <c r="K16" s="150">
        <f>Saisie!L16</f>
        <v>0</v>
      </c>
      <c r="L16" s="150" t="e">
        <f>Saisie!#REF!</f>
        <v>#REF!</v>
      </c>
      <c r="M16" s="55" t="e">
        <f t="array" ref="M16">_xlfn.IFS(Saisie!M16="OUI",1,Saisie!M16="NON",0)</f>
        <v>#N/A</v>
      </c>
      <c r="N16" s="64" t="e">
        <f>Saisie!#REF!</f>
        <v>#REF!</v>
      </c>
      <c r="O16" s="63" t="e">
        <f>Saisie!#REF!</f>
        <v>#REF!</v>
      </c>
      <c r="P16" s="63">
        <f>Saisie!N16</f>
        <v>0</v>
      </c>
      <c r="Q16" s="63" t="e">
        <f t="array" ref="Q16">_xlfn.IFS(Saisie!#REF!="OUI",1,Saisie!#REF!="NON",0)</f>
        <v>#REF!</v>
      </c>
      <c r="R16" s="63" t="e">
        <f>Saisie!#REF!</f>
        <v>#REF!</v>
      </c>
      <c r="S16" s="65" t="e">
        <f>Saisie!#REF!</f>
        <v>#REF!</v>
      </c>
      <c r="T16" s="63" t="e">
        <f>Saisie!#REF!</f>
        <v>#REF!</v>
      </c>
      <c r="U16" s="63" t="e">
        <f>Saisie!#REF!</f>
        <v>#REF!</v>
      </c>
      <c r="V16" s="63" t="e">
        <f t="array" ref="V16">_xlfn.IFS(Saisie!#REF!="OUI",1,Saisie!#REF!="NON",0)</f>
        <v>#REF!</v>
      </c>
      <c r="W16" s="63" t="e">
        <f t="array" ref="W16">_xlfn.IFS(Saisie!O16="OUI",1,Saisie!O16="NON",0)</f>
        <v>#N/A</v>
      </c>
      <c r="X16" s="63">
        <f>Saisie!P16</f>
        <v>0</v>
      </c>
      <c r="Y16" s="299">
        <f>Saisie!H16</f>
        <v>0</v>
      </c>
      <c r="Z16" s="58" t="e">
        <f>Saisie!#REF!</f>
        <v>#REF!</v>
      </c>
      <c r="AA16" s="299">
        <f>Saisie!Q16</f>
        <v>0</v>
      </c>
      <c r="AB16" s="63" t="e">
        <f t="array" ref="AB16">_xlfn.IFS(Saisie!R16="OUI",1,Saisie!R16="NON",0)</f>
        <v>#N/A</v>
      </c>
      <c r="AC16" s="63">
        <f>Saisie!S16</f>
        <v>0</v>
      </c>
      <c r="AD16" s="63" t="e">
        <f t="array" ref="AD16">_xlfn.IFS(Saisie!T16="OUI",1,Saisie!T16="NON",0)</f>
        <v>#N/A</v>
      </c>
      <c r="AE16" s="171">
        <f>Saisie!U16</f>
        <v>0</v>
      </c>
      <c r="AF16" s="263">
        <v>3</v>
      </c>
      <c r="AG16" s="129">
        <f>Saisie!W16</f>
        <v>0</v>
      </c>
      <c r="AH16" s="20">
        <f>Saisie!X16</f>
        <v>0</v>
      </c>
      <c r="AI16" s="21">
        <f>Saisie!Y16</f>
        <v>0</v>
      </c>
      <c r="AJ16" s="59">
        <f>Saisie!Z16</f>
        <v>0</v>
      </c>
      <c r="AK16" s="20">
        <f>Saisie!AA16</f>
        <v>0</v>
      </c>
      <c r="AL16" s="21">
        <f>Saisie!AB16</f>
        <v>0</v>
      </c>
      <c r="AM16" s="59">
        <f>Saisie!AC16</f>
        <v>0</v>
      </c>
      <c r="AN16" s="20">
        <f>Saisie!AD16</f>
        <v>0</v>
      </c>
      <c r="AO16" s="21">
        <f>Saisie!AE16</f>
        <v>0</v>
      </c>
      <c r="AP16" s="59">
        <f>Saisie!AF16</f>
        <v>0</v>
      </c>
      <c r="AQ16" s="129" t="e">
        <f t="array" ref="AQ16">_xlfn.IFS(Saisie!AG16="OUI",1,Saisie!AG16="NON",0)</f>
        <v>#N/A</v>
      </c>
      <c r="AR16" s="129" t="e">
        <f t="array" ref="AR16">_xlfn.IFS(Saisie!AH16="OUI",1,Saisie!AH16="NON",0)</f>
        <v>#N/A</v>
      </c>
      <c r="AS16" s="171">
        <f>Saisie!AI16</f>
        <v>0</v>
      </c>
      <c r="AT16" s="263" t="e">
        <f t="array" ref="AT16">_xlfn.IFS(Saisie!AJ16="OUI",1,Saisie!AJ16="NON",0)</f>
        <v>#N/A</v>
      </c>
      <c r="AU16" s="173">
        <f>Saisie!AK16</f>
        <v>0</v>
      </c>
      <c r="AV16" s="263" t="e">
        <f t="array" ref="AV16">_xlfn.IFS(Saisie!AL16="OUI",1,Saisie!AL16="NON",0)</f>
        <v>#N/A</v>
      </c>
      <c r="AW16" s="171">
        <f>Saisie!AM16</f>
        <v>0</v>
      </c>
      <c r="AX16" s="68">
        <f>Saisie!AN16</f>
        <v>0</v>
      </c>
      <c r="AY16" s="20">
        <f>Saisie!AO16</f>
        <v>0</v>
      </c>
      <c r="AZ16" s="21">
        <f>Saisie!AP16</f>
        <v>0</v>
      </c>
      <c r="BA16" s="298">
        <f>Saisie!AQ16</f>
        <v>0</v>
      </c>
      <c r="BB16" s="170">
        <f>Saisie!AR16</f>
        <v>0</v>
      </c>
      <c r="BC16" s="174">
        <f>Saisie!AS16</f>
        <v>0</v>
      </c>
      <c r="BD16" s="61">
        <f>Saisie!AT16</f>
        <v>0</v>
      </c>
      <c r="BE16" s="175" t="e">
        <f t="array" ref="BE16">_xlfn.IFS(Saisie!AU16="OUI",1,Saisie!AU16="NON",0)</f>
        <v>#N/A</v>
      </c>
      <c r="BF16" s="267">
        <f>Saisie!AV16</f>
        <v>0</v>
      </c>
      <c r="BG16" s="55">
        <f>Saisie!AW16</f>
        <v>0</v>
      </c>
      <c r="BH16" s="55" t="e">
        <f t="array" ref="BH16">_xlfn.IFS(Saisie!AX16="OUI",1,Saisie!AX16="NON",0)</f>
        <v>#N/A</v>
      </c>
      <c r="BI16" s="62">
        <f>Saisie!AY16</f>
        <v>0</v>
      </c>
      <c r="BJ16" s="55" t="e">
        <f t="array" ref="BJ16">_xlfn.IFS(Saisie!AZ16="OUI",1,Saisie!AZ16="NON",0)</f>
        <v>#N/A</v>
      </c>
      <c r="BK16" s="55" t="e">
        <f t="array" ref="BK16">_xlfn.IFS(Saisie!BA16="OUI",1,Saisie!BA16="NON",0)</f>
        <v>#N/A</v>
      </c>
      <c r="BL16" s="55">
        <f>Saisie!BB16</f>
        <v>0</v>
      </c>
      <c r="BM16" s="49" t="e">
        <f>Saisie!BC16</f>
        <v>#REF!</v>
      </c>
      <c r="BN16" s="175"/>
    </row>
    <row r="17" spans="1:66" s="176" customFormat="1" x14ac:dyDescent="0.45">
      <c r="A17" s="13">
        <v>11</v>
      </c>
      <c r="B17" s="150">
        <f>Saisie!B17</f>
        <v>0</v>
      </c>
      <c r="C17" s="150">
        <f>Saisie!C17</f>
        <v>0</v>
      </c>
      <c r="D17" s="150">
        <f>Saisie!D17</f>
        <v>0</v>
      </c>
      <c r="E17" s="150">
        <f>Saisie!E17</f>
        <v>0</v>
      </c>
      <c r="F17" s="150">
        <f>Saisie!F17</f>
        <v>0</v>
      </c>
      <c r="G17" s="150">
        <f>Saisie!G17</f>
        <v>0</v>
      </c>
      <c r="H17" s="150">
        <f>Saisie!I17</f>
        <v>0</v>
      </c>
      <c r="I17" s="150">
        <f>Saisie!J17</f>
        <v>0</v>
      </c>
      <c r="J17" s="150">
        <f>Saisie!K17</f>
        <v>0</v>
      </c>
      <c r="K17" s="150">
        <f>Saisie!L17</f>
        <v>0</v>
      </c>
      <c r="L17" s="150" t="e">
        <f>Saisie!#REF!</f>
        <v>#REF!</v>
      </c>
      <c r="M17" s="55" t="e">
        <f t="array" ref="M17">_xlfn.IFS(Saisie!M17="OUI",1,Saisie!M17="NON",0)</f>
        <v>#N/A</v>
      </c>
      <c r="N17" s="64" t="e">
        <f>Saisie!#REF!</f>
        <v>#REF!</v>
      </c>
      <c r="O17" s="63" t="e">
        <f>Saisie!#REF!</f>
        <v>#REF!</v>
      </c>
      <c r="P17" s="63">
        <f>Saisie!N17</f>
        <v>0</v>
      </c>
      <c r="Q17" s="63" t="e">
        <f t="array" ref="Q17">_xlfn.IFS(Saisie!#REF!="OUI",1,Saisie!#REF!="NON",0)</f>
        <v>#REF!</v>
      </c>
      <c r="R17" s="63" t="e">
        <f>Saisie!#REF!</f>
        <v>#REF!</v>
      </c>
      <c r="S17" s="65" t="e">
        <f>Saisie!#REF!</f>
        <v>#REF!</v>
      </c>
      <c r="T17" s="63" t="e">
        <f>Saisie!#REF!</f>
        <v>#REF!</v>
      </c>
      <c r="U17" s="63" t="e">
        <f>Saisie!#REF!</f>
        <v>#REF!</v>
      </c>
      <c r="V17" s="63" t="e">
        <f t="array" ref="V17">_xlfn.IFS(Saisie!#REF!="OUI",1,Saisie!#REF!="NON",0)</f>
        <v>#REF!</v>
      </c>
      <c r="W17" s="63" t="e">
        <f t="array" ref="W17">_xlfn.IFS(Saisie!O17="OUI",1,Saisie!O17="NON",0)</f>
        <v>#N/A</v>
      </c>
      <c r="X17" s="63">
        <f>Saisie!P17</f>
        <v>0</v>
      </c>
      <c r="Y17" s="299">
        <f>Saisie!H17</f>
        <v>0</v>
      </c>
      <c r="Z17" s="58" t="e">
        <f>Saisie!#REF!</f>
        <v>#REF!</v>
      </c>
      <c r="AA17" s="299">
        <f>Saisie!Q17</f>
        <v>0</v>
      </c>
      <c r="AB17" s="63" t="e">
        <f t="array" ref="AB17">_xlfn.IFS(Saisie!R17="OUI",1,Saisie!R17="NON",0)</f>
        <v>#N/A</v>
      </c>
      <c r="AC17" s="63">
        <f>Saisie!S17</f>
        <v>0</v>
      </c>
      <c r="AD17" s="63" t="e">
        <f t="array" ref="AD17">_xlfn.IFS(Saisie!T17="OUI",1,Saisie!T17="NON",0)</f>
        <v>#N/A</v>
      </c>
      <c r="AE17" s="171">
        <f>Saisie!U17</f>
        <v>0</v>
      </c>
      <c r="AF17" s="263">
        <v>3</v>
      </c>
      <c r="AG17" s="129">
        <f>Saisie!W17</f>
        <v>0</v>
      </c>
      <c r="AH17" s="20">
        <f>Saisie!X17</f>
        <v>0</v>
      </c>
      <c r="AI17" s="21">
        <f>Saisie!Y17</f>
        <v>0</v>
      </c>
      <c r="AJ17" s="59">
        <f>Saisie!Z17</f>
        <v>0</v>
      </c>
      <c r="AK17" s="20">
        <f>Saisie!AA17</f>
        <v>0</v>
      </c>
      <c r="AL17" s="21">
        <f>Saisie!AB17</f>
        <v>0</v>
      </c>
      <c r="AM17" s="59">
        <f>Saisie!AC17</f>
        <v>0</v>
      </c>
      <c r="AN17" s="20">
        <f>Saisie!AD17</f>
        <v>0</v>
      </c>
      <c r="AO17" s="21">
        <f>Saisie!AE17</f>
        <v>0</v>
      </c>
      <c r="AP17" s="59">
        <f>Saisie!AF17</f>
        <v>0</v>
      </c>
      <c r="AQ17" s="129" t="e">
        <f t="array" ref="AQ17">_xlfn.IFS(Saisie!AG17="OUI",1,Saisie!AG17="NON",0)</f>
        <v>#N/A</v>
      </c>
      <c r="AR17" s="129" t="e">
        <f t="array" ref="AR17">_xlfn.IFS(Saisie!AH17="OUI",1,Saisie!AH17="NON",0)</f>
        <v>#N/A</v>
      </c>
      <c r="AS17" s="171">
        <f>Saisie!AI17</f>
        <v>0</v>
      </c>
      <c r="AT17" s="263" t="e">
        <f t="array" ref="AT17">_xlfn.IFS(Saisie!AJ17="OUI",1,Saisie!AJ17="NON",0)</f>
        <v>#N/A</v>
      </c>
      <c r="AU17" s="173">
        <f>Saisie!AK17</f>
        <v>0</v>
      </c>
      <c r="AV17" s="263" t="e">
        <f t="array" ref="AV17">_xlfn.IFS(Saisie!AL17="OUI",1,Saisie!AL17="NON",0)</f>
        <v>#N/A</v>
      </c>
      <c r="AW17" s="171">
        <f>Saisie!AM17</f>
        <v>0</v>
      </c>
      <c r="AX17" s="68">
        <f>Saisie!AN17</f>
        <v>0</v>
      </c>
      <c r="AY17" s="20">
        <f>Saisie!AO17</f>
        <v>0</v>
      </c>
      <c r="AZ17" s="21">
        <f>Saisie!AP17</f>
        <v>0</v>
      </c>
      <c r="BA17" s="298">
        <f>Saisie!AQ17</f>
        <v>0</v>
      </c>
      <c r="BB17" s="170">
        <f>Saisie!AR17</f>
        <v>0</v>
      </c>
      <c r="BC17" s="174">
        <f>Saisie!AS17</f>
        <v>0</v>
      </c>
      <c r="BD17" s="61">
        <f>Saisie!AT17</f>
        <v>0</v>
      </c>
      <c r="BE17" s="175" t="e">
        <f t="array" ref="BE17">_xlfn.IFS(Saisie!AU17="OUI",1,Saisie!AU17="NON",0)</f>
        <v>#N/A</v>
      </c>
      <c r="BF17" s="267">
        <f>Saisie!AV17</f>
        <v>0</v>
      </c>
      <c r="BG17" s="55">
        <f>Saisie!AW17</f>
        <v>0</v>
      </c>
      <c r="BH17" s="55" t="e">
        <f t="array" ref="BH17">_xlfn.IFS(Saisie!AX17="OUI",1,Saisie!AX17="NON",0)</f>
        <v>#N/A</v>
      </c>
      <c r="BI17" s="62">
        <f>Saisie!AY17</f>
        <v>0</v>
      </c>
      <c r="BJ17" s="55" t="e">
        <f t="array" ref="BJ17">_xlfn.IFS(Saisie!AZ17="OUI",1,Saisie!AZ17="NON",0)</f>
        <v>#N/A</v>
      </c>
      <c r="BK17" s="55" t="e">
        <f t="array" ref="BK17">_xlfn.IFS(Saisie!BA17="OUI",1,Saisie!BA17="NON",0)</f>
        <v>#N/A</v>
      </c>
      <c r="BL17" s="55">
        <f>Saisie!BB17</f>
        <v>0</v>
      </c>
      <c r="BM17" s="49" t="e">
        <f>Saisie!BC17</f>
        <v>#REF!</v>
      </c>
      <c r="BN17" s="175"/>
    </row>
    <row r="18" spans="1:66" s="176" customFormat="1" x14ac:dyDescent="0.45">
      <c r="A18" s="13">
        <v>12</v>
      </c>
      <c r="B18" s="150">
        <f>Saisie!B18</f>
        <v>0</v>
      </c>
      <c r="C18" s="150">
        <f>Saisie!C18</f>
        <v>0</v>
      </c>
      <c r="D18" s="150">
        <f>Saisie!D18</f>
        <v>0</v>
      </c>
      <c r="E18" s="150">
        <f>Saisie!E18</f>
        <v>0</v>
      </c>
      <c r="F18" s="150">
        <f>Saisie!F18</f>
        <v>0</v>
      </c>
      <c r="G18" s="150">
        <f>Saisie!G18</f>
        <v>0</v>
      </c>
      <c r="H18" s="150">
        <f>Saisie!I18</f>
        <v>0</v>
      </c>
      <c r="I18" s="150">
        <f>Saisie!J18</f>
        <v>0</v>
      </c>
      <c r="J18" s="150">
        <f>Saisie!K18</f>
        <v>0</v>
      </c>
      <c r="K18" s="150">
        <f>Saisie!L18</f>
        <v>0</v>
      </c>
      <c r="L18" s="150" t="e">
        <f>Saisie!#REF!</f>
        <v>#REF!</v>
      </c>
      <c r="M18" s="55" t="e">
        <f t="array" ref="M18">_xlfn.IFS(Saisie!M18="OUI",1,Saisie!M18="NON",0)</f>
        <v>#N/A</v>
      </c>
      <c r="N18" s="64" t="e">
        <f>Saisie!#REF!</f>
        <v>#REF!</v>
      </c>
      <c r="O18" s="63" t="e">
        <f>Saisie!#REF!</f>
        <v>#REF!</v>
      </c>
      <c r="P18" s="63">
        <f>Saisie!N18</f>
        <v>0</v>
      </c>
      <c r="Q18" s="63" t="e">
        <f t="array" ref="Q18">_xlfn.IFS(Saisie!#REF!="OUI",1,Saisie!#REF!="NON",0)</f>
        <v>#REF!</v>
      </c>
      <c r="R18" s="63" t="e">
        <f>Saisie!#REF!</f>
        <v>#REF!</v>
      </c>
      <c r="S18" s="65" t="e">
        <f>Saisie!#REF!</f>
        <v>#REF!</v>
      </c>
      <c r="T18" s="63" t="e">
        <f>Saisie!#REF!</f>
        <v>#REF!</v>
      </c>
      <c r="U18" s="63" t="e">
        <f>Saisie!#REF!</f>
        <v>#REF!</v>
      </c>
      <c r="V18" s="63" t="e">
        <f t="array" ref="V18">_xlfn.IFS(Saisie!#REF!="OUI",1,Saisie!#REF!="NON",0)</f>
        <v>#REF!</v>
      </c>
      <c r="W18" s="63" t="e">
        <f t="array" ref="W18">_xlfn.IFS(Saisie!O18="OUI",1,Saisie!O18="NON",0)</f>
        <v>#N/A</v>
      </c>
      <c r="X18" s="63">
        <f>Saisie!P18</f>
        <v>0</v>
      </c>
      <c r="Y18" s="299">
        <f>Saisie!H18</f>
        <v>0</v>
      </c>
      <c r="Z18" s="58" t="e">
        <f>Saisie!#REF!</f>
        <v>#REF!</v>
      </c>
      <c r="AA18" s="299">
        <f>Saisie!Q18</f>
        <v>0</v>
      </c>
      <c r="AB18" s="63" t="e">
        <f t="array" ref="AB18">_xlfn.IFS(Saisie!R18="OUI",1,Saisie!R18="NON",0)</f>
        <v>#N/A</v>
      </c>
      <c r="AC18" s="63">
        <f>Saisie!S18</f>
        <v>0</v>
      </c>
      <c r="AD18" s="63" t="e">
        <f t="array" ref="AD18">_xlfn.IFS(Saisie!T18="OUI",1,Saisie!T18="NON",0)</f>
        <v>#N/A</v>
      </c>
      <c r="AE18" s="171">
        <f>Saisie!U18</f>
        <v>0</v>
      </c>
      <c r="AF18" s="263">
        <v>3</v>
      </c>
      <c r="AG18" s="129">
        <f>Saisie!W18</f>
        <v>0</v>
      </c>
      <c r="AH18" s="20">
        <f>Saisie!X18</f>
        <v>0</v>
      </c>
      <c r="AI18" s="21">
        <f>Saisie!Y18</f>
        <v>0</v>
      </c>
      <c r="AJ18" s="59">
        <f>Saisie!Z18</f>
        <v>0</v>
      </c>
      <c r="AK18" s="20">
        <f>Saisie!AA18</f>
        <v>0</v>
      </c>
      <c r="AL18" s="21">
        <f>Saisie!AB18</f>
        <v>0</v>
      </c>
      <c r="AM18" s="59">
        <f>Saisie!AC18</f>
        <v>0</v>
      </c>
      <c r="AN18" s="20">
        <f>Saisie!AD18</f>
        <v>0</v>
      </c>
      <c r="AO18" s="21">
        <f>Saisie!AE18</f>
        <v>0</v>
      </c>
      <c r="AP18" s="59">
        <f>Saisie!AF18</f>
        <v>0</v>
      </c>
      <c r="AQ18" s="129" t="e">
        <f t="array" ref="AQ18">_xlfn.IFS(Saisie!AG18="OUI",1,Saisie!AG18="NON",0)</f>
        <v>#N/A</v>
      </c>
      <c r="AR18" s="129" t="e">
        <f t="array" ref="AR18">_xlfn.IFS(Saisie!AH18="OUI",1,Saisie!AH18="NON",0)</f>
        <v>#N/A</v>
      </c>
      <c r="AS18" s="171">
        <f>Saisie!AI18</f>
        <v>0</v>
      </c>
      <c r="AT18" s="263" t="e">
        <f t="array" ref="AT18">_xlfn.IFS(Saisie!AJ18="OUI",1,Saisie!AJ18="NON",0)</f>
        <v>#N/A</v>
      </c>
      <c r="AU18" s="173">
        <f>Saisie!AK18</f>
        <v>0</v>
      </c>
      <c r="AV18" s="263" t="e">
        <f t="array" ref="AV18">_xlfn.IFS(Saisie!AL18="OUI",1,Saisie!AL18="NON",0)</f>
        <v>#N/A</v>
      </c>
      <c r="AW18" s="171">
        <f>Saisie!AM18</f>
        <v>0</v>
      </c>
      <c r="AX18" s="68">
        <f>Saisie!AN18</f>
        <v>0</v>
      </c>
      <c r="AY18" s="20">
        <f>Saisie!AO18</f>
        <v>0</v>
      </c>
      <c r="AZ18" s="21">
        <f>Saisie!AP18</f>
        <v>0</v>
      </c>
      <c r="BA18" s="298">
        <f>Saisie!AQ18</f>
        <v>0</v>
      </c>
      <c r="BB18" s="170">
        <f>Saisie!AR18</f>
        <v>0</v>
      </c>
      <c r="BC18" s="174">
        <f>Saisie!AS18</f>
        <v>0</v>
      </c>
      <c r="BD18" s="61">
        <f>Saisie!AT18</f>
        <v>0</v>
      </c>
      <c r="BE18" s="175" t="e">
        <f t="array" ref="BE18">_xlfn.IFS(Saisie!AU18="OUI",1,Saisie!AU18="NON",0)</f>
        <v>#N/A</v>
      </c>
      <c r="BF18" s="267">
        <f>Saisie!AV18</f>
        <v>0</v>
      </c>
      <c r="BG18" s="55">
        <f>Saisie!AW18</f>
        <v>0</v>
      </c>
      <c r="BH18" s="55" t="e">
        <f t="array" ref="BH18">_xlfn.IFS(Saisie!AX18="OUI",1,Saisie!AX18="NON",0)</f>
        <v>#N/A</v>
      </c>
      <c r="BI18" s="62">
        <f>Saisie!AY18</f>
        <v>0</v>
      </c>
      <c r="BJ18" s="55" t="e">
        <f t="array" ref="BJ18">_xlfn.IFS(Saisie!AZ18="OUI",1,Saisie!AZ18="NON",0)</f>
        <v>#N/A</v>
      </c>
      <c r="BK18" s="55" t="e">
        <f t="array" ref="BK18">_xlfn.IFS(Saisie!BA18="OUI",1,Saisie!BA18="NON",0)</f>
        <v>#N/A</v>
      </c>
      <c r="BL18" s="55">
        <f>Saisie!BB18</f>
        <v>0</v>
      </c>
      <c r="BM18" s="49" t="e">
        <f>Saisie!BC18</f>
        <v>#REF!</v>
      </c>
      <c r="BN18" s="175"/>
    </row>
    <row r="19" spans="1:66" s="176" customFormat="1" x14ac:dyDescent="0.45">
      <c r="A19" s="12">
        <v>13</v>
      </c>
      <c r="B19" s="150">
        <f>Saisie!B19</f>
        <v>0</v>
      </c>
      <c r="C19" s="150">
        <f>Saisie!C19</f>
        <v>0</v>
      </c>
      <c r="D19" s="150">
        <f>Saisie!D19</f>
        <v>0</v>
      </c>
      <c r="E19" s="150">
        <f>Saisie!E19</f>
        <v>0</v>
      </c>
      <c r="F19" s="150">
        <f>Saisie!F19</f>
        <v>0</v>
      </c>
      <c r="G19" s="150">
        <f>Saisie!G19</f>
        <v>0</v>
      </c>
      <c r="H19" s="150">
        <f>Saisie!I19</f>
        <v>0</v>
      </c>
      <c r="I19" s="150">
        <f>Saisie!J19</f>
        <v>0</v>
      </c>
      <c r="J19" s="150">
        <f>Saisie!K19</f>
        <v>0</v>
      </c>
      <c r="K19" s="150">
        <f>Saisie!L19</f>
        <v>0</v>
      </c>
      <c r="L19" s="150" t="e">
        <f>Saisie!#REF!</f>
        <v>#REF!</v>
      </c>
      <c r="M19" s="55" t="e">
        <f t="array" ref="M19">_xlfn.IFS(Saisie!M19="OUI",1,Saisie!M19="NON",0)</f>
        <v>#N/A</v>
      </c>
      <c r="N19" s="64" t="e">
        <f>Saisie!#REF!</f>
        <v>#REF!</v>
      </c>
      <c r="O19" s="63" t="e">
        <f>Saisie!#REF!</f>
        <v>#REF!</v>
      </c>
      <c r="P19" s="63">
        <f>Saisie!N19</f>
        <v>0</v>
      </c>
      <c r="Q19" s="63" t="e">
        <f t="array" ref="Q19">_xlfn.IFS(Saisie!#REF!="OUI",1,Saisie!#REF!="NON",0)</f>
        <v>#REF!</v>
      </c>
      <c r="R19" s="63" t="e">
        <f>Saisie!#REF!</f>
        <v>#REF!</v>
      </c>
      <c r="S19" s="65" t="e">
        <f>Saisie!#REF!</f>
        <v>#REF!</v>
      </c>
      <c r="T19" s="63" t="e">
        <f>Saisie!#REF!</f>
        <v>#REF!</v>
      </c>
      <c r="U19" s="63" t="e">
        <f>Saisie!#REF!</f>
        <v>#REF!</v>
      </c>
      <c r="V19" s="63" t="e">
        <f t="array" ref="V19">_xlfn.IFS(Saisie!#REF!="OUI",1,Saisie!#REF!="NON",0)</f>
        <v>#REF!</v>
      </c>
      <c r="W19" s="63" t="e">
        <f t="array" ref="W19">_xlfn.IFS(Saisie!O19="OUI",1,Saisie!O19="NON",0)</f>
        <v>#N/A</v>
      </c>
      <c r="X19" s="63">
        <f>Saisie!P19</f>
        <v>0</v>
      </c>
      <c r="Y19" s="299">
        <f>Saisie!H19</f>
        <v>0</v>
      </c>
      <c r="Z19" s="58" t="e">
        <f>Saisie!#REF!</f>
        <v>#REF!</v>
      </c>
      <c r="AA19" s="299">
        <f>Saisie!Q19</f>
        <v>0</v>
      </c>
      <c r="AB19" s="63" t="e">
        <f t="array" ref="AB19">_xlfn.IFS(Saisie!R19="OUI",1,Saisie!R19="NON",0)</f>
        <v>#N/A</v>
      </c>
      <c r="AC19" s="63">
        <f>Saisie!S19</f>
        <v>0</v>
      </c>
      <c r="AD19" s="63" t="e">
        <f t="array" ref="AD19">_xlfn.IFS(Saisie!T19="OUI",1,Saisie!T19="NON",0)</f>
        <v>#N/A</v>
      </c>
      <c r="AE19" s="171">
        <f>Saisie!U19</f>
        <v>0</v>
      </c>
      <c r="AF19" s="263">
        <v>3</v>
      </c>
      <c r="AG19" s="129">
        <f>Saisie!W19</f>
        <v>0</v>
      </c>
      <c r="AH19" s="20">
        <f>Saisie!X19</f>
        <v>0</v>
      </c>
      <c r="AI19" s="21">
        <f>Saisie!Y19</f>
        <v>0</v>
      </c>
      <c r="AJ19" s="59">
        <f>Saisie!Z19</f>
        <v>0</v>
      </c>
      <c r="AK19" s="20">
        <f>Saisie!AA19</f>
        <v>0</v>
      </c>
      <c r="AL19" s="21">
        <f>Saisie!AB19</f>
        <v>0</v>
      </c>
      <c r="AM19" s="59">
        <f>Saisie!AC19</f>
        <v>0</v>
      </c>
      <c r="AN19" s="20">
        <f>Saisie!AD19</f>
        <v>0</v>
      </c>
      <c r="AO19" s="21">
        <f>Saisie!AE19</f>
        <v>0</v>
      </c>
      <c r="AP19" s="59">
        <f>Saisie!AF19</f>
        <v>0</v>
      </c>
      <c r="AQ19" s="129" t="e">
        <f t="array" ref="AQ19">_xlfn.IFS(Saisie!AG19="OUI",1,Saisie!AG19="NON",0)</f>
        <v>#N/A</v>
      </c>
      <c r="AR19" s="129" t="e">
        <f t="array" ref="AR19">_xlfn.IFS(Saisie!AH19="OUI",1,Saisie!AH19="NON",0)</f>
        <v>#N/A</v>
      </c>
      <c r="AS19" s="171">
        <f>Saisie!AI19</f>
        <v>0</v>
      </c>
      <c r="AT19" s="263" t="e">
        <f t="array" ref="AT19">_xlfn.IFS(Saisie!AJ19="OUI",1,Saisie!AJ19="NON",0)</f>
        <v>#N/A</v>
      </c>
      <c r="AU19" s="173">
        <f>Saisie!AK19</f>
        <v>0</v>
      </c>
      <c r="AV19" s="263" t="e">
        <f t="array" ref="AV19">_xlfn.IFS(Saisie!AL19="OUI",1,Saisie!AL19="NON",0)</f>
        <v>#N/A</v>
      </c>
      <c r="AW19" s="171">
        <f>Saisie!AM19</f>
        <v>0</v>
      </c>
      <c r="AX19" s="68">
        <f>Saisie!AN19</f>
        <v>0</v>
      </c>
      <c r="AY19" s="20">
        <f>Saisie!AO19</f>
        <v>0</v>
      </c>
      <c r="AZ19" s="21">
        <f>Saisie!AP19</f>
        <v>0</v>
      </c>
      <c r="BA19" s="298">
        <f>Saisie!AQ19</f>
        <v>0</v>
      </c>
      <c r="BB19" s="170">
        <f>Saisie!AR19</f>
        <v>0</v>
      </c>
      <c r="BC19" s="174">
        <f>Saisie!AS19</f>
        <v>0</v>
      </c>
      <c r="BD19" s="61">
        <f>Saisie!AT19</f>
        <v>0</v>
      </c>
      <c r="BE19" s="175" t="e">
        <f t="array" ref="BE19">_xlfn.IFS(Saisie!AU19="OUI",1,Saisie!AU19="NON",0)</f>
        <v>#N/A</v>
      </c>
      <c r="BF19" s="267">
        <f>Saisie!AV19</f>
        <v>0</v>
      </c>
      <c r="BG19" s="55">
        <f>Saisie!AW19</f>
        <v>0</v>
      </c>
      <c r="BH19" s="55" t="e">
        <f t="array" ref="BH19">_xlfn.IFS(Saisie!AX19="OUI",1,Saisie!AX19="NON",0)</f>
        <v>#N/A</v>
      </c>
      <c r="BI19" s="62">
        <f>Saisie!AY19</f>
        <v>0</v>
      </c>
      <c r="BJ19" s="55" t="e">
        <f t="array" ref="BJ19">_xlfn.IFS(Saisie!AZ19="OUI",1,Saisie!AZ19="NON",0)</f>
        <v>#N/A</v>
      </c>
      <c r="BK19" s="55" t="e">
        <f t="array" ref="BK19">_xlfn.IFS(Saisie!BA19="OUI",1,Saisie!BA19="NON",0)</f>
        <v>#N/A</v>
      </c>
      <c r="BL19" s="55">
        <f>Saisie!BB19</f>
        <v>0</v>
      </c>
      <c r="BM19" s="49" t="e">
        <f>Saisie!BC19</f>
        <v>#REF!</v>
      </c>
      <c r="BN19" s="175"/>
    </row>
    <row r="20" spans="1:66" s="176" customFormat="1" x14ac:dyDescent="0.45">
      <c r="A20" s="13">
        <v>14</v>
      </c>
      <c r="B20" s="150">
        <f>Saisie!B20</f>
        <v>0</v>
      </c>
      <c r="C20" s="150">
        <f>Saisie!C20</f>
        <v>0</v>
      </c>
      <c r="D20" s="150">
        <f>Saisie!D20</f>
        <v>0</v>
      </c>
      <c r="E20" s="150">
        <f>Saisie!E20</f>
        <v>0</v>
      </c>
      <c r="F20" s="150">
        <f>Saisie!F20</f>
        <v>0</v>
      </c>
      <c r="G20" s="150">
        <f>Saisie!G20</f>
        <v>0</v>
      </c>
      <c r="H20" s="150">
        <f>Saisie!I20</f>
        <v>0</v>
      </c>
      <c r="I20" s="150">
        <f>Saisie!J20</f>
        <v>0</v>
      </c>
      <c r="J20" s="150">
        <f>Saisie!K20</f>
        <v>0</v>
      </c>
      <c r="K20" s="150">
        <f>Saisie!L20</f>
        <v>0</v>
      </c>
      <c r="L20" s="150" t="e">
        <f>Saisie!#REF!</f>
        <v>#REF!</v>
      </c>
      <c r="M20" s="55" t="e">
        <f t="array" ref="M20">_xlfn.IFS(Saisie!M20="OUI",1,Saisie!M20="NON",0)</f>
        <v>#N/A</v>
      </c>
      <c r="N20" s="64" t="e">
        <f>Saisie!#REF!</f>
        <v>#REF!</v>
      </c>
      <c r="O20" s="63" t="e">
        <f>Saisie!#REF!</f>
        <v>#REF!</v>
      </c>
      <c r="P20" s="63">
        <f>Saisie!N20</f>
        <v>0</v>
      </c>
      <c r="Q20" s="63" t="e">
        <f t="array" ref="Q20">_xlfn.IFS(Saisie!#REF!="OUI",1,Saisie!#REF!="NON",0)</f>
        <v>#REF!</v>
      </c>
      <c r="R20" s="63" t="e">
        <f>Saisie!#REF!</f>
        <v>#REF!</v>
      </c>
      <c r="S20" s="65" t="e">
        <f>Saisie!#REF!</f>
        <v>#REF!</v>
      </c>
      <c r="T20" s="63" t="e">
        <f>Saisie!#REF!</f>
        <v>#REF!</v>
      </c>
      <c r="U20" s="63" t="e">
        <f>Saisie!#REF!</f>
        <v>#REF!</v>
      </c>
      <c r="V20" s="63" t="e">
        <f t="array" ref="V20">_xlfn.IFS(Saisie!#REF!="OUI",1,Saisie!#REF!="NON",0)</f>
        <v>#REF!</v>
      </c>
      <c r="W20" s="63" t="e">
        <f t="array" ref="W20">_xlfn.IFS(Saisie!O20="OUI",1,Saisie!O20="NON",0)</f>
        <v>#N/A</v>
      </c>
      <c r="X20" s="63">
        <f>Saisie!P20</f>
        <v>0</v>
      </c>
      <c r="Y20" s="299">
        <f>Saisie!H20</f>
        <v>0</v>
      </c>
      <c r="Z20" s="58" t="e">
        <f>Saisie!#REF!</f>
        <v>#REF!</v>
      </c>
      <c r="AA20" s="299">
        <f>Saisie!Q20</f>
        <v>0</v>
      </c>
      <c r="AB20" s="63" t="e">
        <f t="array" ref="AB20">_xlfn.IFS(Saisie!R20="OUI",1,Saisie!R20="NON",0)</f>
        <v>#N/A</v>
      </c>
      <c r="AC20" s="63">
        <f>Saisie!S20</f>
        <v>0</v>
      </c>
      <c r="AD20" s="63" t="e">
        <f t="array" ref="AD20">_xlfn.IFS(Saisie!T20="OUI",1,Saisie!T20="NON",0)</f>
        <v>#N/A</v>
      </c>
      <c r="AE20" s="171">
        <f>Saisie!U20</f>
        <v>0</v>
      </c>
      <c r="AF20" s="263">
        <v>3</v>
      </c>
      <c r="AG20" s="129">
        <f>Saisie!W20</f>
        <v>0</v>
      </c>
      <c r="AH20" s="20">
        <f>Saisie!X20</f>
        <v>0</v>
      </c>
      <c r="AI20" s="21">
        <f>Saisie!Y20</f>
        <v>0</v>
      </c>
      <c r="AJ20" s="59">
        <f>Saisie!Z20</f>
        <v>0</v>
      </c>
      <c r="AK20" s="20">
        <f>Saisie!AA20</f>
        <v>0</v>
      </c>
      <c r="AL20" s="21">
        <f>Saisie!AB20</f>
        <v>0</v>
      </c>
      <c r="AM20" s="59">
        <f>Saisie!AC20</f>
        <v>0</v>
      </c>
      <c r="AN20" s="20">
        <f>Saisie!AD20</f>
        <v>0</v>
      </c>
      <c r="AO20" s="21">
        <f>Saisie!AE20</f>
        <v>0</v>
      </c>
      <c r="AP20" s="59">
        <f>Saisie!AF20</f>
        <v>0</v>
      </c>
      <c r="AQ20" s="129" t="e">
        <f t="array" ref="AQ20">_xlfn.IFS(Saisie!AG20="OUI",1,Saisie!AG20="NON",0)</f>
        <v>#N/A</v>
      </c>
      <c r="AR20" s="129" t="e">
        <f t="array" ref="AR20">_xlfn.IFS(Saisie!AH20="OUI",1,Saisie!AH20="NON",0)</f>
        <v>#N/A</v>
      </c>
      <c r="AS20" s="171">
        <f>Saisie!AI20</f>
        <v>0</v>
      </c>
      <c r="AT20" s="263" t="e">
        <f t="array" ref="AT20">_xlfn.IFS(Saisie!AJ20="OUI",1,Saisie!AJ20="NON",0)</f>
        <v>#N/A</v>
      </c>
      <c r="AU20" s="173">
        <f>Saisie!AK20</f>
        <v>0</v>
      </c>
      <c r="AV20" s="263" t="e">
        <f t="array" ref="AV20">_xlfn.IFS(Saisie!AL20="OUI",1,Saisie!AL20="NON",0)</f>
        <v>#N/A</v>
      </c>
      <c r="AW20" s="171">
        <f>Saisie!AM20</f>
        <v>0</v>
      </c>
      <c r="AX20" s="68">
        <f>Saisie!AN20</f>
        <v>0</v>
      </c>
      <c r="AY20" s="20">
        <f>Saisie!AO20</f>
        <v>0</v>
      </c>
      <c r="AZ20" s="21">
        <f>Saisie!AP20</f>
        <v>0</v>
      </c>
      <c r="BA20" s="298">
        <f>Saisie!AQ20</f>
        <v>0</v>
      </c>
      <c r="BB20" s="170">
        <f>Saisie!AR20</f>
        <v>0</v>
      </c>
      <c r="BC20" s="174">
        <f>Saisie!AS20</f>
        <v>0</v>
      </c>
      <c r="BD20" s="61">
        <f>Saisie!AT20</f>
        <v>0</v>
      </c>
      <c r="BE20" s="175" t="e">
        <f t="array" ref="BE20">_xlfn.IFS(Saisie!AU20="OUI",1,Saisie!AU20="NON",0)</f>
        <v>#N/A</v>
      </c>
      <c r="BF20" s="267">
        <f>Saisie!AV20</f>
        <v>0</v>
      </c>
      <c r="BG20" s="55">
        <f>Saisie!AW20</f>
        <v>0</v>
      </c>
      <c r="BH20" s="55" t="e">
        <f t="array" ref="BH20">_xlfn.IFS(Saisie!AX20="OUI",1,Saisie!AX20="NON",0)</f>
        <v>#N/A</v>
      </c>
      <c r="BI20" s="62">
        <f>Saisie!AY20</f>
        <v>0</v>
      </c>
      <c r="BJ20" s="55" t="e">
        <f t="array" ref="BJ20">_xlfn.IFS(Saisie!AZ20="OUI",1,Saisie!AZ20="NON",0)</f>
        <v>#N/A</v>
      </c>
      <c r="BK20" s="55" t="e">
        <f t="array" ref="BK20">_xlfn.IFS(Saisie!BA20="OUI",1,Saisie!BA20="NON",0)</f>
        <v>#N/A</v>
      </c>
      <c r="BL20" s="55">
        <f>Saisie!BB20</f>
        <v>0</v>
      </c>
      <c r="BM20" s="49" t="e">
        <f>Saisie!BC20</f>
        <v>#REF!</v>
      </c>
      <c r="BN20" s="175"/>
    </row>
    <row r="21" spans="1:66" s="176" customFormat="1" x14ac:dyDescent="0.45">
      <c r="A21" s="13">
        <v>15</v>
      </c>
      <c r="B21" s="150">
        <f>Saisie!B21</f>
        <v>0</v>
      </c>
      <c r="C21" s="150">
        <f>Saisie!C21</f>
        <v>0</v>
      </c>
      <c r="D21" s="150">
        <f>Saisie!D21</f>
        <v>0</v>
      </c>
      <c r="E21" s="150">
        <f>Saisie!E21</f>
        <v>0</v>
      </c>
      <c r="F21" s="150">
        <f>Saisie!F21</f>
        <v>0</v>
      </c>
      <c r="G21" s="150">
        <f>Saisie!G21</f>
        <v>0</v>
      </c>
      <c r="H21" s="150">
        <f>Saisie!I21</f>
        <v>0</v>
      </c>
      <c r="I21" s="150">
        <f>Saisie!J21</f>
        <v>0</v>
      </c>
      <c r="J21" s="150">
        <f>Saisie!K21</f>
        <v>0</v>
      </c>
      <c r="K21" s="150">
        <f>Saisie!L21</f>
        <v>0</v>
      </c>
      <c r="L21" s="150" t="e">
        <f>Saisie!#REF!</f>
        <v>#REF!</v>
      </c>
      <c r="M21" s="55" t="e">
        <f t="array" ref="M21">_xlfn.IFS(Saisie!M21="OUI",1,Saisie!M21="NON",0)</f>
        <v>#N/A</v>
      </c>
      <c r="N21" s="64" t="e">
        <f>Saisie!#REF!</f>
        <v>#REF!</v>
      </c>
      <c r="O21" s="63" t="e">
        <f>Saisie!#REF!</f>
        <v>#REF!</v>
      </c>
      <c r="P21" s="63">
        <f>Saisie!N21</f>
        <v>0</v>
      </c>
      <c r="Q21" s="63" t="e">
        <f t="array" ref="Q21">_xlfn.IFS(Saisie!#REF!="OUI",1,Saisie!#REF!="NON",0)</f>
        <v>#REF!</v>
      </c>
      <c r="R21" s="63" t="e">
        <f>Saisie!#REF!</f>
        <v>#REF!</v>
      </c>
      <c r="S21" s="65" t="e">
        <f>Saisie!#REF!</f>
        <v>#REF!</v>
      </c>
      <c r="T21" s="63" t="e">
        <f>Saisie!#REF!</f>
        <v>#REF!</v>
      </c>
      <c r="U21" s="63" t="e">
        <f>Saisie!#REF!</f>
        <v>#REF!</v>
      </c>
      <c r="V21" s="63" t="e">
        <f t="array" ref="V21">_xlfn.IFS(Saisie!#REF!="OUI",1,Saisie!#REF!="NON",0)</f>
        <v>#REF!</v>
      </c>
      <c r="W21" s="63" t="e">
        <f t="array" ref="W21">_xlfn.IFS(Saisie!O21="OUI",1,Saisie!O21="NON",0)</f>
        <v>#N/A</v>
      </c>
      <c r="X21" s="63">
        <f>Saisie!P21</f>
        <v>0</v>
      </c>
      <c r="Y21" s="299">
        <f>Saisie!H21</f>
        <v>0</v>
      </c>
      <c r="Z21" s="58" t="e">
        <f>Saisie!#REF!</f>
        <v>#REF!</v>
      </c>
      <c r="AA21" s="299">
        <f>Saisie!Q21</f>
        <v>0</v>
      </c>
      <c r="AB21" s="63" t="e">
        <f t="array" ref="AB21">_xlfn.IFS(Saisie!R21="OUI",1,Saisie!R21="NON",0)</f>
        <v>#N/A</v>
      </c>
      <c r="AC21" s="63">
        <f>Saisie!S21</f>
        <v>0</v>
      </c>
      <c r="AD21" s="63" t="e">
        <f t="array" ref="AD21">_xlfn.IFS(Saisie!T21="OUI",1,Saisie!T21="NON",0)</f>
        <v>#N/A</v>
      </c>
      <c r="AE21" s="171">
        <f>Saisie!U21</f>
        <v>0</v>
      </c>
      <c r="AF21" s="263">
        <v>3</v>
      </c>
      <c r="AG21" s="129">
        <f>Saisie!W21</f>
        <v>0</v>
      </c>
      <c r="AH21" s="20">
        <f>Saisie!X21</f>
        <v>0</v>
      </c>
      <c r="AI21" s="21">
        <f>Saisie!Y21</f>
        <v>0</v>
      </c>
      <c r="AJ21" s="59">
        <f>Saisie!Z21</f>
        <v>0</v>
      </c>
      <c r="AK21" s="20">
        <f>Saisie!AA21</f>
        <v>0</v>
      </c>
      <c r="AL21" s="21">
        <f>Saisie!AB21</f>
        <v>0</v>
      </c>
      <c r="AM21" s="59">
        <f>Saisie!AC21</f>
        <v>0</v>
      </c>
      <c r="AN21" s="20">
        <f>Saisie!AD21</f>
        <v>0</v>
      </c>
      <c r="AO21" s="21">
        <f>Saisie!AE21</f>
        <v>0</v>
      </c>
      <c r="AP21" s="59">
        <f>Saisie!AF21</f>
        <v>0</v>
      </c>
      <c r="AQ21" s="129" t="e">
        <f t="array" ref="AQ21">_xlfn.IFS(Saisie!AG21="OUI",1,Saisie!AG21="NON",0)</f>
        <v>#N/A</v>
      </c>
      <c r="AR21" s="129" t="e">
        <f t="array" ref="AR21">_xlfn.IFS(Saisie!AH21="OUI",1,Saisie!AH21="NON",0)</f>
        <v>#N/A</v>
      </c>
      <c r="AS21" s="171">
        <f>Saisie!AI21</f>
        <v>0</v>
      </c>
      <c r="AT21" s="263" t="e">
        <f t="array" ref="AT21">_xlfn.IFS(Saisie!AJ21="OUI",1,Saisie!AJ21="NON",0)</f>
        <v>#N/A</v>
      </c>
      <c r="AU21" s="173">
        <f>Saisie!AK21</f>
        <v>0</v>
      </c>
      <c r="AV21" s="263" t="e">
        <f t="array" ref="AV21">_xlfn.IFS(Saisie!AL21="OUI",1,Saisie!AL21="NON",0)</f>
        <v>#N/A</v>
      </c>
      <c r="AW21" s="171">
        <f>Saisie!AM21</f>
        <v>0</v>
      </c>
      <c r="AX21" s="68">
        <f>Saisie!AN21</f>
        <v>0</v>
      </c>
      <c r="AY21" s="20">
        <f>Saisie!AO21</f>
        <v>0</v>
      </c>
      <c r="AZ21" s="21">
        <f>Saisie!AP21</f>
        <v>0</v>
      </c>
      <c r="BA21" s="298">
        <f>Saisie!AQ21</f>
        <v>0</v>
      </c>
      <c r="BB21" s="170">
        <f>Saisie!AR21</f>
        <v>0</v>
      </c>
      <c r="BC21" s="174">
        <f>Saisie!AS21</f>
        <v>0</v>
      </c>
      <c r="BD21" s="61">
        <f>Saisie!AT21</f>
        <v>0</v>
      </c>
      <c r="BE21" s="175" t="e">
        <f t="array" ref="BE21">_xlfn.IFS(Saisie!AU21="OUI",1,Saisie!AU21="NON",0)</f>
        <v>#N/A</v>
      </c>
      <c r="BF21" s="267">
        <f>Saisie!AV21</f>
        <v>0</v>
      </c>
      <c r="BG21" s="55">
        <f>Saisie!AW21</f>
        <v>0</v>
      </c>
      <c r="BH21" s="55" t="e">
        <f t="array" ref="BH21">_xlfn.IFS(Saisie!AX21="OUI",1,Saisie!AX21="NON",0)</f>
        <v>#N/A</v>
      </c>
      <c r="BI21" s="62">
        <f>Saisie!AY21</f>
        <v>0</v>
      </c>
      <c r="BJ21" s="55" t="e">
        <f t="array" ref="BJ21">_xlfn.IFS(Saisie!AZ21="OUI",1,Saisie!AZ21="NON",0)</f>
        <v>#N/A</v>
      </c>
      <c r="BK21" s="55" t="e">
        <f t="array" ref="BK21">_xlfn.IFS(Saisie!BA21="OUI",1,Saisie!BA21="NON",0)</f>
        <v>#N/A</v>
      </c>
      <c r="BL21" s="55">
        <f>Saisie!BB21</f>
        <v>0</v>
      </c>
      <c r="BM21" s="49" t="e">
        <f>Saisie!BC21</f>
        <v>#REF!</v>
      </c>
      <c r="BN21" s="175"/>
    </row>
    <row r="22" spans="1:66" s="176" customFormat="1" x14ac:dyDescent="0.45">
      <c r="A22" s="12">
        <v>16</v>
      </c>
      <c r="B22" s="150">
        <f>Saisie!B22</f>
        <v>0</v>
      </c>
      <c r="C22" s="150">
        <f>Saisie!C22</f>
        <v>0</v>
      </c>
      <c r="D22" s="150">
        <f>Saisie!D22</f>
        <v>0</v>
      </c>
      <c r="E22" s="150">
        <f>Saisie!E22</f>
        <v>0</v>
      </c>
      <c r="F22" s="150">
        <f>Saisie!F22</f>
        <v>0</v>
      </c>
      <c r="G22" s="150">
        <f>Saisie!G22</f>
        <v>0</v>
      </c>
      <c r="H22" s="150">
        <f>Saisie!I22</f>
        <v>0</v>
      </c>
      <c r="I22" s="150">
        <f>Saisie!J22</f>
        <v>0</v>
      </c>
      <c r="J22" s="150">
        <f>Saisie!K22</f>
        <v>0</v>
      </c>
      <c r="K22" s="150">
        <f>Saisie!L22</f>
        <v>0</v>
      </c>
      <c r="L22" s="150" t="e">
        <f>Saisie!#REF!</f>
        <v>#REF!</v>
      </c>
      <c r="M22" s="55" t="e">
        <f t="array" ref="M22">_xlfn.IFS(Saisie!M22="OUI",1,Saisie!M22="NON",0)</f>
        <v>#N/A</v>
      </c>
      <c r="N22" s="64" t="e">
        <f>Saisie!#REF!</f>
        <v>#REF!</v>
      </c>
      <c r="O22" s="63" t="e">
        <f>Saisie!#REF!</f>
        <v>#REF!</v>
      </c>
      <c r="P22" s="63">
        <f>Saisie!N22</f>
        <v>0</v>
      </c>
      <c r="Q22" s="63" t="e">
        <f t="array" ref="Q22">_xlfn.IFS(Saisie!#REF!="OUI",1,Saisie!#REF!="NON",0)</f>
        <v>#REF!</v>
      </c>
      <c r="R22" s="63" t="e">
        <f>Saisie!#REF!</f>
        <v>#REF!</v>
      </c>
      <c r="S22" s="65" t="e">
        <f>Saisie!#REF!</f>
        <v>#REF!</v>
      </c>
      <c r="T22" s="63" t="e">
        <f>Saisie!#REF!</f>
        <v>#REF!</v>
      </c>
      <c r="U22" s="63" t="e">
        <f>Saisie!#REF!</f>
        <v>#REF!</v>
      </c>
      <c r="V22" s="63" t="e">
        <f t="array" ref="V22">_xlfn.IFS(Saisie!#REF!="OUI",1,Saisie!#REF!="NON",0)</f>
        <v>#REF!</v>
      </c>
      <c r="W22" s="63" t="e">
        <f t="array" ref="W22">_xlfn.IFS(Saisie!O22="OUI",1,Saisie!O22="NON",0)</f>
        <v>#N/A</v>
      </c>
      <c r="X22" s="63">
        <f>Saisie!P22</f>
        <v>0</v>
      </c>
      <c r="Y22" s="299">
        <f>Saisie!H22</f>
        <v>0</v>
      </c>
      <c r="Z22" s="58" t="e">
        <f>Saisie!#REF!</f>
        <v>#REF!</v>
      </c>
      <c r="AA22" s="299">
        <f>Saisie!Q22</f>
        <v>0</v>
      </c>
      <c r="AB22" s="63" t="e">
        <f t="array" ref="AB22">_xlfn.IFS(Saisie!R22="OUI",1,Saisie!R22="NON",0)</f>
        <v>#N/A</v>
      </c>
      <c r="AC22" s="63">
        <f>Saisie!S22</f>
        <v>0</v>
      </c>
      <c r="AD22" s="63" t="e">
        <f t="array" ref="AD22">_xlfn.IFS(Saisie!T22="OUI",1,Saisie!T22="NON",0)</f>
        <v>#N/A</v>
      </c>
      <c r="AE22" s="171">
        <f>Saisie!U22</f>
        <v>0</v>
      </c>
      <c r="AF22" s="263">
        <v>3</v>
      </c>
      <c r="AG22" s="129">
        <f>Saisie!W22</f>
        <v>0</v>
      </c>
      <c r="AH22" s="20">
        <f>Saisie!X22</f>
        <v>0</v>
      </c>
      <c r="AI22" s="21">
        <f>Saisie!Y22</f>
        <v>0</v>
      </c>
      <c r="AJ22" s="59">
        <f>Saisie!Z22</f>
        <v>0</v>
      </c>
      <c r="AK22" s="20">
        <f>Saisie!AA22</f>
        <v>0</v>
      </c>
      <c r="AL22" s="21">
        <f>Saisie!AB22</f>
        <v>0</v>
      </c>
      <c r="AM22" s="59">
        <f>Saisie!AC22</f>
        <v>0</v>
      </c>
      <c r="AN22" s="20">
        <f>Saisie!AD22</f>
        <v>0</v>
      </c>
      <c r="AO22" s="21">
        <f>Saisie!AE22</f>
        <v>0</v>
      </c>
      <c r="AP22" s="59">
        <f>Saisie!AF22</f>
        <v>0</v>
      </c>
      <c r="AQ22" s="129" t="e">
        <f t="array" ref="AQ22">_xlfn.IFS(Saisie!AG22="OUI",1,Saisie!AG22="NON",0)</f>
        <v>#N/A</v>
      </c>
      <c r="AR22" s="129" t="e">
        <f t="array" ref="AR22">_xlfn.IFS(Saisie!AH22="OUI",1,Saisie!AH22="NON",0)</f>
        <v>#N/A</v>
      </c>
      <c r="AS22" s="171">
        <f>Saisie!AI22</f>
        <v>0</v>
      </c>
      <c r="AT22" s="263" t="e">
        <f t="array" ref="AT22">_xlfn.IFS(Saisie!AJ22="OUI",1,Saisie!AJ22="NON",0)</f>
        <v>#N/A</v>
      </c>
      <c r="AU22" s="173">
        <f>Saisie!AK22</f>
        <v>0</v>
      </c>
      <c r="AV22" s="263" t="e">
        <f t="array" ref="AV22">_xlfn.IFS(Saisie!AL22="OUI",1,Saisie!AL22="NON",0)</f>
        <v>#N/A</v>
      </c>
      <c r="AW22" s="171">
        <f>Saisie!AM22</f>
        <v>0</v>
      </c>
      <c r="AX22" s="68">
        <f>Saisie!AN22</f>
        <v>0</v>
      </c>
      <c r="AY22" s="20">
        <f>Saisie!AO22</f>
        <v>0</v>
      </c>
      <c r="AZ22" s="21">
        <f>Saisie!AP22</f>
        <v>0</v>
      </c>
      <c r="BA22" s="298">
        <f>Saisie!AQ22</f>
        <v>0</v>
      </c>
      <c r="BB22" s="170">
        <f>Saisie!AR22</f>
        <v>0</v>
      </c>
      <c r="BC22" s="174">
        <f>Saisie!AS22</f>
        <v>0</v>
      </c>
      <c r="BD22" s="61">
        <f>Saisie!AT22</f>
        <v>0</v>
      </c>
      <c r="BE22" s="175" t="e">
        <f t="array" ref="BE22">_xlfn.IFS(Saisie!AU22="OUI",1,Saisie!AU22="NON",0)</f>
        <v>#N/A</v>
      </c>
      <c r="BF22" s="267">
        <f>Saisie!AV22</f>
        <v>0</v>
      </c>
      <c r="BG22" s="55">
        <f>Saisie!AW22</f>
        <v>0</v>
      </c>
      <c r="BH22" s="55" t="e">
        <f t="array" ref="BH22">_xlfn.IFS(Saisie!AX22="OUI",1,Saisie!AX22="NON",0)</f>
        <v>#N/A</v>
      </c>
      <c r="BI22" s="62">
        <f>Saisie!AY22</f>
        <v>0</v>
      </c>
      <c r="BJ22" s="55" t="e">
        <f t="array" ref="BJ22">_xlfn.IFS(Saisie!AZ22="OUI",1,Saisie!AZ22="NON",0)</f>
        <v>#N/A</v>
      </c>
      <c r="BK22" s="55" t="e">
        <f t="array" ref="BK22">_xlfn.IFS(Saisie!BA22="OUI",1,Saisie!BA22="NON",0)</f>
        <v>#N/A</v>
      </c>
      <c r="BL22" s="55">
        <f>Saisie!BB22</f>
        <v>0</v>
      </c>
      <c r="BM22" s="49" t="e">
        <f>Saisie!BC22</f>
        <v>#REF!</v>
      </c>
      <c r="BN22" s="175"/>
    </row>
    <row r="23" spans="1:66" s="176" customFormat="1" x14ac:dyDescent="0.45">
      <c r="A23" s="13">
        <v>17</v>
      </c>
      <c r="B23" s="150">
        <f>Saisie!B23</f>
        <v>0</v>
      </c>
      <c r="C23" s="150">
        <f>Saisie!C23</f>
        <v>0</v>
      </c>
      <c r="D23" s="150">
        <f>Saisie!D23</f>
        <v>0</v>
      </c>
      <c r="E23" s="150">
        <f>Saisie!E23</f>
        <v>0</v>
      </c>
      <c r="F23" s="150">
        <f>Saisie!F23</f>
        <v>0</v>
      </c>
      <c r="G23" s="150">
        <f>Saisie!G23</f>
        <v>0</v>
      </c>
      <c r="H23" s="150">
        <f>Saisie!I23</f>
        <v>0</v>
      </c>
      <c r="I23" s="150">
        <f>Saisie!J23</f>
        <v>0</v>
      </c>
      <c r="J23" s="150">
        <f>Saisie!K23</f>
        <v>0</v>
      </c>
      <c r="K23" s="150">
        <f>Saisie!L23</f>
        <v>0</v>
      </c>
      <c r="L23" s="150" t="e">
        <f>Saisie!#REF!</f>
        <v>#REF!</v>
      </c>
      <c r="M23" s="55" t="e">
        <f t="array" ref="M23">_xlfn.IFS(Saisie!M23="OUI",1,Saisie!M23="NON",0)</f>
        <v>#N/A</v>
      </c>
      <c r="N23" s="64" t="e">
        <f>Saisie!#REF!</f>
        <v>#REF!</v>
      </c>
      <c r="O23" s="63" t="e">
        <f>Saisie!#REF!</f>
        <v>#REF!</v>
      </c>
      <c r="P23" s="63">
        <f>Saisie!N23</f>
        <v>0</v>
      </c>
      <c r="Q23" s="63" t="e">
        <f t="array" ref="Q23">_xlfn.IFS(Saisie!#REF!="OUI",1,Saisie!#REF!="NON",0)</f>
        <v>#REF!</v>
      </c>
      <c r="R23" s="63" t="e">
        <f>Saisie!#REF!</f>
        <v>#REF!</v>
      </c>
      <c r="S23" s="65" t="e">
        <f>Saisie!#REF!</f>
        <v>#REF!</v>
      </c>
      <c r="T23" s="63" t="e">
        <f>Saisie!#REF!</f>
        <v>#REF!</v>
      </c>
      <c r="U23" s="63" t="e">
        <f>Saisie!#REF!</f>
        <v>#REF!</v>
      </c>
      <c r="V23" s="63" t="e">
        <f t="array" ref="V23">_xlfn.IFS(Saisie!#REF!="OUI",1,Saisie!#REF!="NON",0)</f>
        <v>#REF!</v>
      </c>
      <c r="W23" s="63" t="e">
        <f t="array" ref="W23">_xlfn.IFS(Saisie!O23="OUI",1,Saisie!O23="NON",0)</f>
        <v>#N/A</v>
      </c>
      <c r="X23" s="63">
        <f>Saisie!P23</f>
        <v>0</v>
      </c>
      <c r="Y23" s="299">
        <f>Saisie!H23</f>
        <v>0</v>
      </c>
      <c r="Z23" s="58" t="e">
        <f>Saisie!#REF!</f>
        <v>#REF!</v>
      </c>
      <c r="AA23" s="299">
        <f>Saisie!Q23</f>
        <v>0</v>
      </c>
      <c r="AB23" s="63" t="e">
        <f t="array" ref="AB23">_xlfn.IFS(Saisie!R23="OUI",1,Saisie!R23="NON",0)</f>
        <v>#N/A</v>
      </c>
      <c r="AC23" s="63">
        <f>Saisie!S23</f>
        <v>0</v>
      </c>
      <c r="AD23" s="63" t="e">
        <f t="array" ref="AD23">_xlfn.IFS(Saisie!T23="OUI",1,Saisie!T23="NON",0)</f>
        <v>#N/A</v>
      </c>
      <c r="AE23" s="171">
        <f>Saisie!U23</f>
        <v>0</v>
      </c>
      <c r="AF23" s="263">
        <v>3</v>
      </c>
      <c r="AG23" s="129">
        <f>Saisie!W23</f>
        <v>0</v>
      </c>
      <c r="AH23" s="20">
        <f>Saisie!X23</f>
        <v>0</v>
      </c>
      <c r="AI23" s="21">
        <f>Saisie!Y23</f>
        <v>0</v>
      </c>
      <c r="AJ23" s="59">
        <f>Saisie!Z23</f>
        <v>0</v>
      </c>
      <c r="AK23" s="20">
        <f>Saisie!AA23</f>
        <v>0</v>
      </c>
      <c r="AL23" s="21">
        <f>Saisie!AB23</f>
        <v>0</v>
      </c>
      <c r="AM23" s="59">
        <f>Saisie!AC23</f>
        <v>0</v>
      </c>
      <c r="AN23" s="20">
        <f>Saisie!AD23</f>
        <v>0</v>
      </c>
      <c r="AO23" s="21">
        <f>Saisie!AE23</f>
        <v>0</v>
      </c>
      <c r="AP23" s="59">
        <f>Saisie!AF23</f>
        <v>0</v>
      </c>
      <c r="AQ23" s="129" t="e">
        <f t="array" ref="AQ23">_xlfn.IFS(Saisie!AG23="OUI",1,Saisie!AG23="NON",0)</f>
        <v>#N/A</v>
      </c>
      <c r="AR23" s="129" t="e">
        <f t="array" ref="AR23">_xlfn.IFS(Saisie!AH23="OUI",1,Saisie!AH23="NON",0)</f>
        <v>#N/A</v>
      </c>
      <c r="AS23" s="171">
        <f>Saisie!AI23</f>
        <v>0</v>
      </c>
      <c r="AT23" s="263" t="e">
        <f t="array" ref="AT23">_xlfn.IFS(Saisie!AJ23="OUI",1,Saisie!AJ23="NON",0)</f>
        <v>#N/A</v>
      </c>
      <c r="AU23" s="173">
        <f>Saisie!AK23</f>
        <v>0</v>
      </c>
      <c r="AV23" s="263" t="e">
        <f t="array" ref="AV23">_xlfn.IFS(Saisie!AL23="OUI",1,Saisie!AL23="NON",0)</f>
        <v>#N/A</v>
      </c>
      <c r="AW23" s="171">
        <f>Saisie!AM23</f>
        <v>0</v>
      </c>
      <c r="AX23" s="68">
        <f>Saisie!AN23</f>
        <v>0</v>
      </c>
      <c r="AY23" s="20">
        <f>Saisie!AO23</f>
        <v>0</v>
      </c>
      <c r="AZ23" s="21">
        <f>Saisie!AP23</f>
        <v>0</v>
      </c>
      <c r="BA23" s="298">
        <f>Saisie!AQ23</f>
        <v>0</v>
      </c>
      <c r="BB23" s="170">
        <f>Saisie!AR23</f>
        <v>0</v>
      </c>
      <c r="BC23" s="174">
        <f>Saisie!AS23</f>
        <v>0</v>
      </c>
      <c r="BD23" s="61">
        <f>Saisie!AT23</f>
        <v>0</v>
      </c>
      <c r="BE23" s="175" t="e">
        <f t="array" ref="BE23">_xlfn.IFS(Saisie!AU23="OUI",1,Saisie!AU23="NON",0)</f>
        <v>#N/A</v>
      </c>
      <c r="BF23" s="267">
        <f>Saisie!AV23</f>
        <v>0</v>
      </c>
      <c r="BG23" s="55">
        <f>Saisie!AW23</f>
        <v>0</v>
      </c>
      <c r="BH23" s="55" t="e">
        <f t="array" ref="BH23">_xlfn.IFS(Saisie!AX23="OUI",1,Saisie!AX23="NON",0)</f>
        <v>#N/A</v>
      </c>
      <c r="BI23" s="62">
        <f>Saisie!AY23</f>
        <v>0</v>
      </c>
      <c r="BJ23" s="55" t="e">
        <f t="array" ref="BJ23">_xlfn.IFS(Saisie!AZ23="OUI",1,Saisie!AZ23="NON",0)</f>
        <v>#N/A</v>
      </c>
      <c r="BK23" s="55" t="e">
        <f t="array" ref="BK23">_xlfn.IFS(Saisie!BA23="OUI",1,Saisie!BA23="NON",0)</f>
        <v>#N/A</v>
      </c>
      <c r="BL23" s="55">
        <f>Saisie!BB23</f>
        <v>0</v>
      </c>
      <c r="BM23" s="49" t="e">
        <f>Saisie!BC23</f>
        <v>#REF!</v>
      </c>
      <c r="BN23" s="175"/>
    </row>
    <row r="24" spans="1:66" s="176" customFormat="1" x14ac:dyDescent="0.45">
      <c r="A24" s="13">
        <v>18</v>
      </c>
      <c r="B24" s="150">
        <f>Saisie!B24</f>
        <v>0</v>
      </c>
      <c r="C24" s="150">
        <f>Saisie!C24</f>
        <v>0</v>
      </c>
      <c r="D24" s="150">
        <f>Saisie!D24</f>
        <v>0</v>
      </c>
      <c r="E24" s="150">
        <f>Saisie!E24</f>
        <v>0</v>
      </c>
      <c r="F24" s="150">
        <f>Saisie!F24</f>
        <v>0</v>
      </c>
      <c r="G24" s="150">
        <f>Saisie!G24</f>
        <v>0</v>
      </c>
      <c r="H24" s="150">
        <f>Saisie!I24</f>
        <v>0</v>
      </c>
      <c r="I24" s="150">
        <f>Saisie!J24</f>
        <v>0</v>
      </c>
      <c r="J24" s="150">
        <f>Saisie!K24</f>
        <v>0</v>
      </c>
      <c r="K24" s="150">
        <f>Saisie!L24</f>
        <v>0</v>
      </c>
      <c r="L24" s="150" t="e">
        <f>Saisie!#REF!</f>
        <v>#REF!</v>
      </c>
      <c r="M24" s="55" t="e">
        <f t="array" ref="M24">_xlfn.IFS(Saisie!M24="OUI",1,Saisie!M24="NON",0)</f>
        <v>#N/A</v>
      </c>
      <c r="N24" s="64" t="e">
        <f>Saisie!#REF!</f>
        <v>#REF!</v>
      </c>
      <c r="O24" s="63" t="e">
        <f>Saisie!#REF!</f>
        <v>#REF!</v>
      </c>
      <c r="P24" s="63">
        <f>Saisie!N24</f>
        <v>0</v>
      </c>
      <c r="Q24" s="63" t="e">
        <f t="array" ref="Q24">_xlfn.IFS(Saisie!#REF!="OUI",1,Saisie!#REF!="NON",0)</f>
        <v>#REF!</v>
      </c>
      <c r="R24" s="63" t="e">
        <f>Saisie!#REF!</f>
        <v>#REF!</v>
      </c>
      <c r="S24" s="65" t="e">
        <f>Saisie!#REF!</f>
        <v>#REF!</v>
      </c>
      <c r="T24" s="63" t="e">
        <f>Saisie!#REF!</f>
        <v>#REF!</v>
      </c>
      <c r="U24" s="63" t="e">
        <f>Saisie!#REF!</f>
        <v>#REF!</v>
      </c>
      <c r="V24" s="63" t="e">
        <f t="array" ref="V24">_xlfn.IFS(Saisie!#REF!="OUI",1,Saisie!#REF!="NON",0)</f>
        <v>#REF!</v>
      </c>
      <c r="W24" s="63" t="e">
        <f t="array" ref="W24">_xlfn.IFS(Saisie!O24="OUI",1,Saisie!O24="NON",0)</f>
        <v>#N/A</v>
      </c>
      <c r="X24" s="63">
        <f>Saisie!P24</f>
        <v>0</v>
      </c>
      <c r="Y24" s="299">
        <f>Saisie!H24</f>
        <v>0</v>
      </c>
      <c r="Z24" s="58" t="e">
        <f>Saisie!#REF!</f>
        <v>#REF!</v>
      </c>
      <c r="AA24" s="299">
        <f>Saisie!Q24</f>
        <v>0</v>
      </c>
      <c r="AB24" s="63" t="e">
        <f t="array" ref="AB24">_xlfn.IFS(Saisie!R24="OUI",1,Saisie!R24="NON",0)</f>
        <v>#N/A</v>
      </c>
      <c r="AC24" s="63">
        <f>Saisie!S24</f>
        <v>0</v>
      </c>
      <c r="AD24" s="63" t="e">
        <f t="array" ref="AD24">_xlfn.IFS(Saisie!T24="OUI",1,Saisie!T24="NON",0)</f>
        <v>#N/A</v>
      </c>
      <c r="AE24" s="171">
        <f>Saisie!U24</f>
        <v>0</v>
      </c>
      <c r="AF24" s="263">
        <v>3</v>
      </c>
      <c r="AG24" s="129">
        <f>Saisie!W24</f>
        <v>0</v>
      </c>
      <c r="AH24" s="20">
        <f>Saisie!X24</f>
        <v>0</v>
      </c>
      <c r="AI24" s="21">
        <f>Saisie!Y24</f>
        <v>0</v>
      </c>
      <c r="AJ24" s="59">
        <f>Saisie!Z24</f>
        <v>0</v>
      </c>
      <c r="AK24" s="20">
        <f>Saisie!AA24</f>
        <v>0</v>
      </c>
      <c r="AL24" s="21">
        <f>Saisie!AB24</f>
        <v>0</v>
      </c>
      <c r="AM24" s="59">
        <f>Saisie!AC24</f>
        <v>0</v>
      </c>
      <c r="AN24" s="20">
        <f>Saisie!AD24</f>
        <v>0</v>
      </c>
      <c r="AO24" s="21">
        <f>Saisie!AE24</f>
        <v>0</v>
      </c>
      <c r="AP24" s="59">
        <f>Saisie!AF24</f>
        <v>0</v>
      </c>
      <c r="AQ24" s="129" t="e">
        <f t="array" ref="AQ24">_xlfn.IFS(Saisie!AG24="OUI",1,Saisie!AG24="NON",0)</f>
        <v>#N/A</v>
      </c>
      <c r="AR24" s="129" t="e">
        <f t="array" ref="AR24">_xlfn.IFS(Saisie!AH24="OUI",1,Saisie!AH24="NON",0)</f>
        <v>#N/A</v>
      </c>
      <c r="AS24" s="171">
        <f>Saisie!AI24</f>
        <v>0</v>
      </c>
      <c r="AT24" s="263" t="e">
        <f t="array" ref="AT24">_xlfn.IFS(Saisie!AJ24="OUI",1,Saisie!AJ24="NON",0)</f>
        <v>#N/A</v>
      </c>
      <c r="AU24" s="173">
        <f>Saisie!AK24</f>
        <v>0</v>
      </c>
      <c r="AV24" s="263" t="e">
        <f t="array" ref="AV24">_xlfn.IFS(Saisie!AL24="OUI",1,Saisie!AL24="NON",0)</f>
        <v>#N/A</v>
      </c>
      <c r="AW24" s="171">
        <f>Saisie!AM24</f>
        <v>0</v>
      </c>
      <c r="AX24" s="68">
        <f>Saisie!AN24</f>
        <v>0</v>
      </c>
      <c r="AY24" s="20">
        <f>Saisie!AO24</f>
        <v>0</v>
      </c>
      <c r="AZ24" s="21">
        <f>Saisie!AP24</f>
        <v>0</v>
      </c>
      <c r="BA24" s="298">
        <f>Saisie!AQ24</f>
        <v>0</v>
      </c>
      <c r="BB24" s="170">
        <f>Saisie!AR24</f>
        <v>0</v>
      </c>
      <c r="BC24" s="174">
        <f>Saisie!AS24</f>
        <v>0</v>
      </c>
      <c r="BD24" s="61">
        <f>Saisie!AT24</f>
        <v>0</v>
      </c>
      <c r="BE24" s="175" t="e">
        <f t="array" ref="BE24">_xlfn.IFS(Saisie!AU24="OUI",1,Saisie!AU24="NON",0)</f>
        <v>#N/A</v>
      </c>
      <c r="BF24" s="267">
        <f>Saisie!AV24</f>
        <v>0</v>
      </c>
      <c r="BG24" s="55">
        <f>Saisie!AW24</f>
        <v>0</v>
      </c>
      <c r="BH24" s="55" t="e">
        <f t="array" ref="BH24">_xlfn.IFS(Saisie!AX24="OUI",1,Saisie!AX24="NON",0)</f>
        <v>#N/A</v>
      </c>
      <c r="BI24" s="62">
        <f>Saisie!AY24</f>
        <v>0</v>
      </c>
      <c r="BJ24" s="55" t="e">
        <f t="array" ref="BJ24">_xlfn.IFS(Saisie!AZ24="OUI",1,Saisie!AZ24="NON",0)</f>
        <v>#N/A</v>
      </c>
      <c r="BK24" s="55" t="e">
        <f t="array" ref="BK24">_xlfn.IFS(Saisie!BA24="OUI",1,Saisie!BA24="NON",0)</f>
        <v>#N/A</v>
      </c>
      <c r="BL24" s="55">
        <f>Saisie!BB24</f>
        <v>0</v>
      </c>
      <c r="BM24" s="49" t="e">
        <f>Saisie!BC24</f>
        <v>#REF!</v>
      </c>
      <c r="BN24" s="175" t="s">
        <v>143</v>
      </c>
    </row>
    <row r="25" spans="1:66" s="176" customFormat="1" x14ac:dyDescent="0.45">
      <c r="A25" s="12">
        <v>19</v>
      </c>
      <c r="B25" s="150">
        <f>Saisie!B25</f>
        <v>0</v>
      </c>
      <c r="C25" s="150">
        <f>Saisie!C25</f>
        <v>0</v>
      </c>
      <c r="D25" s="150">
        <f>Saisie!D25</f>
        <v>0</v>
      </c>
      <c r="E25" s="150">
        <f>Saisie!E25</f>
        <v>0</v>
      </c>
      <c r="F25" s="150">
        <f>Saisie!F25</f>
        <v>0</v>
      </c>
      <c r="G25" s="150">
        <f>Saisie!G25</f>
        <v>0</v>
      </c>
      <c r="H25" s="150">
        <f>Saisie!I25</f>
        <v>0</v>
      </c>
      <c r="I25" s="150">
        <f>Saisie!J25</f>
        <v>0</v>
      </c>
      <c r="J25" s="150">
        <f>Saisie!K25</f>
        <v>0</v>
      </c>
      <c r="K25" s="150">
        <f>Saisie!L25</f>
        <v>0</v>
      </c>
      <c r="L25" s="150" t="e">
        <f>Saisie!#REF!</f>
        <v>#REF!</v>
      </c>
      <c r="M25" s="55" t="e">
        <f t="array" ref="M25">_xlfn.IFS(Saisie!M25="OUI",1,Saisie!M25="NON",0)</f>
        <v>#N/A</v>
      </c>
      <c r="N25" s="64" t="e">
        <f>Saisie!#REF!</f>
        <v>#REF!</v>
      </c>
      <c r="O25" s="63" t="e">
        <f>Saisie!#REF!</f>
        <v>#REF!</v>
      </c>
      <c r="P25" s="63">
        <f>Saisie!N25</f>
        <v>0</v>
      </c>
      <c r="Q25" s="63" t="e">
        <f t="array" ref="Q25">_xlfn.IFS(Saisie!#REF!="OUI",1,Saisie!#REF!="NON",0)</f>
        <v>#REF!</v>
      </c>
      <c r="R25" s="63" t="e">
        <f>Saisie!#REF!</f>
        <v>#REF!</v>
      </c>
      <c r="S25" s="65" t="e">
        <f>Saisie!#REF!</f>
        <v>#REF!</v>
      </c>
      <c r="T25" s="63" t="e">
        <f>Saisie!#REF!</f>
        <v>#REF!</v>
      </c>
      <c r="U25" s="63" t="e">
        <f>Saisie!#REF!</f>
        <v>#REF!</v>
      </c>
      <c r="V25" s="63" t="e">
        <f t="array" ref="V25">_xlfn.IFS(Saisie!#REF!="OUI",1,Saisie!#REF!="NON",0)</f>
        <v>#REF!</v>
      </c>
      <c r="W25" s="63" t="e">
        <f t="array" ref="W25">_xlfn.IFS(Saisie!O25="OUI",1,Saisie!O25="NON",0)</f>
        <v>#N/A</v>
      </c>
      <c r="X25" s="63">
        <f>Saisie!P25</f>
        <v>0</v>
      </c>
      <c r="Y25" s="299">
        <f>Saisie!H25</f>
        <v>0</v>
      </c>
      <c r="Z25" s="58" t="e">
        <f>Saisie!#REF!</f>
        <v>#REF!</v>
      </c>
      <c r="AA25" s="299">
        <f>Saisie!Q25</f>
        <v>0</v>
      </c>
      <c r="AB25" s="63" t="e">
        <f t="array" ref="AB25">_xlfn.IFS(Saisie!R25="OUI",1,Saisie!R25="NON",0)</f>
        <v>#N/A</v>
      </c>
      <c r="AC25" s="63">
        <f>Saisie!S25</f>
        <v>0</v>
      </c>
      <c r="AD25" s="63" t="e">
        <f t="array" ref="AD25">_xlfn.IFS(Saisie!T25="OUI",1,Saisie!T25="NON",0)</f>
        <v>#N/A</v>
      </c>
      <c r="AE25" s="171">
        <f>Saisie!U25</f>
        <v>0</v>
      </c>
      <c r="AF25" s="263">
        <v>3</v>
      </c>
      <c r="AG25" s="129">
        <f>Saisie!W25</f>
        <v>0</v>
      </c>
      <c r="AH25" s="20">
        <f>Saisie!X25</f>
        <v>0</v>
      </c>
      <c r="AI25" s="21">
        <f>Saisie!Y25</f>
        <v>0</v>
      </c>
      <c r="AJ25" s="59">
        <f>Saisie!Z25</f>
        <v>0</v>
      </c>
      <c r="AK25" s="20">
        <f>Saisie!AA25</f>
        <v>0</v>
      </c>
      <c r="AL25" s="21">
        <f>Saisie!AB25</f>
        <v>0</v>
      </c>
      <c r="AM25" s="59">
        <f>Saisie!AC25</f>
        <v>0</v>
      </c>
      <c r="AN25" s="20">
        <f>Saisie!AD25</f>
        <v>0</v>
      </c>
      <c r="AO25" s="21">
        <f>Saisie!AE25</f>
        <v>0</v>
      </c>
      <c r="AP25" s="59">
        <f>Saisie!AF25</f>
        <v>0</v>
      </c>
      <c r="AQ25" s="129" t="e">
        <f t="array" ref="AQ25">_xlfn.IFS(Saisie!AG25="OUI",1,Saisie!AG25="NON",0)</f>
        <v>#N/A</v>
      </c>
      <c r="AR25" s="129" t="e">
        <f t="array" ref="AR25">_xlfn.IFS(Saisie!AH25="OUI",1,Saisie!AH25="NON",0)</f>
        <v>#N/A</v>
      </c>
      <c r="AS25" s="171">
        <f>Saisie!AI25</f>
        <v>0</v>
      </c>
      <c r="AT25" s="263" t="e">
        <f t="array" ref="AT25">_xlfn.IFS(Saisie!AJ25="OUI",1,Saisie!AJ25="NON",0)</f>
        <v>#N/A</v>
      </c>
      <c r="AU25" s="173">
        <f>Saisie!AK25</f>
        <v>0</v>
      </c>
      <c r="AV25" s="263" t="e">
        <f t="array" ref="AV25">_xlfn.IFS(Saisie!AL25="OUI",1,Saisie!AL25="NON",0)</f>
        <v>#N/A</v>
      </c>
      <c r="AW25" s="171">
        <f>Saisie!AM25</f>
        <v>0</v>
      </c>
      <c r="AX25" s="68">
        <f>Saisie!AN25</f>
        <v>0</v>
      </c>
      <c r="AY25" s="20">
        <f>Saisie!AO25</f>
        <v>0</v>
      </c>
      <c r="AZ25" s="21">
        <f>Saisie!AP25</f>
        <v>0</v>
      </c>
      <c r="BA25" s="298">
        <f>Saisie!AQ25</f>
        <v>0</v>
      </c>
      <c r="BB25" s="170">
        <f>Saisie!AR25</f>
        <v>0</v>
      </c>
      <c r="BC25" s="174">
        <f>Saisie!AS25</f>
        <v>0</v>
      </c>
      <c r="BD25" s="61">
        <f>Saisie!AT25</f>
        <v>0</v>
      </c>
      <c r="BE25" s="175" t="e">
        <f t="array" ref="BE25">_xlfn.IFS(Saisie!AU25="OUI",1,Saisie!AU25="NON",0)</f>
        <v>#N/A</v>
      </c>
      <c r="BF25" s="267">
        <f>Saisie!AV25</f>
        <v>0</v>
      </c>
      <c r="BG25" s="55">
        <f>Saisie!AW25</f>
        <v>0</v>
      </c>
      <c r="BH25" s="55" t="e">
        <f t="array" ref="BH25">_xlfn.IFS(Saisie!AX25="OUI",1,Saisie!AX25="NON",0)</f>
        <v>#N/A</v>
      </c>
      <c r="BI25" s="62">
        <f>Saisie!AY25</f>
        <v>0</v>
      </c>
      <c r="BJ25" s="55" t="e">
        <f t="array" ref="BJ25">_xlfn.IFS(Saisie!AZ25="OUI",1,Saisie!AZ25="NON",0)</f>
        <v>#N/A</v>
      </c>
      <c r="BK25" s="55" t="e">
        <f t="array" ref="BK25">_xlfn.IFS(Saisie!BA25="OUI",1,Saisie!BA25="NON",0)</f>
        <v>#N/A</v>
      </c>
      <c r="BL25" s="55">
        <f>Saisie!BB25</f>
        <v>0</v>
      </c>
      <c r="BM25" s="49" t="e">
        <f>Saisie!BC25</f>
        <v>#REF!</v>
      </c>
      <c r="BN25" s="175" t="s">
        <v>144</v>
      </c>
    </row>
    <row r="26" spans="1:66" s="176" customFormat="1" x14ac:dyDescent="0.45">
      <c r="A26" s="13">
        <v>20</v>
      </c>
      <c r="B26" s="150">
        <f>Saisie!B26</f>
        <v>0</v>
      </c>
      <c r="C26" s="150">
        <f>Saisie!C26</f>
        <v>0</v>
      </c>
      <c r="D26" s="150">
        <f>Saisie!D26</f>
        <v>0</v>
      </c>
      <c r="E26" s="150">
        <f>Saisie!E26</f>
        <v>0</v>
      </c>
      <c r="F26" s="150">
        <f>Saisie!F26</f>
        <v>0</v>
      </c>
      <c r="G26" s="150">
        <f>Saisie!G26</f>
        <v>0</v>
      </c>
      <c r="H26" s="150">
        <f>Saisie!I26</f>
        <v>0</v>
      </c>
      <c r="I26" s="150">
        <f>Saisie!J26</f>
        <v>0</v>
      </c>
      <c r="J26" s="150">
        <f>Saisie!K26</f>
        <v>0</v>
      </c>
      <c r="K26" s="150">
        <f>Saisie!L26</f>
        <v>0</v>
      </c>
      <c r="L26" s="150" t="e">
        <f>Saisie!#REF!</f>
        <v>#REF!</v>
      </c>
      <c r="M26" s="55" t="e">
        <f t="array" ref="M26">_xlfn.IFS(Saisie!M26="OUI",1,Saisie!M26="NON",0)</f>
        <v>#N/A</v>
      </c>
      <c r="N26" s="64" t="e">
        <f>Saisie!#REF!</f>
        <v>#REF!</v>
      </c>
      <c r="O26" s="63" t="e">
        <f>Saisie!#REF!</f>
        <v>#REF!</v>
      </c>
      <c r="P26" s="63">
        <f>Saisie!N26</f>
        <v>0</v>
      </c>
      <c r="Q26" s="63" t="e">
        <f t="array" ref="Q26">_xlfn.IFS(Saisie!#REF!="OUI",1,Saisie!#REF!="NON",0)</f>
        <v>#REF!</v>
      </c>
      <c r="R26" s="63" t="e">
        <f>Saisie!#REF!</f>
        <v>#REF!</v>
      </c>
      <c r="S26" s="65" t="e">
        <f>Saisie!#REF!</f>
        <v>#REF!</v>
      </c>
      <c r="T26" s="63" t="e">
        <f>Saisie!#REF!</f>
        <v>#REF!</v>
      </c>
      <c r="U26" s="63" t="e">
        <f>Saisie!#REF!</f>
        <v>#REF!</v>
      </c>
      <c r="V26" s="63" t="e">
        <f t="array" ref="V26">_xlfn.IFS(Saisie!#REF!="OUI",1,Saisie!#REF!="NON",0)</f>
        <v>#REF!</v>
      </c>
      <c r="W26" s="63" t="e">
        <f t="array" ref="W26">_xlfn.IFS(Saisie!O26="OUI",1,Saisie!O26="NON",0)</f>
        <v>#N/A</v>
      </c>
      <c r="X26" s="63">
        <f>Saisie!P26</f>
        <v>0</v>
      </c>
      <c r="Y26" s="299">
        <f>Saisie!H26</f>
        <v>0</v>
      </c>
      <c r="Z26" s="58" t="e">
        <f>Saisie!#REF!</f>
        <v>#REF!</v>
      </c>
      <c r="AA26" s="299">
        <f>Saisie!Q26</f>
        <v>0</v>
      </c>
      <c r="AB26" s="63" t="e">
        <f t="array" ref="AB26">_xlfn.IFS(Saisie!R26="OUI",1,Saisie!R26="NON",0)</f>
        <v>#N/A</v>
      </c>
      <c r="AC26" s="63">
        <f>Saisie!S26</f>
        <v>0</v>
      </c>
      <c r="AD26" s="63" t="e">
        <f t="array" ref="AD26">_xlfn.IFS(Saisie!T26="OUI",1,Saisie!T26="NON",0)</f>
        <v>#N/A</v>
      </c>
      <c r="AE26" s="171">
        <f>Saisie!U26</f>
        <v>0</v>
      </c>
      <c r="AF26" s="263">
        <v>3</v>
      </c>
      <c r="AG26" s="129">
        <f>Saisie!W26</f>
        <v>0</v>
      </c>
      <c r="AH26" s="20">
        <f>Saisie!X26</f>
        <v>0</v>
      </c>
      <c r="AI26" s="21">
        <f>Saisie!Y26</f>
        <v>0</v>
      </c>
      <c r="AJ26" s="59">
        <f>Saisie!Z26</f>
        <v>0</v>
      </c>
      <c r="AK26" s="20">
        <f>Saisie!AA26</f>
        <v>0</v>
      </c>
      <c r="AL26" s="21">
        <f>Saisie!AB26</f>
        <v>0</v>
      </c>
      <c r="AM26" s="59">
        <f>Saisie!AC26</f>
        <v>0</v>
      </c>
      <c r="AN26" s="20">
        <f>Saisie!AD26</f>
        <v>0</v>
      </c>
      <c r="AO26" s="21">
        <f>Saisie!AE26</f>
        <v>0</v>
      </c>
      <c r="AP26" s="59">
        <f>Saisie!AF26</f>
        <v>0</v>
      </c>
      <c r="AQ26" s="129" t="e">
        <f t="array" ref="AQ26">_xlfn.IFS(Saisie!AG26="OUI",1,Saisie!AG26="NON",0)</f>
        <v>#N/A</v>
      </c>
      <c r="AR26" s="129" t="e">
        <f t="array" ref="AR26">_xlfn.IFS(Saisie!AH26="OUI",1,Saisie!AH26="NON",0)</f>
        <v>#N/A</v>
      </c>
      <c r="AS26" s="171">
        <f>Saisie!AI26</f>
        <v>0</v>
      </c>
      <c r="AT26" s="263" t="e">
        <f t="array" ref="AT26">_xlfn.IFS(Saisie!AJ26="OUI",1,Saisie!AJ26="NON",0)</f>
        <v>#N/A</v>
      </c>
      <c r="AU26" s="173">
        <f>Saisie!AK26</f>
        <v>0</v>
      </c>
      <c r="AV26" s="263" t="e">
        <f t="array" ref="AV26">_xlfn.IFS(Saisie!AL26="OUI",1,Saisie!AL26="NON",0)</f>
        <v>#N/A</v>
      </c>
      <c r="AW26" s="171">
        <f>Saisie!AM26</f>
        <v>0</v>
      </c>
      <c r="AX26" s="68">
        <f>Saisie!AN26</f>
        <v>0</v>
      </c>
      <c r="AY26" s="20">
        <f>Saisie!AO26</f>
        <v>0</v>
      </c>
      <c r="AZ26" s="21">
        <f>Saisie!AP26</f>
        <v>0</v>
      </c>
      <c r="BA26" s="298">
        <f>Saisie!AQ26</f>
        <v>0</v>
      </c>
      <c r="BB26" s="170">
        <f>Saisie!AR26</f>
        <v>0</v>
      </c>
      <c r="BC26" s="174">
        <f>Saisie!AS26</f>
        <v>0</v>
      </c>
      <c r="BD26" s="61">
        <f>Saisie!AT26</f>
        <v>0</v>
      </c>
      <c r="BE26" s="175" t="e">
        <f t="array" ref="BE26">_xlfn.IFS(Saisie!AU26="OUI",1,Saisie!AU26="NON",0)</f>
        <v>#N/A</v>
      </c>
      <c r="BF26" s="267">
        <f>Saisie!AV26</f>
        <v>0</v>
      </c>
      <c r="BG26" s="55">
        <f>Saisie!AW26</f>
        <v>0</v>
      </c>
      <c r="BH26" s="55" t="e">
        <f t="array" ref="BH26">_xlfn.IFS(Saisie!AX26="OUI",1,Saisie!AX26="NON",0)</f>
        <v>#N/A</v>
      </c>
      <c r="BI26" s="62">
        <f>Saisie!AY26</f>
        <v>0</v>
      </c>
      <c r="BJ26" s="55" t="e">
        <f t="array" ref="BJ26">_xlfn.IFS(Saisie!AZ26="OUI",1,Saisie!AZ26="NON",0)</f>
        <v>#N/A</v>
      </c>
      <c r="BK26" s="55" t="e">
        <f t="array" ref="BK26">_xlfn.IFS(Saisie!BA26="OUI",1,Saisie!BA26="NON",0)</f>
        <v>#N/A</v>
      </c>
      <c r="BL26" s="55">
        <f>Saisie!BB26</f>
        <v>0</v>
      </c>
      <c r="BM26" s="49" t="e">
        <f>Saisie!BC26</f>
        <v>#REF!</v>
      </c>
      <c r="BN26" s="175"/>
    </row>
    <row r="27" spans="1:66" s="176" customFormat="1" x14ac:dyDescent="0.45">
      <c r="A27" s="13">
        <v>21</v>
      </c>
      <c r="B27" s="150">
        <f>Saisie!B27</f>
        <v>0</v>
      </c>
      <c r="C27" s="150">
        <f>Saisie!C27</f>
        <v>0</v>
      </c>
      <c r="D27" s="150">
        <f>Saisie!D27</f>
        <v>0</v>
      </c>
      <c r="E27" s="150">
        <f>Saisie!E27</f>
        <v>0</v>
      </c>
      <c r="F27" s="150">
        <f>Saisie!F27</f>
        <v>0</v>
      </c>
      <c r="G27" s="150">
        <f>Saisie!G27</f>
        <v>0</v>
      </c>
      <c r="H27" s="150">
        <f>Saisie!I27</f>
        <v>0</v>
      </c>
      <c r="I27" s="150">
        <f>Saisie!J27</f>
        <v>0</v>
      </c>
      <c r="J27" s="150">
        <f>Saisie!K27</f>
        <v>0</v>
      </c>
      <c r="K27" s="150">
        <f>Saisie!L27</f>
        <v>0</v>
      </c>
      <c r="L27" s="150" t="e">
        <f>Saisie!#REF!</f>
        <v>#REF!</v>
      </c>
      <c r="M27" s="55" t="e">
        <f t="array" ref="M27">_xlfn.IFS(Saisie!M27="OUI",1,Saisie!M27="NON",0)</f>
        <v>#N/A</v>
      </c>
      <c r="N27" s="64" t="e">
        <f>Saisie!#REF!</f>
        <v>#REF!</v>
      </c>
      <c r="O27" s="63" t="e">
        <f>Saisie!#REF!</f>
        <v>#REF!</v>
      </c>
      <c r="P27" s="63">
        <f>Saisie!N27</f>
        <v>0</v>
      </c>
      <c r="Q27" s="63" t="e">
        <f t="array" ref="Q27">_xlfn.IFS(Saisie!#REF!="OUI",1,Saisie!#REF!="NON",0)</f>
        <v>#REF!</v>
      </c>
      <c r="R27" s="63" t="e">
        <f>Saisie!#REF!</f>
        <v>#REF!</v>
      </c>
      <c r="S27" s="65" t="e">
        <f>Saisie!#REF!</f>
        <v>#REF!</v>
      </c>
      <c r="T27" s="63" t="e">
        <f>Saisie!#REF!</f>
        <v>#REF!</v>
      </c>
      <c r="U27" s="63" t="e">
        <f>Saisie!#REF!</f>
        <v>#REF!</v>
      </c>
      <c r="V27" s="63" t="e">
        <f t="array" ref="V27">_xlfn.IFS(Saisie!#REF!="OUI",1,Saisie!#REF!="NON",0)</f>
        <v>#REF!</v>
      </c>
      <c r="W27" s="63" t="e">
        <f t="array" ref="W27">_xlfn.IFS(Saisie!O27="OUI",1,Saisie!O27="NON",0)</f>
        <v>#N/A</v>
      </c>
      <c r="X27" s="63">
        <f>Saisie!P27</f>
        <v>0</v>
      </c>
      <c r="Y27" s="299">
        <f>Saisie!H27</f>
        <v>0</v>
      </c>
      <c r="Z27" s="58" t="e">
        <f>Saisie!#REF!</f>
        <v>#REF!</v>
      </c>
      <c r="AA27" s="299">
        <f>Saisie!Q27</f>
        <v>0</v>
      </c>
      <c r="AB27" s="63" t="e">
        <f t="array" ref="AB27">_xlfn.IFS(Saisie!R27="OUI",1,Saisie!R27="NON",0)</f>
        <v>#N/A</v>
      </c>
      <c r="AC27" s="63">
        <f>Saisie!S27</f>
        <v>0</v>
      </c>
      <c r="AD27" s="63" t="e">
        <f t="array" ref="AD27">_xlfn.IFS(Saisie!T27="OUI",1,Saisie!T27="NON",0)</f>
        <v>#N/A</v>
      </c>
      <c r="AE27" s="171">
        <f>Saisie!U27</f>
        <v>0</v>
      </c>
      <c r="AF27" s="263">
        <v>3</v>
      </c>
      <c r="AG27" s="129">
        <f>Saisie!W27</f>
        <v>0</v>
      </c>
      <c r="AH27" s="20">
        <f>Saisie!X27</f>
        <v>0</v>
      </c>
      <c r="AI27" s="21">
        <f>Saisie!Y27</f>
        <v>0</v>
      </c>
      <c r="AJ27" s="59">
        <f>Saisie!Z27</f>
        <v>0</v>
      </c>
      <c r="AK27" s="20">
        <f>Saisie!AA27</f>
        <v>0</v>
      </c>
      <c r="AL27" s="21">
        <f>Saisie!AB27</f>
        <v>0</v>
      </c>
      <c r="AM27" s="59">
        <f>Saisie!AC27</f>
        <v>0</v>
      </c>
      <c r="AN27" s="20">
        <f>Saisie!AD27</f>
        <v>0</v>
      </c>
      <c r="AO27" s="21">
        <f>Saisie!AE27</f>
        <v>0</v>
      </c>
      <c r="AP27" s="59">
        <f>Saisie!AF27</f>
        <v>0</v>
      </c>
      <c r="AQ27" s="129" t="e">
        <f t="array" ref="AQ27">_xlfn.IFS(Saisie!AG27="OUI",1,Saisie!AG27="NON",0)</f>
        <v>#N/A</v>
      </c>
      <c r="AR27" s="129" t="e">
        <f t="array" ref="AR27">_xlfn.IFS(Saisie!AH27="OUI",1,Saisie!AH27="NON",0)</f>
        <v>#N/A</v>
      </c>
      <c r="AS27" s="171">
        <f>Saisie!AI27</f>
        <v>0</v>
      </c>
      <c r="AT27" s="263" t="e">
        <f t="array" ref="AT27">_xlfn.IFS(Saisie!AJ27="OUI",1,Saisie!AJ27="NON",0)</f>
        <v>#N/A</v>
      </c>
      <c r="AU27" s="173">
        <f>Saisie!AK27</f>
        <v>0</v>
      </c>
      <c r="AV27" s="263" t="e">
        <f t="array" ref="AV27">_xlfn.IFS(Saisie!AL27="OUI",1,Saisie!AL27="NON",0)</f>
        <v>#N/A</v>
      </c>
      <c r="AW27" s="171">
        <f>Saisie!AM27</f>
        <v>0</v>
      </c>
      <c r="AX27" s="68">
        <f>Saisie!AN27</f>
        <v>0</v>
      </c>
      <c r="AY27" s="20">
        <f>Saisie!AO27</f>
        <v>0</v>
      </c>
      <c r="AZ27" s="21">
        <f>Saisie!AP27</f>
        <v>0</v>
      </c>
      <c r="BA27" s="298">
        <f>Saisie!AQ27</f>
        <v>0</v>
      </c>
      <c r="BB27" s="170">
        <f>Saisie!AR27</f>
        <v>0</v>
      </c>
      <c r="BC27" s="174">
        <f>Saisie!AS27</f>
        <v>0</v>
      </c>
      <c r="BD27" s="61">
        <f>Saisie!AT27</f>
        <v>0</v>
      </c>
      <c r="BE27" s="175" t="e">
        <f t="array" ref="BE27">_xlfn.IFS(Saisie!AU27="OUI",1,Saisie!AU27="NON",0)</f>
        <v>#N/A</v>
      </c>
      <c r="BF27" s="267">
        <f>Saisie!AV27</f>
        <v>0</v>
      </c>
      <c r="BG27" s="55">
        <f>Saisie!AW27</f>
        <v>0</v>
      </c>
      <c r="BH27" s="55" t="e">
        <f t="array" ref="BH27">_xlfn.IFS(Saisie!AX27="OUI",1,Saisie!AX27="NON",0)</f>
        <v>#N/A</v>
      </c>
      <c r="BI27" s="62">
        <f>Saisie!AY27</f>
        <v>0</v>
      </c>
      <c r="BJ27" s="55" t="e">
        <f t="array" ref="BJ27">_xlfn.IFS(Saisie!AZ27="OUI",1,Saisie!AZ27="NON",0)</f>
        <v>#N/A</v>
      </c>
      <c r="BK27" s="55" t="e">
        <f t="array" ref="BK27">_xlfn.IFS(Saisie!BA27="OUI",1,Saisie!BA27="NON",0)</f>
        <v>#N/A</v>
      </c>
      <c r="BL27" s="55">
        <f>Saisie!BB27</f>
        <v>0</v>
      </c>
      <c r="BM27" s="49" t="e">
        <f>Saisie!BC27</f>
        <v>#REF!</v>
      </c>
      <c r="BN27" s="175"/>
    </row>
    <row r="28" spans="1:66" s="176" customFormat="1" x14ac:dyDescent="0.45">
      <c r="A28" s="12">
        <v>22</v>
      </c>
      <c r="B28" s="150">
        <f>Saisie!B28</f>
        <v>0</v>
      </c>
      <c r="C28" s="150">
        <f>Saisie!C28</f>
        <v>0</v>
      </c>
      <c r="D28" s="150">
        <f>Saisie!D28</f>
        <v>0</v>
      </c>
      <c r="E28" s="150">
        <f>Saisie!E28</f>
        <v>0</v>
      </c>
      <c r="F28" s="150">
        <f>Saisie!F28</f>
        <v>0</v>
      </c>
      <c r="G28" s="150">
        <f>Saisie!G28</f>
        <v>0</v>
      </c>
      <c r="H28" s="150">
        <f>Saisie!I28</f>
        <v>0</v>
      </c>
      <c r="I28" s="150">
        <f>Saisie!J28</f>
        <v>0</v>
      </c>
      <c r="J28" s="150">
        <f>Saisie!K28</f>
        <v>0</v>
      </c>
      <c r="K28" s="150">
        <f>Saisie!L28</f>
        <v>0</v>
      </c>
      <c r="L28" s="150" t="e">
        <f>Saisie!#REF!</f>
        <v>#REF!</v>
      </c>
      <c r="M28" s="55" t="e">
        <f t="array" ref="M28">_xlfn.IFS(Saisie!M28="OUI",1,Saisie!M28="NON",0)</f>
        <v>#N/A</v>
      </c>
      <c r="N28" s="64" t="e">
        <f>Saisie!#REF!</f>
        <v>#REF!</v>
      </c>
      <c r="O28" s="63" t="e">
        <f>Saisie!#REF!</f>
        <v>#REF!</v>
      </c>
      <c r="P28" s="63">
        <f>Saisie!N28</f>
        <v>0</v>
      </c>
      <c r="Q28" s="63" t="e">
        <f t="array" ref="Q28">_xlfn.IFS(Saisie!#REF!="OUI",1,Saisie!#REF!="NON",0)</f>
        <v>#REF!</v>
      </c>
      <c r="R28" s="63" t="e">
        <f>Saisie!#REF!</f>
        <v>#REF!</v>
      </c>
      <c r="S28" s="65" t="e">
        <f>Saisie!#REF!</f>
        <v>#REF!</v>
      </c>
      <c r="T28" s="63" t="e">
        <f>Saisie!#REF!</f>
        <v>#REF!</v>
      </c>
      <c r="U28" s="63" t="e">
        <f>Saisie!#REF!</f>
        <v>#REF!</v>
      </c>
      <c r="V28" s="63" t="e">
        <f t="array" ref="V28">_xlfn.IFS(Saisie!#REF!="OUI",1,Saisie!#REF!="NON",0)</f>
        <v>#REF!</v>
      </c>
      <c r="W28" s="63" t="e">
        <f t="array" ref="W28">_xlfn.IFS(Saisie!O28="OUI",1,Saisie!O28="NON",0)</f>
        <v>#N/A</v>
      </c>
      <c r="X28" s="63">
        <f>Saisie!P28</f>
        <v>0</v>
      </c>
      <c r="Y28" s="299">
        <f>Saisie!H28</f>
        <v>0</v>
      </c>
      <c r="Z28" s="58" t="e">
        <f>Saisie!#REF!</f>
        <v>#REF!</v>
      </c>
      <c r="AA28" s="299">
        <f>Saisie!Q28</f>
        <v>0</v>
      </c>
      <c r="AB28" s="63" t="e">
        <f t="array" ref="AB28">_xlfn.IFS(Saisie!R28="OUI",1,Saisie!R28="NON",0)</f>
        <v>#N/A</v>
      </c>
      <c r="AC28" s="63">
        <f>Saisie!S28</f>
        <v>0</v>
      </c>
      <c r="AD28" s="63" t="e">
        <f t="array" ref="AD28">_xlfn.IFS(Saisie!T28="OUI",1,Saisie!T28="NON",0)</f>
        <v>#N/A</v>
      </c>
      <c r="AE28" s="171">
        <f>Saisie!U28</f>
        <v>0</v>
      </c>
      <c r="AF28" s="263">
        <v>3</v>
      </c>
      <c r="AG28" s="129">
        <f>Saisie!W28</f>
        <v>0</v>
      </c>
      <c r="AH28" s="20">
        <f>Saisie!X28</f>
        <v>0</v>
      </c>
      <c r="AI28" s="21">
        <f>Saisie!Y28</f>
        <v>0</v>
      </c>
      <c r="AJ28" s="59">
        <f>Saisie!Z28</f>
        <v>0</v>
      </c>
      <c r="AK28" s="20">
        <f>Saisie!AA28</f>
        <v>0</v>
      </c>
      <c r="AL28" s="21">
        <f>Saisie!AB28</f>
        <v>0</v>
      </c>
      <c r="AM28" s="59">
        <f>Saisie!AC28</f>
        <v>0</v>
      </c>
      <c r="AN28" s="20">
        <f>Saisie!AD28</f>
        <v>0</v>
      </c>
      <c r="AO28" s="21">
        <f>Saisie!AE28</f>
        <v>0</v>
      </c>
      <c r="AP28" s="59">
        <f>Saisie!AF28</f>
        <v>0</v>
      </c>
      <c r="AQ28" s="129" t="e">
        <f t="array" ref="AQ28">_xlfn.IFS(Saisie!AG28="OUI",1,Saisie!AG28="NON",0)</f>
        <v>#N/A</v>
      </c>
      <c r="AR28" s="129" t="e">
        <f t="array" ref="AR28">_xlfn.IFS(Saisie!AH28="OUI",1,Saisie!AH28="NON",0)</f>
        <v>#N/A</v>
      </c>
      <c r="AS28" s="171">
        <f>Saisie!AI28</f>
        <v>0</v>
      </c>
      <c r="AT28" s="263" t="e">
        <f t="array" ref="AT28">_xlfn.IFS(Saisie!AJ28="OUI",1,Saisie!AJ28="NON",0)</f>
        <v>#N/A</v>
      </c>
      <c r="AU28" s="173">
        <f>Saisie!AK28</f>
        <v>0</v>
      </c>
      <c r="AV28" s="263" t="e">
        <f t="array" ref="AV28">_xlfn.IFS(Saisie!AL28="OUI",1,Saisie!AL28="NON",0)</f>
        <v>#N/A</v>
      </c>
      <c r="AW28" s="171">
        <f>Saisie!AM28</f>
        <v>0</v>
      </c>
      <c r="AX28" s="68">
        <f>Saisie!AN28</f>
        <v>0</v>
      </c>
      <c r="AY28" s="20">
        <f>Saisie!AO28</f>
        <v>0</v>
      </c>
      <c r="AZ28" s="21">
        <f>Saisie!AP28</f>
        <v>0</v>
      </c>
      <c r="BA28" s="298">
        <f>Saisie!AQ28</f>
        <v>0</v>
      </c>
      <c r="BB28" s="170">
        <f>Saisie!AR28</f>
        <v>0</v>
      </c>
      <c r="BC28" s="174">
        <f>Saisie!AS28</f>
        <v>0</v>
      </c>
      <c r="BD28" s="61">
        <f>Saisie!AT28</f>
        <v>0</v>
      </c>
      <c r="BE28" s="175" t="e">
        <f t="array" ref="BE28">_xlfn.IFS(Saisie!AU28="OUI",1,Saisie!AU28="NON",0)</f>
        <v>#N/A</v>
      </c>
      <c r="BF28" s="267">
        <f>Saisie!AV28</f>
        <v>0</v>
      </c>
      <c r="BG28" s="55">
        <f>Saisie!AW28</f>
        <v>0</v>
      </c>
      <c r="BH28" s="55" t="e">
        <f t="array" ref="BH28">_xlfn.IFS(Saisie!AX28="OUI",1,Saisie!AX28="NON",0)</f>
        <v>#N/A</v>
      </c>
      <c r="BI28" s="62">
        <f>Saisie!AY28</f>
        <v>0</v>
      </c>
      <c r="BJ28" s="55" t="e">
        <f t="array" ref="BJ28">_xlfn.IFS(Saisie!AZ28="OUI",1,Saisie!AZ28="NON",0)</f>
        <v>#N/A</v>
      </c>
      <c r="BK28" s="55" t="e">
        <f t="array" ref="BK28">_xlfn.IFS(Saisie!BA28="OUI",1,Saisie!BA28="NON",0)</f>
        <v>#N/A</v>
      </c>
      <c r="BL28" s="55">
        <f>Saisie!BB28</f>
        <v>0</v>
      </c>
      <c r="BM28" s="49" t="e">
        <f>Saisie!BC28</f>
        <v>#REF!</v>
      </c>
      <c r="BN28" s="175"/>
    </row>
    <row r="29" spans="1:66" s="176" customFormat="1" ht="14.25" customHeight="1" x14ac:dyDescent="0.45">
      <c r="A29" s="13">
        <v>23</v>
      </c>
      <c r="B29" s="150">
        <f>Saisie!B29</f>
        <v>0</v>
      </c>
      <c r="C29" s="150">
        <f>Saisie!C29</f>
        <v>0</v>
      </c>
      <c r="D29" s="150">
        <f>Saisie!D29</f>
        <v>0</v>
      </c>
      <c r="E29" s="150">
        <f>Saisie!E29</f>
        <v>0</v>
      </c>
      <c r="F29" s="150">
        <f>Saisie!F29</f>
        <v>0</v>
      </c>
      <c r="G29" s="150">
        <f>Saisie!G29</f>
        <v>0</v>
      </c>
      <c r="H29" s="150">
        <f>Saisie!I29</f>
        <v>0</v>
      </c>
      <c r="I29" s="150">
        <f>Saisie!J29</f>
        <v>0</v>
      </c>
      <c r="J29" s="150">
        <f>Saisie!K29</f>
        <v>0</v>
      </c>
      <c r="K29" s="150">
        <f>Saisie!L29</f>
        <v>0</v>
      </c>
      <c r="L29" s="150" t="e">
        <f>Saisie!#REF!</f>
        <v>#REF!</v>
      </c>
      <c r="M29" s="55" t="e">
        <f t="array" ref="M29">_xlfn.IFS(Saisie!M29="OUI",1,Saisie!M29="NON",0)</f>
        <v>#N/A</v>
      </c>
      <c r="N29" s="64" t="e">
        <f>Saisie!#REF!</f>
        <v>#REF!</v>
      </c>
      <c r="O29" s="63" t="e">
        <f>Saisie!#REF!</f>
        <v>#REF!</v>
      </c>
      <c r="P29" s="63">
        <f>Saisie!N29</f>
        <v>0</v>
      </c>
      <c r="Q29" s="63" t="e">
        <f t="array" ref="Q29">_xlfn.IFS(Saisie!#REF!="OUI",1,Saisie!#REF!="NON",0)</f>
        <v>#REF!</v>
      </c>
      <c r="R29" s="63" t="e">
        <f>Saisie!#REF!</f>
        <v>#REF!</v>
      </c>
      <c r="S29" s="65" t="e">
        <f>Saisie!#REF!</f>
        <v>#REF!</v>
      </c>
      <c r="T29" s="63" t="e">
        <f>Saisie!#REF!</f>
        <v>#REF!</v>
      </c>
      <c r="U29" s="63" t="e">
        <f>Saisie!#REF!</f>
        <v>#REF!</v>
      </c>
      <c r="V29" s="63" t="e">
        <f t="array" ref="V29">_xlfn.IFS(Saisie!#REF!="OUI",1,Saisie!#REF!="NON",0)</f>
        <v>#REF!</v>
      </c>
      <c r="W29" s="63" t="e">
        <f t="array" ref="W29">_xlfn.IFS(Saisie!O29="OUI",1,Saisie!O29="NON",0)</f>
        <v>#N/A</v>
      </c>
      <c r="X29" s="63">
        <f>Saisie!P29</f>
        <v>0</v>
      </c>
      <c r="Y29" s="299">
        <f>Saisie!H29</f>
        <v>0</v>
      </c>
      <c r="Z29" s="58" t="e">
        <f>Saisie!#REF!</f>
        <v>#REF!</v>
      </c>
      <c r="AA29" s="299">
        <f>Saisie!Q29</f>
        <v>0</v>
      </c>
      <c r="AB29" s="63" t="e">
        <f t="array" ref="AB29">_xlfn.IFS(Saisie!R29="OUI",1,Saisie!R29="NON",0)</f>
        <v>#N/A</v>
      </c>
      <c r="AC29" s="63">
        <f>Saisie!S29</f>
        <v>0</v>
      </c>
      <c r="AD29" s="63" t="e">
        <f t="array" ref="AD29">_xlfn.IFS(Saisie!T29="OUI",1,Saisie!T29="NON",0)</f>
        <v>#N/A</v>
      </c>
      <c r="AE29" s="171">
        <f>Saisie!U29</f>
        <v>0</v>
      </c>
      <c r="AF29" s="263">
        <v>3</v>
      </c>
      <c r="AG29" s="129">
        <f>Saisie!W29</f>
        <v>0</v>
      </c>
      <c r="AH29" s="20">
        <f>Saisie!X29</f>
        <v>0</v>
      </c>
      <c r="AI29" s="21">
        <f>Saisie!Y29</f>
        <v>0</v>
      </c>
      <c r="AJ29" s="59">
        <f>Saisie!Z29</f>
        <v>0</v>
      </c>
      <c r="AK29" s="20">
        <f>Saisie!AA29</f>
        <v>0</v>
      </c>
      <c r="AL29" s="21">
        <f>Saisie!AB29</f>
        <v>0</v>
      </c>
      <c r="AM29" s="59">
        <f>Saisie!AC29</f>
        <v>0</v>
      </c>
      <c r="AN29" s="20">
        <f>Saisie!AD29</f>
        <v>0</v>
      </c>
      <c r="AO29" s="21">
        <f>Saisie!AE29</f>
        <v>0</v>
      </c>
      <c r="AP29" s="59">
        <f>Saisie!AF29</f>
        <v>0</v>
      </c>
      <c r="AQ29" s="129" t="e">
        <f t="array" ref="AQ29">_xlfn.IFS(Saisie!AG29="OUI",1,Saisie!AG29="NON",0)</f>
        <v>#N/A</v>
      </c>
      <c r="AR29" s="129" t="e">
        <f t="array" ref="AR29">_xlfn.IFS(Saisie!AH29="OUI",1,Saisie!AH29="NON",0)</f>
        <v>#N/A</v>
      </c>
      <c r="AS29" s="171">
        <f>Saisie!AI29</f>
        <v>0</v>
      </c>
      <c r="AT29" s="263" t="e">
        <f t="array" ref="AT29">_xlfn.IFS(Saisie!AJ29="OUI",1,Saisie!AJ29="NON",0)</f>
        <v>#N/A</v>
      </c>
      <c r="AU29" s="173">
        <f>Saisie!AK29</f>
        <v>0</v>
      </c>
      <c r="AV29" s="263" t="e">
        <f t="array" ref="AV29">_xlfn.IFS(Saisie!AL29="OUI",1,Saisie!AL29="NON",0)</f>
        <v>#N/A</v>
      </c>
      <c r="AW29" s="171">
        <f>Saisie!AM29</f>
        <v>0</v>
      </c>
      <c r="AX29" s="68">
        <f>Saisie!AN29</f>
        <v>0</v>
      </c>
      <c r="AY29" s="20">
        <f>Saisie!AO29</f>
        <v>0</v>
      </c>
      <c r="AZ29" s="21">
        <f>Saisie!AP29</f>
        <v>0</v>
      </c>
      <c r="BA29" s="298">
        <f>Saisie!AQ29</f>
        <v>0</v>
      </c>
      <c r="BB29" s="170">
        <f>Saisie!AR29</f>
        <v>0</v>
      </c>
      <c r="BC29" s="174">
        <f>Saisie!AS29</f>
        <v>0</v>
      </c>
      <c r="BD29" s="61">
        <f>Saisie!AT29</f>
        <v>0</v>
      </c>
      <c r="BE29" s="175" t="e">
        <f t="array" ref="BE29">_xlfn.IFS(Saisie!AU29="OUI",1,Saisie!AU29="NON",0)</f>
        <v>#N/A</v>
      </c>
      <c r="BF29" s="267">
        <f>Saisie!AV29</f>
        <v>0</v>
      </c>
      <c r="BG29" s="55">
        <f>Saisie!AW29</f>
        <v>0</v>
      </c>
      <c r="BH29" s="55" t="e">
        <f t="array" ref="BH29">_xlfn.IFS(Saisie!AX29="OUI",1,Saisie!AX29="NON",0)</f>
        <v>#N/A</v>
      </c>
      <c r="BI29" s="62">
        <f>Saisie!AY29</f>
        <v>0</v>
      </c>
      <c r="BJ29" s="55" t="e">
        <f t="array" ref="BJ29">_xlfn.IFS(Saisie!AZ29="OUI",1,Saisie!AZ29="NON",0)</f>
        <v>#N/A</v>
      </c>
      <c r="BK29" s="55" t="e">
        <f t="array" ref="BK29">_xlfn.IFS(Saisie!BA29="OUI",1,Saisie!BA29="NON",0)</f>
        <v>#N/A</v>
      </c>
      <c r="BL29" s="55">
        <f>Saisie!BB29</f>
        <v>0</v>
      </c>
      <c r="BM29" s="49" t="e">
        <f>Saisie!BC29</f>
        <v>#REF!</v>
      </c>
      <c r="BN29" s="175"/>
    </row>
    <row r="30" spans="1:66" s="176" customFormat="1" x14ac:dyDescent="0.45">
      <c r="A30" s="13">
        <v>24</v>
      </c>
      <c r="B30" s="150">
        <f>Saisie!B30</f>
        <v>0</v>
      </c>
      <c r="C30" s="150">
        <f>Saisie!C30</f>
        <v>0</v>
      </c>
      <c r="D30" s="150">
        <f>Saisie!D30</f>
        <v>0</v>
      </c>
      <c r="E30" s="150">
        <f>Saisie!E30</f>
        <v>0</v>
      </c>
      <c r="F30" s="150">
        <f>Saisie!F30</f>
        <v>0</v>
      </c>
      <c r="G30" s="150">
        <f>Saisie!G30</f>
        <v>0</v>
      </c>
      <c r="H30" s="150">
        <f>Saisie!I30</f>
        <v>0</v>
      </c>
      <c r="I30" s="150">
        <f>Saisie!J30</f>
        <v>0</v>
      </c>
      <c r="J30" s="150">
        <f>Saisie!K30</f>
        <v>0</v>
      </c>
      <c r="K30" s="150">
        <f>Saisie!L30</f>
        <v>0</v>
      </c>
      <c r="L30" s="150" t="e">
        <f>Saisie!#REF!</f>
        <v>#REF!</v>
      </c>
      <c r="M30" s="55" t="e">
        <f t="array" ref="M30">_xlfn.IFS(Saisie!M30="OUI",1,Saisie!M30="NON",0)</f>
        <v>#N/A</v>
      </c>
      <c r="N30" s="64" t="e">
        <f>Saisie!#REF!</f>
        <v>#REF!</v>
      </c>
      <c r="O30" s="63" t="e">
        <f>Saisie!#REF!</f>
        <v>#REF!</v>
      </c>
      <c r="P30" s="63">
        <f>Saisie!N30</f>
        <v>0</v>
      </c>
      <c r="Q30" s="63" t="e">
        <f t="array" ref="Q30">_xlfn.IFS(Saisie!#REF!="OUI",1,Saisie!#REF!="NON",0)</f>
        <v>#REF!</v>
      </c>
      <c r="R30" s="63" t="e">
        <f>Saisie!#REF!</f>
        <v>#REF!</v>
      </c>
      <c r="S30" s="65" t="e">
        <f>Saisie!#REF!</f>
        <v>#REF!</v>
      </c>
      <c r="T30" s="63" t="e">
        <f>Saisie!#REF!</f>
        <v>#REF!</v>
      </c>
      <c r="U30" s="63" t="e">
        <f>Saisie!#REF!</f>
        <v>#REF!</v>
      </c>
      <c r="V30" s="63" t="e">
        <f t="array" ref="V30">_xlfn.IFS(Saisie!#REF!="OUI",1,Saisie!#REF!="NON",0)</f>
        <v>#REF!</v>
      </c>
      <c r="W30" s="63" t="e">
        <f t="array" ref="W30">_xlfn.IFS(Saisie!O30="OUI",1,Saisie!O30="NON",0)</f>
        <v>#N/A</v>
      </c>
      <c r="X30" s="63">
        <f>Saisie!P30</f>
        <v>0</v>
      </c>
      <c r="Y30" s="299">
        <f>Saisie!H30</f>
        <v>0</v>
      </c>
      <c r="Z30" s="58" t="e">
        <f>Saisie!#REF!</f>
        <v>#REF!</v>
      </c>
      <c r="AA30" s="299">
        <f>Saisie!Q30</f>
        <v>0</v>
      </c>
      <c r="AB30" s="63" t="e">
        <f t="array" ref="AB30">_xlfn.IFS(Saisie!R30="OUI",1,Saisie!R30="NON",0)</f>
        <v>#N/A</v>
      </c>
      <c r="AC30" s="63">
        <f>Saisie!S30</f>
        <v>0</v>
      </c>
      <c r="AD30" s="63" t="e">
        <f t="array" ref="AD30">_xlfn.IFS(Saisie!T30="OUI",1,Saisie!T30="NON",0)</f>
        <v>#N/A</v>
      </c>
      <c r="AE30" s="171">
        <f>Saisie!U30</f>
        <v>0</v>
      </c>
      <c r="AF30" s="263">
        <v>3</v>
      </c>
      <c r="AG30" s="129">
        <f>Saisie!W30</f>
        <v>0</v>
      </c>
      <c r="AH30" s="20">
        <f>Saisie!X30</f>
        <v>0</v>
      </c>
      <c r="AI30" s="21">
        <f>Saisie!Y30</f>
        <v>0</v>
      </c>
      <c r="AJ30" s="59">
        <f>Saisie!Z30</f>
        <v>0</v>
      </c>
      <c r="AK30" s="20">
        <f>Saisie!AA30</f>
        <v>0</v>
      </c>
      <c r="AL30" s="21">
        <f>Saisie!AB30</f>
        <v>0</v>
      </c>
      <c r="AM30" s="59">
        <f>Saisie!AC30</f>
        <v>0</v>
      </c>
      <c r="AN30" s="20">
        <f>Saisie!AD30</f>
        <v>0</v>
      </c>
      <c r="AO30" s="21">
        <f>Saisie!AE30</f>
        <v>0</v>
      </c>
      <c r="AP30" s="59">
        <f>Saisie!AF30</f>
        <v>0</v>
      </c>
      <c r="AQ30" s="129" t="e">
        <f t="array" ref="AQ30">_xlfn.IFS(Saisie!AG30="OUI",1,Saisie!AG30="NON",0)</f>
        <v>#N/A</v>
      </c>
      <c r="AR30" s="129" t="e">
        <f t="array" ref="AR30">_xlfn.IFS(Saisie!AH30="OUI",1,Saisie!AH30="NON",0)</f>
        <v>#N/A</v>
      </c>
      <c r="AS30" s="171">
        <f>Saisie!AI30</f>
        <v>0</v>
      </c>
      <c r="AT30" s="263" t="e">
        <f t="array" ref="AT30">_xlfn.IFS(Saisie!AJ30="OUI",1,Saisie!AJ30="NON",0)</f>
        <v>#N/A</v>
      </c>
      <c r="AU30" s="173">
        <f>Saisie!AK30</f>
        <v>0</v>
      </c>
      <c r="AV30" s="263" t="e">
        <f t="array" ref="AV30">_xlfn.IFS(Saisie!AL30="OUI",1,Saisie!AL30="NON",0)</f>
        <v>#N/A</v>
      </c>
      <c r="AW30" s="171">
        <f>Saisie!AM30</f>
        <v>0</v>
      </c>
      <c r="AX30" s="68">
        <f>Saisie!AN30</f>
        <v>0</v>
      </c>
      <c r="AY30" s="20">
        <f>Saisie!AO30</f>
        <v>0</v>
      </c>
      <c r="AZ30" s="21">
        <f>Saisie!AP30</f>
        <v>0</v>
      </c>
      <c r="BA30" s="298">
        <f>Saisie!AQ30</f>
        <v>0</v>
      </c>
      <c r="BB30" s="170">
        <f>Saisie!AR30</f>
        <v>0</v>
      </c>
      <c r="BC30" s="174">
        <f>Saisie!AS30</f>
        <v>0</v>
      </c>
      <c r="BD30" s="61">
        <f>Saisie!AT30</f>
        <v>0</v>
      </c>
      <c r="BE30" s="175" t="e">
        <f t="array" ref="BE30">_xlfn.IFS(Saisie!AU30="OUI",1,Saisie!AU30="NON",0)</f>
        <v>#N/A</v>
      </c>
      <c r="BF30" s="267">
        <f>Saisie!AV30</f>
        <v>0</v>
      </c>
      <c r="BG30" s="55">
        <f>Saisie!AW30</f>
        <v>0</v>
      </c>
      <c r="BH30" s="55" t="e">
        <f t="array" ref="BH30">_xlfn.IFS(Saisie!AX30="OUI",1,Saisie!AX30="NON",0)</f>
        <v>#N/A</v>
      </c>
      <c r="BI30" s="62">
        <f>Saisie!AY30</f>
        <v>0</v>
      </c>
      <c r="BJ30" s="55" t="e">
        <f t="array" ref="BJ30">_xlfn.IFS(Saisie!AZ30="OUI",1,Saisie!AZ30="NON",0)</f>
        <v>#N/A</v>
      </c>
      <c r="BK30" s="55" t="e">
        <f t="array" ref="BK30">_xlfn.IFS(Saisie!BA30="OUI",1,Saisie!BA30="NON",0)</f>
        <v>#N/A</v>
      </c>
      <c r="BL30" s="55">
        <f>Saisie!BB30</f>
        <v>0</v>
      </c>
      <c r="BM30" s="49" t="e">
        <f>Saisie!BC30</f>
        <v>#REF!</v>
      </c>
      <c r="BN30" s="175"/>
    </row>
    <row r="31" spans="1:66" s="176" customFormat="1" x14ac:dyDescent="0.45">
      <c r="A31" s="12">
        <v>25</v>
      </c>
      <c r="B31" s="150">
        <f>Saisie!B31</f>
        <v>0</v>
      </c>
      <c r="C31" s="150">
        <f>Saisie!C31</f>
        <v>0</v>
      </c>
      <c r="D31" s="150">
        <f>Saisie!D31</f>
        <v>0</v>
      </c>
      <c r="E31" s="150">
        <f>Saisie!E31</f>
        <v>0</v>
      </c>
      <c r="F31" s="150">
        <f>Saisie!F31</f>
        <v>0</v>
      </c>
      <c r="G31" s="150">
        <f>Saisie!G31</f>
        <v>0</v>
      </c>
      <c r="H31" s="150">
        <f>Saisie!I31</f>
        <v>0</v>
      </c>
      <c r="I31" s="150">
        <f>Saisie!J31</f>
        <v>0</v>
      </c>
      <c r="J31" s="150">
        <f>Saisie!K31</f>
        <v>0</v>
      </c>
      <c r="K31" s="150">
        <f>Saisie!L31</f>
        <v>0</v>
      </c>
      <c r="L31" s="150" t="e">
        <f>Saisie!#REF!</f>
        <v>#REF!</v>
      </c>
      <c r="M31" s="55" t="e">
        <f t="array" ref="M31">_xlfn.IFS(Saisie!M31="OUI",1,Saisie!M31="NON",0)</f>
        <v>#N/A</v>
      </c>
      <c r="N31" s="64" t="e">
        <f>Saisie!#REF!</f>
        <v>#REF!</v>
      </c>
      <c r="O31" s="63" t="e">
        <f>Saisie!#REF!</f>
        <v>#REF!</v>
      </c>
      <c r="P31" s="63">
        <f>Saisie!N31</f>
        <v>0</v>
      </c>
      <c r="Q31" s="63" t="e">
        <f t="array" ref="Q31">_xlfn.IFS(Saisie!#REF!="OUI",1,Saisie!#REF!="NON",0)</f>
        <v>#REF!</v>
      </c>
      <c r="R31" s="63" t="e">
        <f>Saisie!#REF!</f>
        <v>#REF!</v>
      </c>
      <c r="S31" s="65" t="e">
        <f>Saisie!#REF!</f>
        <v>#REF!</v>
      </c>
      <c r="T31" s="63" t="e">
        <f>Saisie!#REF!</f>
        <v>#REF!</v>
      </c>
      <c r="U31" s="63" t="e">
        <f>Saisie!#REF!</f>
        <v>#REF!</v>
      </c>
      <c r="V31" s="63" t="e">
        <f t="array" ref="V31">_xlfn.IFS(Saisie!#REF!="OUI",1,Saisie!#REF!="NON",0)</f>
        <v>#REF!</v>
      </c>
      <c r="W31" s="63" t="e">
        <f t="array" ref="W31">_xlfn.IFS(Saisie!O31="OUI",1,Saisie!O31="NON",0)</f>
        <v>#N/A</v>
      </c>
      <c r="X31" s="63">
        <f>Saisie!P31</f>
        <v>0</v>
      </c>
      <c r="Y31" s="299">
        <f>Saisie!H31</f>
        <v>0</v>
      </c>
      <c r="Z31" s="58" t="e">
        <f>Saisie!#REF!</f>
        <v>#REF!</v>
      </c>
      <c r="AA31" s="299">
        <f>Saisie!Q31</f>
        <v>0</v>
      </c>
      <c r="AB31" s="63" t="e">
        <f t="array" ref="AB31">_xlfn.IFS(Saisie!R31="OUI",1,Saisie!R31="NON",0)</f>
        <v>#N/A</v>
      </c>
      <c r="AC31" s="63">
        <f>Saisie!S31</f>
        <v>0</v>
      </c>
      <c r="AD31" s="63" t="e">
        <f t="array" ref="AD31">_xlfn.IFS(Saisie!T31="OUI",1,Saisie!T31="NON",0)</f>
        <v>#N/A</v>
      </c>
      <c r="AE31" s="171">
        <f>Saisie!U31</f>
        <v>0</v>
      </c>
      <c r="AF31" s="263">
        <v>3</v>
      </c>
      <c r="AG31" s="129">
        <f>Saisie!W31</f>
        <v>0</v>
      </c>
      <c r="AH31" s="20">
        <f>Saisie!X31</f>
        <v>0</v>
      </c>
      <c r="AI31" s="21">
        <f>Saisie!Y31</f>
        <v>0</v>
      </c>
      <c r="AJ31" s="59">
        <f>Saisie!Z31</f>
        <v>0</v>
      </c>
      <c r="AK31" s="20">
        <f>Saisie!AA31</f>
        <v>0</v>
      </c>
      <c r="AL31" s="21">
        <f>Saisie!AB31</f>
        <v>0</v>
      </c>
      <c r="AM31" s="59">
        <f>Saisie!AC31</f>
        <v>0</v>
      </c>
      <c r="AN31" s="20">
        <f>Saisie!AD31</f>
        <v>0</v>
      </c>
      <c r="AO31" s="21">
        <f>Saisie!AE31</f>
        <v>0</v>
      </c>
      <c r="AP31" s="59">
        <f>Saisie!AF31</f>
        <v>0</v>
      </c>
      <c r="AQ31" s="129" t="e">
        <f t="array" ref="AQ31">_xlfn.IFS(Saisie!AG31="OUI",1,Saisie!AG31="NON",0)</f>
        <v>#N/A</v>
      </c>
      <c r="AR31" s="129" t="e">
        <f t="array" ref="AR31">_xlfn.IFS(Saisie!AH31="OUI",1,Saisie!AH31="NON",0)</f>
        <v>#N/A</v>
      </c>
      <c r="AS31" s="171">
        <f>Saisie!AI31</f>
        <v>0</v>
      </c>
      <c r="AT31" s="263" t="e">
        <f t="array" ref="AT31">_xlfn.IFS(Saisie!AJ31="OUI",1,Saisie!AJ31="NON",0)</f>
        <v>#N/A</v>
      </c>
      <c r="AU31" s="173">
        <f>Saisie!AK31</f>
        <v>0</v>
      </c>
      <c r="AV31" s="263" t="e">
        <f t="array" ref="AV31">_xlfn.IFS(Saisie!AL31="OUI",1,Saisie!AL31="NON",0)</f>
        <v>#N/A</v>
      </c>
      <c r="AW31" s="171">
        <f>Saisie!AM31</f>
        <v>0</v>
      </c>
      <c r="AX31" s="68">
        <f>Saisie!AN31</f>
        <v>0</v>
      </c>
      <c r="AY31" s="20">
        <f>Saisie!AO31</f>
        <v>0</v>
      </c>
      <c r="AZ31" s="21">
        <f>Saisie!AP31</f>
        <v>0</v>
      </c>
      <c r="BA31" s="298">
        <f>Saisie!AQ31</f>
        <v>0</v>
      </c>
      <c r="BB31" s="170">
        <f>Saisie!AR31</f>
        <v>0</v>
      </c>
      <c r="BC31" s="174">
        <f>Saisie!AS31</f>
        <v>0</v>
      </c>
      <c r="BD31" s="61">
        <f>Saisie!AT31</f>
        <v>0</v>
      </c>
      <c r="BE31" s="175" t="e">
        <f t="array" ref="BE31">_xlfn.IFS(Saisie!AU31="OUI",1,Saisie!AU31="NON",0)</f>
        <v>#N/A</v>
      </c>
      <c r="BF31" s="267">
        <f>Saisie!AV31</f>
        <v>0</v>
      </c>
      <c r="BG31" s="55">
        <f>Saisie!AW31</f>
        <v>0</v>
      </c>
      <c r="BH31" s="55" t="e">
        <f t="array" ref="BH31">_xlfn.IFS(Saisie!AX31="OUI",1,Saisie!AX31="NON",0)</f>
        <v>#N/A</v>
      </c>
      <c r="BI31" s="62">
        <f>Saisie!AY31</f>
        <v>0</v>
      </c>
      <c r="BJ31" s="55" t="e">
        <f t="array" ref="BJ31">_xlfn.IFS(Saisie!AZ31="OUI",1,Saisie!AZ31="NON",0)</f>
        <v>#N/A</v>
      </c>
      <c r="BK31" s="55" t="e">
        <f t="array" ref="BK31">_xlfn.IFS(Saisie!BA31="OUI",1,Saisie!BA31="NON",0)</f>
        <v>#N/A</v>
      </c>
      <c r="BL31" s="55">
        <f>Saisie!BB31</f>
        <v>0</v>
      </c>
      <c r="BM31" s="49" t="e">
        <f>Saisie!BC31</f>
        <v>#REF!</v>
      </c>
      <c r="BN31" s="175"/>
    </row>
    <row r="32" spans="1:66" s="176" customFormat="1" x14ac:dyDescent="0.45">
      <c r="A32" s="13">
        <v>26</v>
      </c>
      <c r="B32" s="150">
        <f>Saisie!B32</f>
        <v>0</v>
      </c>
      <c r="C32" s="150">
        <f>Saisie!C32</f>
        <v>0</v>
      </c>
      <c r="D32" s="150">
        <f>Saisie!D32</f>
        <v>0</v>
      </c>
      <c r="E32" s="150">
        <f>Saisie!E32</f>
        <v>0</v>
      </c>
      <c r="F32" s="150">
        <f>Saisie!F32</f>
        <v>0</v>
      </c>
      <c r="G32" s="150">
        <f>Saisie!G32</f>
        <v>0</v>
      </c>
      <c r="H32" s="150">
        <f>Saisie!I32</f>
        <v>0</v>
      </c>
      <c r="I32" s="150">
        <f>Saisie!J32</f>
        <v>0</v>
      </c>
      <c r="J32" s="150">
        <f>Saisie!K32</f>
        <v>0</v>
      </c>
      <c r="K32" s="150">
        <f>Saisie!L32</f>
        <v>0</v>
      </c>
      <c r="L32" s="150" t="e">
        <f>Saisie!#REF!</f>
        <v>#REF!</v>
      </c>
      <c r="M32" s="55" t="e">
        <f t="array" ref="M32">_xlfn.IFS(Saisie!M32="OUI",1,Saisie!M32="NON",0)</f>
        <v>#N/A</v>
      </c>
      <c r="N32" s="64" t="e">
        <f>Saisie!#REF!</f>
        <v>#REF!</v>
      </c>
      <c r="O32" s="63" t="e">
        <f>Saisie!#REF!</f>
        <v>#REF!</v>
      </c>
      <c r="P32" s="63">
        <f>Saisie!N32</f>
        <v>0</v>
      </c>
      <c r="Q32" s="63" t="e">
        <f t="array" ref="Q32">_xlfn.IFS(Saisie!#REF!="OUI",1,Saisie!#REF!="NON",0)</f>
        <v>#REF!</v>
      </c>
      <c r="R32" s="63" t="e">
        <f>Saisie!#REF!</f>
        <v>#REF!</v>
      </c>
      <c r="S32" s="65" t="e">
        <f>Saisie!#REF!</f>
        <v>#REF!</v>
      </c>
      <c r="T32" s="63" t="e">
        <f>Saisie!#REF!</f>
        <v>#REF!</v>
      </c>
      <c r="U32" s="63" t="e">
        <f>Saisie!#REF!</f>
        <v>#REF!</v>
      </c>
      <c r="V32" s="63" t="e">
        <f t="array" ref="V32">_xlfn.IFS(Saisie!#REF!="OUI",1,Saisie!#REF!="NON",0)</f>
        <v>#REF!</v>
      </c>
      <c r="W32" s="63" t="e">
        <f t="array" ref="W32">_xlfn.IFS(Saisie!O32="OUI",1,Saisie!O32="NON",0)</f>
        <v>#N/A</v>
      </c>
      <c r="X32" s="63">
        <f>Saisie!P32</f>
        <v>0</v>
      </c>
      <c r="Y32" s="299">
        <f>Saisie!H32</f>
        <v>0</v>
      </c>
      <c r="Z32" s="58" t="e">
        <f>Saisie!#REF!</f>
        <v>#REF!</v>
      </c>
      <c r="AA32" s="299">
        <f>Saisie!Q32</f>
        <v>0</v>
      </c>
      <c r="AB32" s="63" t="e">
        <f t="array" ref="AB32">_xlfn.IFS(Saisie!R32="OUI",1,Saisie!R32="NON",0)</f>
        <v>#N/A</v>
      </c>
      <c r="AC32" s="63">
        <f>Saisie!S32</f>
        <v>0</v>
      </c>
      <c r="AD32" s="63" t="e">
        <f t="array" ref="AD32">_xlfn.IFS(Saisie!T32="OUI",1,Saisie!T32="NON",0)</f>
        <v>#N/A</v>
      </c>
      <c r="AE32" s="171">
        <f>Saisie!U32</f>
        <v>0</v>
      </c>
      <c r="AF32" s="263">
        <v>3</v>
      </c>
      <c r="AG32" s="129">
        <f>Saisie!W32</f>
        <v>0</v>
      </c>
      <c r="AH32" s="20">
        <f>Saisie!X32</f>
        <v>0</v>
      </c>
      <c r="AI32" s="21">
        <f>Saisie!Y32</f>
        <v>0</v>
      </c>
      <c r="AJ32" s="59">
        <f>Saisie!Z32</f>
        <v>0</v>
      </c>
      <c r="AK32" s="20">
        <f>Saisie!AA32</f>
        <v>0</v>
      </c>
      <c r="AL32" s="21">
        <f>Saisie!AB32</f>
        <v>0</v>
      </c>
      <c r="AM32" s="59">
        <f>Saisie!AC32</f>
        <v>0</v>
      </c>
      <c r="AN32" s="20">
        <f>Saisie!AD32</f>
        <v>0</v>
      </c>
      <c r="AO32" s="21">
        <f>Saisie!AE32</f>
        <v>0</v>
      </c>
      <c r="AP32" s="59">
        <f>Saisie!AF32</f>
        <v>0</v>
      </c>
      <c r="AQ32" s="129" t="e">
        <f t="array" ref="AQ32">_xlfn.IFS(Saisie!AG32="OUI",1,Saisie!AG32="NON",0)</f>
        <v>#N/A</v>
      </c>
      <c r="AR32" s="129" t="e">
        <f t="array" ref="AR32">_xlfn.IFS(Saisie!AH32="OUI",1,Saisie!AH32="NON",0)</f>
        <v>#N/A</v>
      </c>
      <c r="AS32" s="171">
        <f>Saisie!AI32</f>
        <v>0</v>
      </c>
      <c r="AT32" s="263" t="e">
        <f t="array" ref="AT32">_xlfn.IFS(Saisie!AJ32="OUI",1,Saisie!AJ32="NON",0)</f>
        <v>#N/A</v>
      </c>
      <c r="AU32" s="173">
        <f>Saisie!AK32</f>
        <v>0</v>
      </c>
      <c r="AV32" s="263" t="e">
        <f t="array" ref="AV32">_xlfn.IFS(Saisie!AL32="OUI",1,Saisie!AL32="NON",0)</f>
        <v>#N/A</v>
      </c>
      <c r="AW32" s="171">
        <f>Saisie!AM32</f>
        <v>0</v>
      </c>
      <c r="AX32" s="68">
        <f>Saisie!AN32</f>
        <v>0</v>
      </c>
      <c r="AY32" s="20">
        <f>Saisie!AO32</f>
        <v>0</v>
      </c>
      <c r="AZ32" s="21">
        <f>Saisie!AP32</f>
        <v>0</v>
      </c>
      <c r="BA32" s="298">
        <f>Saisie!AQ32</f>
        <v>0</v>
      </c>
      <c r="BB32" s="170">
        <f>Saisie!AR32</f>
        <v>0</v>
      </c>
      <c r="BC32" s="174">
        <f>Saisie!AS32</f>
        <v>0</v>
      </c>
      <c r="BD32" s="61">
        <f>Saisie!AT32</f>
        <v>0</v>
      </c>
      <c r="BE32" s="175" t="e">
        <f t="array" ref="BE32">_xlfn.IFS(Saisie!AU32="OUI",1,Saisie!AU32="NON",0)</f>
        <v>#N/A</v>
      </c>
      <c r="BF32" s="267">
        <f>Saisie!AV32</f>
        <v>0</v>
      </c>
      <c r="BG32" s="55">
        <f>Saisie!AW32</f>
        <v>0</v>
      </c>
      <c r="BH32" s="55" t="e">
        <f t="array" ref="BH32">_xlfn.IFS(Saisie!AX32="OUI",1,Saisie!AX32="NON",0)</f>
        <v>#N/A</v>
      </c>
      <c r="BI32" s="62">
        <f>Saisie!AY32</f>
        <v>0</v>
      </c>
      <c r="BJ32" s="55" t="e">
        <f t="array" ref="BJ32">_xlfn.IFS(Saisie!AZ32="OUI",1,Saisie!AZ32="NON",0)</f>
        <v>#N/A</v>
      </c>
      <c r="BK32" s="55" t="e">
        <f t="array" ref="BK32">_xlfn.IFS(Saisie!BA32="OUI",1,Saisie!BA32="NON",0)</f>
        <v>#N/A</v>
      </c>
      <c r="BL32" s="55">
        <f>Saisie!BB32</f>
        <v>0</v>
      </c>
      <c r="BM32" s="49" t="e">
        <f>Saisie!BC32</f>
        <v>#REF!</v>
      </c>
      <c r="BN32" s="175"/>
    </row>
    <row r="33" spans="1:66" s="176" customFormat="1" x14ac:dyDescent="0.45">
      <c r="A33" s="13">
        <v>27</v>
      </c>
      <c r="B33" s="150">
        <f>Saisie!B33</f>
        <v>0</v>
      </c>
      <c r="C33" s="150">
        <f>Saisie!C33</f>
        <v>0</v>
      </c>
      <c r="D33" s="150">
        <f>Saisie!D33</f>
        <v>0</v>
      </c>
      <c r="E33" s="150">
        <f>Saisie!E33</f>
        <v>0</v>
      </c>
      <c r="F33" s="150">
        <f>Saisie!F33</f>
        <v>0</v>
      </c>
      <c r="G33" s="150">
        <f>Saisie!G33</f>
        <v>0</v>
      </c>
      <c r="H33" s="150">
        <f>Saisie!I33</f>
        <v>0</v>
      </c>
      <c r="I33" s="150">
        <f>Saisie!J33</f>
        <v>0</v>
      </c>
      <c r="J33" s="150">
        <f>Saisie!K33</f>
        <v>0</v>
      </c>
      <c r="K33" s="150">
        <f>Saisie!L33</f>
        <v>0</v>
      </c>
      <c r="L33" s="150" t="e">
        <f>Saisie!#REF!</f>
        <v>#REF!</v>
      </c>
      <c r="M33" s="55" t="e">
        <f t="array" ref="M33">_xlfn.IFS(Saisie!M33="OUI",1,Saisie!M33="NON",0)</f>
        <v>#N/A</v>
      </c>
      <c r="N33" s="64" t="e">
        <f>Saisie!#REF!</f>
        <v>#REF!</v>
      </c>
      <c r="O33" s="63" t="e">
        <f>Saisie!#REF!</f>
        <v>#REF!</v>
      </c>
      <c r="P33" s="63">
        <f>Saisie!N33</f>
        <v>0</v>
      </c>
      <c r="Q33" s="63" t="e">
        <f t="array" ref="Q33">_xlfn.IFS(Saisie!#REF!="OUI",1,Saisie!#REF!="NON",0)</f>
        <v>#REF!</v>
      </c>
      <c r="R33" s="63" t="e">
        <f>Saisie!#REF!</f>
        <v>#REF!</v>
      </c>
      <c r="S33" s="65" t="e">
        <f>Saisie!#REF!</f>
        <v>#REF!</v>
      </c>
      <c r="T33" s="63" t="e">
        <f>Saisie!#REF!</f>
        <v>#REF!</v>
      </c>
      <c r="U33" s="63" t="e">
        <f>Saisie!#REF!</f>
        <v>#REF!</v>
      </c>
      <c r="V33" s="63" t="e">
        <f t="array" ref="V33">_xlfn.IFS(Saisie!#REF!="OUI",1,Saisie!#REF!="NON",0)</f>
        <v>#REF!</v>
      </c>
      <c r="W33" s="63" t="e">
        <f t="array" ref="W33">_xlfn.IFS(Saisie!O33="OUI",1,Saisie!O33="NON",0)</f>
        <v>#N/A</v>
      </c>
      <c r="X33" s="63">
        <f>Saisie!P33</f>
        <v>0</v>
      </c>
      <c r="Y33" s="299">
        <f>Saisie!H33</f>
        <v>0</v>
      </c>
      <c r="Z33" s="58" t="e">
        <f>Saisie!#REF!</f>
        <v>#REF!</v>
      </c>
      <c r="AA33" s="299">
        <f>Saisie!Q33</f>
        <v>0</v>
      </c>
      <c r="AB33" s="63" t="e">
        <f t="array" ref="AB33">_xlfn.IFS(Saisie!R33="OUI",1,Saisie!R33="NON",0)</f>
        <v>#N/A</v>
      </c>
      <c r="AC33" s="63">
        <f>Saisie!S33</f>
        <v>0</v>
      </c>
      <c r="AD33" s="63" t="e">
        <f t="array" ref="AD33">_xlfn.IFS(Saisie!T33="OUI",1,Saisie!T33="NON",0)</f>
        <v>#N/A</v>
      </c>
      <c r="AE33" s="171">
        <f>Saisie!U33</f>
        <v>0</v>
      </c>
      <c r="AF33" s="263">
        <v>3</v>
      </c>
      <c r="AG33" s="129">
        <f>Saisie!W33</f>
        <v>0</v>
      </c>
      <c r="AH33" s="20">
        <f>Saisie!X33</f>
        <v>0</v>
      </c>
      <c r="AI33" s="21">
        <f>Saisie!Y33</f>
        <v>0</v>
      </c>
      <c r="AJ33" s="59">
        <f>Saisie!Z33</f>
        <v>0</v>
      </c>
      <c r="AK33" s="20">
        <f>Saisie!AA33</f>
        <v>0</v>
      </c>
      <c r="AL33" s="21">
        <f>Saisie!AB33</f>
        <v>0</v>
      </c>
      <c r="AM33" s="59">
        <f>Saisie!AC33</f>
        <v>0</v>
      </c>
      <c r="AN33" s="20">
        <f>Saisie!AD33</f>
        <v>0</v>
      </c>
      <c r="AO33" s="21">
        <f>Saisie!AE33</f>
        <v>0</v>
      </c>
      <c r="AP33" s="59">
        <f>Saisie!AF33</f>
        <v>0</v>
      </c>
      <c r="AQ33" s="129" t="e">
        <f t="array" ref="AQ33">_xlfn.IFS(Saisie!AG33="OUI",1,Saisie!AG33="NON",0)</f>
        <v>#N/A</v>
      </c>
      <c r="AR33" s="129" t="e">
        <f t="array" ref="AR33">_xlfn.IFS(Saisie!AH33="OUI",1,Saisie!AH33="NON",0)</f>
        <v>#N/A</v>
      </c>
      <c r="AS33" s="171">
        <f>Saisie!AI33</f>
        <v>0</v>
      </c>
      <c r="AT33" s="263" t="e">
        <f t="array" ref="AT33">_xlfn.IFS(Saisie!AJ33="OUI",1,Saisie!AJ33="NON",0)</f>
        <v>#N/A</v>
      </c>
      <c r="AU33" s="173">
        <f>Saisie!AK33</f>
        <v>0</v>
      </c>
      <c r="AV33" s="263" t="e">
        <f t="array" ref="AV33">_xlfn.IFS(Saisie!AL33="OUI",1,Saisie!AL33="NON",0)</f>
        <v>#N/A</v>
      </c>
      <c r="AW33" s="171">
        <f>Saisie!AM33</f>
        <v>0</v>
      </c>
      <c r="AX33" s="68">
        <f>Saisie!AN33</f>
        <v>0</v>
      </c>
      <c r="AY33" s="20">
        <f>Saisie!AO33</f>
        <v>0</v>
      </c>
      <c r="AZ33" s="21">
        <f>Saisie!AP33</f>
        <v>0</v>
      </c>
      <c r="BA33" s="298">
        <f>Saisie!AQ33</f>
        <v>0</v>
      </c>
      <c r="BB33" s="170">
        <f>Saisie!AR33</f>
        <v>0</v>
      </c>
      <c r="BC33" s="174">
        <f>Saisie!AS33</f>
        <v>0</v>
      </c>
      <c r="BD33" s="61">
        <f>Saisie!AT33</f>
        <v>0</v>
      </c>
      <c r="BE33" s="175" t="e">
        <f t="array" ref="BE33">_xlfn.IFS(Saisie!AU33="OUI",1,Saisie!AU33="NON",0)</f>
        <v>#N/A</v>
      </c>
      <c r="BF33" s="267">
        <f>Saisie!AV33</f>
        <v>0</v>
      </c>
      <c r="BG33" s="55">
        <f>Saisie!AW33</f>
        <v>0</v>
      </c>
      <c r="BH33" s="55" t="e">
        <f t="array" ref="BH33">_xlfn.IFS(Saisie!AX33="OUI",1,Saisie!AX33="NON",0)</f>
        <v>#N/A</v>
      </c>
      <c r="BI33" s="62">
        <f>Saisie!AY33</f>
        <v>0</v>
      </c>
      <c r="BJ33" s="55" t="e">
        <f t="array" ref="BJ33">_xlfn.IFS(Saisie!AZ33="OUI",1,Saisie!AZ33="NON",0)</f>
        <v>#N/A</v>
      </c>
      <c r="BK33" s="55" t="e">
        <f t="array" ref="BK33">_xlfn.IFS(Saisie!BA33="OUI",1,Saisie!BA33="NON",0)</f>
        <v>#N/A</v>
      </c>
      <c r="BL33" s="55">
        <f>Saisie!BB33</f>
        <v>0</v>
      </c>
      <c r="BM33" s="49" t="e">
        <f>Saisie!BC33</f>
        <v>#REF!</v>
      </c>
      <c r="BN33" s="175"/>
    </row>
    <row r="34" spans="1:66" s="176" customFormat="1" x14ac:dyDescent="0.45">
      <c r="A34" s="12">
        <v>28</v>
      </c>
      <c r="B34" s="150">
        <f>Saisie!B34</f>
        <v>0</v>
      </c>
      <c r="C34" s="150">
        <f>Saisie!C34</f>
        <v>0</v>
      </c>
      <c r="D34" s="150">
        <f>Saisie!D34</f>
        <v>0</v>
      </c>
      <c r="E34" s="150">
        <f>Saisie!E34</f>
        <v>0</v>
      </c>
      <c r="F34" s="150">
        <f>Saisie!F34</f>
        <v>0</v>
      </c>
      <c r="G34" s="150">
        <f>Saisie!G34</f>
        <v>0</v>
      </c>
      <c r="H34" s="150">
        <f>Saisie!I34</f>
        <v>0</v>
      </c>
      <c r="I34" s="150">
        <f>Saisie!J34</f>
        <v>0</v>
      </c>
      <c r="J34" s="150">
        <f>Saisie!K34</f>
        <v>0</v>
      </c>
      <c r="K34" s="150">
        <f>Saisie!L34</f>
        <v>0</v>
      </c>
      <c r="L34" s="150" t="e">
        <f>Saisie!#REF!</f>
        <v>#REF!</v>
      </c>
      <c r="M34" s="55" t="e">
        <f t="array" ref="M34">_xlfn.IFS(Saisie!M34="OUI",1,Saisie!M34="NON",0)</f>
        <v>#N/A</v>
      </c>
      <c r="N34" s="64" t="e">
        <f>Saisie!#REF!</f>
        <v>#REF!</v>
      </c>
      <c r="O34" s="63" t="e">
        <f>Saisie!#REF!</f>
        <v>#REF!</v>
      </c>
      <c r="P34" s="63">
        <f>Saisie!N34</f>
        <v>0</v>
      </c>
      <c r="Q34" s="63" t="e">
        <f t="array" ref="Q34">_xlfn.IFS(Saisie!#REF!="OUI",1,Saisie!#REF!="NON",0)</f>
        <v>#REF!</v>
      </c>
      <c r="R34" s="63" t="e">
        <f>Saisie!#REF!</f>
        <v>#REF!</v>
      </c>
      <c r="S34" s="65" t="e">
        <f>Saisie!#REF!</f>
        <v>#REF!</v>
      </c>
      <c r="T34" s="63" t="e">
        <f>Saisie!#REF!</f>
        <v>#REF!</v>
      </c>
      <c r="U34" s="63" t="e">
        <f>Saisie!#REF!</f>
        <v>#REF!</v>
      </c>
      <c r="V34" s="63" t="e">
        <f t="array" ref="V34">_xlfn.IFS(Saisie!#REF!="OUI",1,Saisie!#REF!="NON",0)</f>
        <v>#REF!</v>
      </c>
      <c r="W34" s="63" t="e">
        <f t="array" ref="W34">_xlfn.IFS(Saisie!O34="OUI",1,Saisie!O34="NON",0)</f>
        <v>#N/A</v>
      </c>
      <c r="X34" s="63">
        <f>Saisie!P34</f>
        <v>0</v>
      </c>
      <c r="Y34" s="299">
        <f>Saisie!H34</f>
        <v>0</v>
      </c>
      <c r="Z34" s="58" t="e">
        <f>Saisie!#REF!</f>
        <v>#REF!</v>
      </c>
      <c r="AA34" s="299">
        <f>Saisie!Q34</f>
        <v>0</v>
      </c>
      <c r="AB34" s="63" t="e">
        <f t="array" ref="AB34">_xlfn.IFS(Saisie!R34="OUI",1,Saisie!R34="NON",0)</f>
        <v>#N/A</v>
      </c>
      <c r="AC34" s="63">
        <f>Saisie!S34</f>
        <v>0</v>
      </c>
      <c r="AD34" s="63" t="e">
        <f t="array" ref="AD34">_xlfn.IFS(Saisie!T34="OUI",1,Saisie!T34="NON",0)</f>
        <v>#N/A</v>
      </c>
      <c r="AE34" s="171">
        <f>Saisie!U34</f>
        <v>0</v>
      </c>
      <c r="AF34" s="263">
        <v>3</v>
      </c>
      <c r="AG34" s="129">
        <f>Saisie!W34</f>
        <v>0</v>
      </c>
      <c r="AH34" s="20">
        <f>Saisie!X34</f>
        <v>0</v>
      </c>
      <c r="AI34" s="21">
        <f>Saisie!Y34</f>
        <v>0</v>
      </c>
      <c r="AJ34" s="59">
        <f>Saisie!Z34</f>
        <v>0</v>
      </c>
      <c r="AK34" s="20">
        <f>Saisie!AA34</f>
        <v>0</v>
      </c>
      <c r="AL34" s="21">
        <f>Saisie!AB34</f>
        <v>0</v>
      </c>
      <c r="AM34" s="59">
        <f>Saisie!AC34</f>
        <v>0</v>
      </c>
      <c r="AN34" s="20">
        <f>Saisie!AD34</f>
        <v>0</v>
      </c>
      <c r="AO34" s="21">
        <f>Saisie!AE34</f>
        <v>0</v>
      </c>
      <c r="AP34" s="59">
        <f>Saisie!AF34</f>
        <v>0</v>
      </c>
      <c r="AQ34" s="129" t="e">
        <f t="array" ref="AQ34">_xlfn.IFS(Saisie!AG34="OUI",1,Saisie!AG34="NON",0)</f>
        <v>#N/A</v>
      </c>
      <c r="AR34" s="129" t="e">
        <f t="array" ref="AR34">_xlfn.IFS(Saisie!AH34="OUI",1,Saisie!AH34="NON",0)</f>
        <v>#N/A</v>
      </c>
      <c r="AS34" s="171">
        <f>Saisie!AI34</f>
        <v>0</v>
      </c>
      <c r="AT34" s="263" t="e">
        <f t="array" ref="AT34">_xlfn.IFS(Saisie!AJ34="OUI",1,Saisie!AJ34="NON",0)</f>
        <v>#N/A</v>
      </c>
      <c r="AU34" s="173">
        <f>Saisie!AK34</f>
        <v>0</v>
      </c>
      <c r="AV34" s="263" t="e">
        <f t="array" ref="AV34">_xlfn.IFS(Saisie!AL34="OUI",1,Saisie!AL34="NON",0)</f>
        <v>#N/A</v>
      </c>
      <c r="AW34" s="171">
        <f>Saisie!AM34</f>
        <v>0</v>
      </c>
      <c r="AX34" s="68">
        <f>Saisie!AN34</f>
        <v>0</v>
      </c>
      <c r="AY34" s="20">
        <f>Saisie!AO34</f>
        <v>0</v>
      </c>
      <c r="AZ34" s="21">
        <f>Saisie!AP34</f>
        <v>0</v>
      </c>
      <c r="BA34" s="298">
        <f>Saisie!AQ34</f>
        <v>0</v>
      </c>
      <c r="BB34" s="170">
        <f>Saisie!AR34</f>
        <v>0</v>
      </c>
      <c r="BC34" s="174">
        <f>Saisie!AS34</f>
        <v>0</v>
      </c>
      <c r="BD34" s="61">
        <f>Saisie!AT34</f>
        <v>0</v>
      </c>
      <c r="BE34" s="175" t="e">
        <f t="array" ref="BE34">_xlfn.IFS(Saisie!AU34="OUI",1,Saisie!AU34="NON",0)</f>
        <v>#N/A</v>
      </c>
      <c r="BF34" s="267">
        <f>Saisie!AV34</f>
        <v>0</v>
      </c>
      <c r="BG34" s="55">
        <f>Saisie!AW34</f>
        <v>0</v>
      </c>
      <c r="BH34" s="55" t="e">
        <f t="array" ref="BH34">_xlfn.IFS(Saisie!AX34="OUI",1,Saisie!AX34="NON",0)</f>
        <v>#N/A</v>
      </c>
      <c r="BI34" s="62">
        <f>Saisie!AY34</f>
        <v>0</v>
      </c>
      <c r="BJ34" s="55" t="e">
        <f t="array" ref="BJ34">_xlfn.IFS(Saisie!AZ34="OUI",1,Saisie!AZ34="NON",0)</f>
        <v>#N/A</v>
      </c>
      <c r="BK34" s="55" t="e">
        <f t="array" ref="BK34">_xlfn.IFS(Saisie!BA34="OUI",1,Saisie!BA34="NON",0)</f>
        <v>#N/A</v>
      </c>
      <c r="BL34" s="55">
        <f>Saisie!BB34</f>
        <v>0</v>
      </c>
      <c r="BM34" s="49" t="e">
        <f>Saisie!BC34</f>
        <v>#REF!</v>
      </c>
      <c r="BN34" s="175"/>
    </row>
    <row r="35" spans="1:66" s="176" customFormat="1" x14ac:dyDescent="0.45">
      <c r="A35" s="13">
        <v>29</v>
      </c>
      <c r="B35" s="150">
        <f>Saisie!B35</f>
        <v>0</v>
      </c>
      <c r="C35" s="150">
        <f>Saisie!C35</f>
        <v>0</v>
      </c>
      <c r="D35" s="150">
        <f>Saisie!D35</f>
        <v>0</v>
      </c>
      <c r="E35" s="150">
        <f>Saisie!E35</f>
        <v>0</v>
      </c>
      <c r="F35" s="150">
        <f>Saisie!F35</f>
        <v>0</v>
      </c>
      <c r="G35" s="150">
        <f>Saisie!G35</f>
        <v>0</v>
      </c>
      <c r="H35" s="150">
        <f>Saisie!I35</f>
        <v>0</v>
      </c>
      <c r="I35" s="150">
        <f>Saisie!J35</f>
        <v>0</v>
      </c>
      <c r="J35" s="150">
        <f>Saisie!K35</f>
        <v>0</v>
      </c>
      <c r="K35" s="150">
        <f>Saisie!L35</f>
        <v>0</v>
      </c>
      <c r="L35" s="150" t="e">
        <f>Saisie!#REF!</f>
        <v>#REF!</v>
      </c>
      <c r="M35" s="55" t="e">
        <f t="array" ref="M35">_xlfn.IFS(Saisie!M35="OUI",1,Saisie!M35="NON",0)</f>
        <v>#N/A</v>
      </c>
      <c r="N35" s="64" t="e">
        <f>Saisie!#REF!</f>
        <v>#REF!</v>
      </c>
      <c r="O35" s="63" t="e">
        <f>Saisie!#REF!</f>
        <v>#REF!</v>
      </c>
      <c r="P35" s="63">
        <f>Saisie!N35</f>
        <v>0</v>
      </c>
      <c r="Q35" s="63" t="e">
        <f t="array" ref="Q35">_xlfn.IFS(Saisie!#REF!="OUI",1,Saisie!#REF!="NON",0)</f>
        <v>#REF!</v>
      </c>
      <c r="R35" s="63" t="e">
        <f>Saisie!#REF!</f>
        <v>#REF!</v>
      </c>
      <c r="S35" s="65" t="e">
        <f>Saisie!#REF!</f>
        <v>#REF!</v>
      </c>
      <c r="T35" s="63" t="e">
        <f>Saisie!#REF!</f>
        <v>#REF!</v>
      </c>
      <c r="U35" s="63" t="e">
        <f>Saisie!#REF!</f>
        <v>#REF!</v>
      </c>
      <c r="V35" s="63" t="e">
        <f t="array" ref="V35">_xlfn.IFS(Saisie!#REF!="OUI",1,Saisie!#REF!="NON",0)</f>
        <v>#REF!</v>
      </c>
      <c r="W35" s="63" t="e">
        <f t="array" ref="W35">_xlfn.IFS(Saisie!O35="OUI",1,Saisie!O35="NON",0)</f>
        <v>#N/A</v>
      </c>
      <c r="X35" s="63">
        <f>Saisie!P35</f>
        <v>0</v>
      </c>
      <c r="Y35" s="299">
        <f>Saisie!H35</f>
        <v>0</v>
      </c>
      <c r="Z35" s="58" t="e">
        <f>Saisie!#REF!</f>
        <v>#REF!</v>
      </c>
      <c r="AA35" s="299">
        <f>Saisie!Q35</f>
        <v>0</v>
      </c>
      <c r="AB35" s="63" t="e">
        <f t="array" ref="AB35">_xlfn.IFS(Saisie!R35="OUI",1,Saisie!R35="NON",0)</f>
        <v>#N/A</v>
      </c>
      <c r="AC35" s="63">
        <f>Saisie!S35</f>
        <v>0</v>
      </c>
      <c r="AD35" s="63" t="e">
        <f t="array" ref="AD35">_xlfn.IFS(Saisie!T35="OUI",1,Saisie!T35="NON",0)</f>
        <v>#N/A</v>
      </c>
      <c r="AE35" s="171">
        <f>Saisie!U35</f>
        <v>0</v>
      </c>
      <c r="AF35" s="263">
        <v>3</v>
      </c>
      <c r="AG35" s="129">
        <f>Saisie!W35</f>
        <v>0</v>
      </c>
      <c r="AH35" s="20">
        <f>Saisie!X35</f>
        <v>0</v>
      </c>
      <c r="AI35" s="21">
        <f>Saisie!Y35</f>
        <v>0</v>
      </c>
      <c r="AJ35" s="59">
        <f>Saisie!Z35</f>
        <v>0</v>
      </c>
      <c r="AK35" s="20">
        <f>Saisie!AA35</f>
        <v>0</v>
      </c>
      <c r="AL35" s="21">
        <f>Saisie!AB35</f>
        <v>0</v>
      </c>
      <c r="AM35" s="59">
        <f>Saisie!AC35</f>
        <v>0</v>
      </c>
      <c r="AN35" s="20">
        <f>Saisie!AD35</f>
        <v>0</v>
      </c>
      <c r="AO35" s="21">
        <f>Saisie!AE35</f>
        <v>0</v>
      </c>
      <c r="AP35" s="59">
        <f>Saisie!AF35</f>
        <v>0</v>
      </c>
      <c r="AQ35" s="129" t="e">
        <f t="array" ref="AQ35">_xlfn.IFS(Saisie!AG35="OUI",1,Saisie!AG35="NON",0)</f>
        <v>#N/A</v>
      </c>
      <c r="AR35" s="129" t="e">
        <f t="array" ref="AR35">_xlfn.IFS(Saisie!AH35="OUI",1,Saisie!AH35="NON",0)</f>
        <v>#N/A</v>
      </c>
      <c r="AS35" s="171">
        <f>Saisie!AI35</f>
        <v>0</v>
      </c>
      <c r="AT35" s="263" t="e">
        <f t="array" ref="AT35">_xlfn.IFS(Saisie!AJ35="OUI",1,Saisie!AJ35="NON",0)</f>
        <v>#N/A</v>
      </c>
      <c r="AU35" s="173">
        <f>Saisie!AK35</f>
        <v>0</v>
      </c>
      <c r="AV35" s="263" t="e">
        <f t="array" ref="AV35">_xlfn.IFS(Saisie!AL35="OUI",1,Saisie!AL35="NON",0)</f>
        <v>#N/A</v>
      </c>
      <c r="AW35" s="171">
        <f>Saisie!AM35</f>
        <v>0</v>
      </c>
      <c r="AX35" s="68">
        <f>Saisie!AN35</f>
        <v>0</v>
      </c>
      <c r="AY35" s="20">
        <f>Saisie!AO35</f>
        <v>0</v>
      </c>
      <c r="AZ35" s="21">
        <f>Saisie!AP35</f>
        <v>0</v>
      </c>
      <c r="BA35" s="298">
        <f>Saisie!AQ35</f>
        <v>0</v>
      </c>
      <c r="BB35" s="170">
        <f>Saisie!AR35</f>
        <v>0</v>
      </c>
      <c r="BC35" s="174">
        <f>Saisie!AS35</f>
        <v>0</v>
      </c>
      <c r="BD35" s="61">
        <f>Saisie!AT35</f>
        <v>0</v>
      </c>
      <c r="BE35" s="175" t="e">
        <f t="array" ref="BE35">_xlfn.IFS(Saisie!AU35="OUI",1,Saisie!AU35="NON",0)</f>
        <v>#N/A</v>
      </c>
      <c r="BF35" s="267">
        <f>Saisie!AV35</f>
        <v>0</v>
      </c>
      <c r="BG35" s="55">
        <f>Saisie!AW35</f>
        <v>0</v>
      </c>
      <c r="BH35" s="55" t="e">
        <f t="array" ref="BH35">_xlfn.IFS(Saisie!AX35="OUI",1,Saisie!AX35="NON",0)</f>
        <v>#N/A</v>
      </c>
      <c r="BI35" s="62">
        <f>Saisie!AY35</f>
        <v>0</v>
      </c>
      <c r="BJ35" s="55" t="e">
        <f t="array" ref="BJ35">_xlfn.IFS(Saisie!AZ35="OUI",1,Saisie!AZ35="NON",0)</f>
        <v>#N/A</v>
      </c>
      <c r="BK35" s="55" t="e">
        <f t="array" ref="BK35">_xlfn.IFS(Saisie!BA35="OUI",1,Saisie!BA35="NON",0)</f>
        <v>#N/A</v>
      </c>
      <c r="BL35" s="55">
        <f>Saisie!BB35</f>
        <v>0</v>
      </c>
      <c r="BM35" s="49" t="e">
        <f>Saisie!BC35</f>
        <v>#REF!</v>
      </c>
      <c r="BN35" s="175"/>
    </row>
    <row r="36" spans="1:66" s="176" customFormat="1" x14ac:dyDescent="0.45">
      <c r="A36" s="13">
        <v>30</v>
      </c>
      <c r="B36" s="150">
        <f>Saisie!B36</f>
        <v>0</v>
      </c>
      <c r="C36" s="150">
        <f>Saisie!C36</f>
        <v>0</v>
      </c>
      <c r="D36" s="150">
        <f>Saisie!D36</f>
        <v>0</v>
      </c>
      <c r="E36" s="150">
        <f>Saisie!E36</f>
        <v>0</v>
      </c>
      <c r="F36" s="150">
        <f>Saisie!F36</f>
        <v>0</v>
      </c>
      <c r="G36" s="150">
        <f>Saisie!G36</f>
        <v>0</v>
      </c>
      <c r="H36" s="150">
        <f>Saisie!I36</f>
        <v>0</v>
      </c>
      <c r="I36" s="150">
        <f>Saisie!J36</f>
        <v>0</v>
      </c>
      <c r="J36" s="150">
        <f>Saisie!K36</f>
        <v>0</v>
      </c>
      <c r="K36" s="150">
        <f>Saisie!L36</f>
        <v>0</v>
      </c>
      <c r="L36" s="150" t="e">
        <f>Saisie!#REF!</f>
        <v>#REF!</v>
      </c>
      <c r="M36" s="55" t="e">
        <f t="array" ref="M36">_xlfn.IFS(Saisie!M36="OUI",1,Saisie!M36="NON",0)</f>
        <v>#N/A</v>
      </c>
      <c r="N36" s="64" t="e">
        <f>Saisie!#REF!</f>
        <v>#REF!</v>
      </c>
      <c r="O36" s="63" t="e">
        <f>Saisie!#REF!</f>
        <v>#REF!</v>
      </c>
      <c r="P36" s="63">
        <f>Saisie!N36</f>
        <v>0</v>
      </c>
      <c r="Q36" s="63" t="e">
        <f t="array" ref="Q36">_xlfn.IFS(Saisie!#REF!="OUI",1,Saisie!#REF!="NON",0)</f>
        <v>#REF!</v>
      </c>
      <c r="R36" s="63" t="e">
        <f>Saisie!#REF!</f>
        <v>#REF!</v>
      </c>
      <c r="S36" s="65" t="e">
        <f>Saisie!#REF!</f>
        <v>#REF!</v>
      </c>
      <c r="T36" s="63" t="e">
        <f>Saisie!#REF!</f>
        <v>#REF!</v>
      </c>
      <c r="U36" s="63" t="e">
        <f>Saisie!#REF!</f>
        <v>#REF!</v>
      </c>
      <c r="V36" s="63" t="e">
        <f t="array" ref="V36">_xlfn.IFS(Saisie!#REF!="OUI",1,Saisie!#REF!="NON",0)</f>
        <v>#REF!</v>
      </c>
      <c r="W36" s="63" t="e">
        <f t="array" ref="W36">_xlfn.IFS(Saisie!O36="OUI",1,Saisie!O36="NON",0)</f>
        <v>#N/A</v>
      </c>
      <c r="X36" s="63">
        <f>Saisie!P36</f>
        <v>0</v>
      </c>
      <c r="Y36" s="299">
        <f>Saisie!H36</f>
        <v>0</v>
      </c>
      <c r="Z36" s="58" t="e">
        <f>Saisie!#REF!</f>
        <v>#REF!</v>
      </c>
      <c r="AA36" s="299">
        <f>Saisie!Q36</f>
        <v>0</v>
      </c>
      <c r="AB36" s="63" t="e">
        <f t="array" ref="AB36">_xlfn.IFS(Saisie!R36="OUI",1,Saisie!R36="NON",0)</f>
        <v>#N/A</v>
      </c>
      <c r="AC36" s="63">
        <f>Saisie!S36</f>
        <v>0</v>
      </c>
      <c r="AD36" s="63" t="e">
        <f t="array" ref="AD36">_xlfn.IFS(Saisie!T36="OUI",1,Saisie!T36="NON",0)</f>
        <v>#N/A</v>
      </c>
      <c r="AE36" s="171">
        <f>Saisie!U36</f>
        <v>0</v>
      </c>
      <c r="AF36" s="263">
        <v>3</v>
      </c>
      <c r="AG36" s="129">
        <f>Saisie!W36</f>
        <v>0</v>
      </c>
      <c r="AH36" s="20">
        <f>Saisie!X36</f>
        <v>0</v>
      </c>
      <c r="AI36" s="21">
        <f>Saisie!Y36</f>
        <v>0</v>
      </c>
      <c r="AJ36" s="59">
        <f>Saisie!Z36</f>
        <v>0</v>
      </c>
      <c r="AK36" s="20">
        <f>Saisie!AA36</f>
        <v>0</v>
      </c>
      <c r="AL36" s="21">
        <f>Saisie!AB36</f>
        <v>0</v>
      </c>
      <c r="AM36" s="59">
        <f>Saisie!AC36</f>
        <v>0</v>
      </c>
      <c r="AN36" s="20">
        <f>Saisie!AD36</f>
        <v>0</v>
      </c>
      <c r="AO36" s="21">
        <f>Saisie!AE36</f>
        <v>0</v>
      </c>
      <c r="AP36" s="59">
        <f>Saisie!AF36</f>
        <v>0</v>
      </c>
      <c r="AQ36" s="129" t="e">
        <f t="array" ref="AQ36">_xlfn.IFS(Saisie!AG36="OUI",1,Saisie!AG36="NON",0)</f>
        <v>#N/A</v>
      </c>
      <c r="AR36" s="129" t="e">
        <f t="array" ref="AR36">_xlfn.IFS(Saisie!AH36="OUI",1,Saisie!AH36="NON",0)</f>
        <v>#N/A</v>
      </c>
      <c r="AS36" s="171">
        <f>Saisie!AI36</f>
        <v>0</v>
      </c>
      <c r="AT36" s="263" t="e">
        <f t="array" ref="AT36">_xlfn.IFS(Saisie!AJ36="OUI",1,Saisie!AJ36="NON",0)</f>
        <v>#N/A</v>
      </c>
      <c r="AU36" s="173">
        <f>Saisie!AK36</f>
        <v>0</v>
      </c>
      <c r="AV36" s="263" t="e">
        <f t="array" ref="AV36">_xlfn.IFS(Saisie!AL36="OUI",1,Saisie!AL36="NON",0)</f>
        <v>#N/A</v>
      </c>
      <c r="AW36" s="171">
        <f>Saisie!AM36</f>
        <v>0</v>
      </c>
      <c r="AX36" s="68">
        <f>Saisie!AN36</f>
        <v>0</v>
      </c>
      <c r="AY36" s="20">
        <f>Saisie!AO36</f>
        <v>0</v>
      </c>
      <c r="AZ36" s="21">
        <f>Saisie!AP36</f>
        <v>0</v>
      </c>
      <c r="BA36" s="298">
        <f>Saisie!AQ36</f>
        <v>0</v>
      </c>
      <c r="BB36" s="170">
        <f>Saisie!AR36</f>
        <v>0</v>
      </c>
      <c r="BC36" s="174">
        <f>Saisie!AS36</f>
        <v>0</v>
      </c>
      <c r="BD36" s="61">
        <f>Saisie!AT36</f>
        <v>0</v>
      </c>
      <c r="BE36" s="175" t="e">
        <f t="array" ref="BE36">_xlfn.IFS(Saisie!AU36="OUI",1,Saisie!AU36="NON",0)</f>
        <v>#N/A</v>
      </c>
      <c r="BF36" s="267">
        <f>Saisie!AV36</f>
        <v>0</v>
      </c>
      <c r="BG36" s="55">
        <f>Saisie!AW36</f>
        <v>0</v>
      </c>
      <c r="BH36" s="55" t="e">
        <f t="array" ref="BH36">_xlfn.IFS(Saisie!AX36="OUI",1,Saisie!AX36="NON",0)</f>
        <v>#N/A</v>
      </c>
      <c r="BI36" s="62">
        <f>Saisie!AY36</f>
        <v>0</v>
      </c>
      <c r="BJ36" s="55" t="e">
        <f t="array" ref="BJ36">_xlfn.IFS(Saisie!AZ36="OUI",1,Saisie!AZ36="NON",0)</f>
        <v>#N/A</v>
      </c>
      <c r="BK36" s="55" t="e">
        <f t="array" ref="BK36">_xlfn.IFS(Saisie!BA36="OUI",1,Saisie!BA36="NON",0)</f>
        <v>#N/A</v>
      </c>
      <c r="BL36" s="55">
        <f>Saisie!BB36</f>
        <v>0</v>
      </c>
      <c r="BM36" s="49" t="e">
        <f>Saisie!BC36</f>
        <v>#REF!</v>
      </c>
      <c r="BN36" s="175"/>
    </row>
    <row r="37" spans="1:66" s="176" customFormat="1" x14ac:dyDescent="0.45">
      <c r="A37" s="12">
        <v>31</v>
      </c>
      <c r="B37" s="150">
        <f>Saisie!B37</f>
        <v>0</v>
      </c>
      <c r="C37" s="150">
        <f>Saisie!C37</f>
        <v>0</v>
      </c>
      <c r="D37" s="150">
        <f>Saisie!D37</f>
        <v>0</v>
      </c>
      <c r="E37" s="150">
        <f>Saisie!E37</f>
        <v>0</v>
      </c>
      <c r="F37" s="150">
        <f>Saisie!F37</f>
        <v>0</v>
      </c>
      <c r="G37" s="150">
        <f>Saisie!G37</f>
        <v>0</v>
      </c>
      <c r="H37" s="150">
        <f>Saisie!I37</f>
        <v>0</v>
      </c>
      <c r="I37" s="150">
        <f>Saisie!J37</f>
        <v>0</v>
      </c>
      <c r="J37" s="150">
        <f>Saisie!K37</f>
        <v>0</v>
      </c>
      <c r="K37" s="150">
        <f>Saisie!L37</f>
        <v>0</v>
      </c>
      <c r="L37" s="150" t="e">
        <f>Saisie!#REF!</f>
        <v>#REF!</v>
      </c>
      <c r="M37" s="55" t="e">
        <f t="array" ref="M37">_xlfn.IFS(Saisie!M37="OUI",1,Saisie!M37="NON",0)</f>
        <v>#N/A</v>
      </c>
      <c r="N37" s="64" t="e">
        <f>Saisie!#REF!</f>
        <v>#REF!</v>
      </c>
      <c r="O37" s="63" t="e">
        <f>Saisie!#REF!</f>
        <v>#REF!</v>
      </c>
      <c r="P37" s="63">
        <f>Saisie!N37</f>
        <v>0</v>
      </c>
      <c r="Q37" s="63" t="e">
        <f t="array" ref="Q37">_xlfn.IFS(Saisie!#REF!="OUI",1,Saisie!#REF!="NON",0)</f>
        <v>#REF!</v>
      </c>
      <c r="R37" s="63" t="e">
        <f>Saisie!#REF!</f>
        <v>#REF!</v>
      </c>
      <c r="S37" s="65" t="e">
        <f>Saisie!#REF!</f>
        <v>#REF!</v>
      </c>
      <c r="T37" s="63" t="e">
        <f>Saisie!#REF!</f>
        <v>#REF!</v>
      </c>
      <c r="U37" s="63" t="e">
        <f>Saisie!#REF!</f>
        <v>#REF!</v>
      </c>
      <c r="V37" s="63" t="e">
        <f t="array" ref="V37">_xlfn.IFS(Saisie!#REF!="OUI",1,Saisie!#REF!="NON",0)</f>
        <v>#REF!</v>
      </c>
      <c r="W37" s="63" t="e">
        <f t="array" ref="W37">_xlfn.IFS(Saisie!O37="OUI",1,Saisie!O37="NON",0)</f>
        <v>#N/A</v>
      </c>
      <c r="X37" s="63">
        <f>Saisie!P37</f>
        <v>0</v>
      </c>
      <c r="Y37" s="299">
        <f>Saisie!H37</f>
        <v>0</v>
      </c>
      <c r="Z37" s="58" t="e">
        <f>Saisie!#REF!</f>
        <v>#REF!</v>
      </c>
      <c r="AA37" s="299">
        <f>Saisie!Q37</f>
        <v>0</v>
      </c>
      <c r="AB37" s="63" t="e">
        <f t="array" ref="AB37">_xlfn.IFS(Saisie!R37="OUI",1,Saisie!R37="NON",0)</f>
        <v>#N/A</v>
      </c>
      <c r="AC37" s="63">
        <f>Saisie!S37</f>
        <v>0</v>
      </c>
      <c r="AD37" s="63" t="e">
        <f t="array" ref="AD37">_xlfn.IFS(Saisie!T37="OUI",1,Saisie!T37="NON",0)</f>
        <v>#N/A</v>
      </c>
      <c r="AE37" s="171">
        <f>Saisie!U37</f>
        <v>0</v>
      </c>
      <c r="AF37" s="263">
        <v>3</v>
      </c>
      <c r="AG37" s="129">
        <f>Saisie!W37</f>
        <v>0</v>
      </c>
      <c r="AH37" s="20">
        <f>Saisie!X37</f>
        <v>0</v>
      </c>
      <c r="AI37" s="21">
        <f>Saisie!Y37</f>
        <v>0</v>
      </c>
      <c r="AJ37" s="59">
        <f>Saisie!Z37</f>
        <v>0</v>
      </c>
      <c r="AK37" s="20">
        <f>Saisie!AA37</f>
        <v>0</v>
      </c>
      <c r="AL37" s="21">
        <f>Saisie!AB37</f>
        <v>0</v>
      </c>
      <c r="AM37" s="59">
        <f>Saisie!AC37</f>
        <v>0</v>
      </c>
      <c r="AN37" s="20">
        <f>Saisie!AD37</f>
        <v>0</v>
      </c>
      <c r="AO37" s="21">
        <f>Saisie!AE37</f>
        <v>0</v>
      </c>
      <c r="AP37" s="59">
        <f>Saisie!AF37</f>
        <v>0</v>
      </c>
      <c r="AQ37" s="129" t="e">
        <f t="array" ref="AQ37">_xlfn.IFS(Saisie!AG37="OUI",1,Saisie!AG37="NON",0)</f>
        <v>#N/A</v>
      </c>
      <c r="AR37" s="129" t="e">
        <f t="array" ref="AR37">_xlfn.IFS(Saisie!AH37="OUI",1,Saisie!AH37="NON",0)</f>
        <v>#N/A</v>
      </c>
      <c r="AS37" s="171">
        <f>Saisie!AI37</f>
        <v>0</v>
      </c>
      <c r="AT37" s="263" t="e">
        <f t="array" ref="AT37">_xlfn.IFS(Saisie!AJ37="OUI",1,Saisie!AJ37="NON",0)</f>
        <v>#N/A</v>
      </c>
      <c r="AU37" s="173">
        <f>Saisie!AK37</f>
        <v>0</v>
      </c>
      <c r="AV37" s="263" t="e">
        <f t="array" ref="AV37">_xlfn.IFS(Saisie!AL37="OUI",1,Saisie!AL37="NON",0)</f>
        <v>#N/A</v>
      </c>
      <c r="AW37" s="171">
        <f>Saisie!AM37</f>
        <v>0</v>
      </c>
      <c r="AX37" s="68">
        <f>Saisie!AN37</f>
        <v>0</v>
      </c>
      <c r="AY37" s="20">
        <f>Saisie!AO37</f>
        <v>0</v>
      </c>
      <c r="AZ37" s="21">
        <f>Saisie!AP37</f>
        <v>0</v>
      </c>
      <c r="BA37" s="298">
        <f>Saisie!AQ37</f>
        <v>0</v>
      </c>
      <c r="BB37" s="170">
        <f>Saisie!AR37</f>
        <v>0</v>
      </c>
      <c r="BC37" s="174">
        <f>Saisie!AS37</f>
        <v>0</v>
      </c>
      <c r="BD37" s="61">
        <f>Saisie!AT37</f>
        <v>0</v>
      </c>
      <c r="BE37" s="175" t="e">
        <f t="array" ref="BE37">_xlfn.IFS(Saisie!AU37="OUI",1,Saisie!AU37="NON",0)</f>
        <v>#N/A</v>
      </c>
      <c r="BF37" s="267">
        <f>Saisie!AV37</f>
        <v>0</v>
      </c>
      <c r="BG37" s="55">
        <f>Saisie!AW37</f>
        <v>0</v>
      </c>
      <c r="BH37" s="55" t="e">
        <f t="array" ref="BH37">_xlfn.IFS(Saisie!AX37="OUI",1,Saisie!AX37="NON",0)</f>
        <v>#N/A</v>
      </c>
      <c r="BI37" s="62">
        <f>Saisie!AY37</f>
        <v>0</v>
      </c>
      <c r="BJ37" s="55" t="e">
        <f t="array" ref="BJ37">_xlfn.IFS(Saisie!AZ37="OUI",1,Saisie!AZ37="NON",0)</f>
        <v>#N/A</v>
      </c>
      <c r="BK37" s="55" t="e">
        <f t="array" ref="BK37">_xlfn.IFS(Saisie!BA37="OUI",1,Saisie!BA37="NON",0)</f>
        <v>#N/A</v>
      </c>
      <c r="BL37" s="55">
        <f>Saisie!BB37</f>
        <v>0</v>
      </c>
      <c r="BM37" s="49" t="e">
        <f>Saisie!BC37</f>
        <v>#REF!</v>
      </c>
      <c r="BN37" s="175"/>
    </row>
    <row r="38" spans="1:66" s="176" customFormat="1" x14ac:dyDescent="0.45">
      <c r="A38" s="13">
        <v>32</v>
      </c>
      <c r="B38" s="150">
        <f>Saisie!B38</f>
        <v>0</v>
      </c>
      <c r="C38" s="150">
        <f>Saisie!C38</f>
        <v>0</v>
      </c>
      <c r="D38" s="150">
        <f>Saisie!D38</f>
        <v>0</v>
      </c>
      <c r="E38" s="150">
        <f>Saisie!E38</f>
        <v>0</v>
      </c>
      <c r="F38" s="150">
        <f>Saisie!F38</f>
        <v>0</v>
      </c>
      <c r="G38" s="150">
        <f>Saisie!G38</f>
        <v>0</v>
      </c>
      <c r="H38" s="150">
        <f>Saisie!I38</f>
        <v>0</v>
      </c>
      <c r="I38" s="150">
        <f>Saisie!J38</f>
        <v>0</v>
      </c>
      <c r="J38" s="150">
        <f>Saisie!K38</f>
        <v>0</v>
      </c>
      <c r="K38" s="150">
        <f>Saisie!L38</f>
        <v>0</v>
      </c>
      <c r="L38" s="150" t="e">
        <f>Saisie!#REF!</f>
        <v>#REF!</v>
      </c>
      <c r="M38" s="55" t="e">
        <f t="array" ref="M38">_xlfn.IFS(Saisie!M38="OUI",1,Saisie!M38="NON",0)</f>
        <v>#N/A</v>
      </c>
      <c r="N38" s="64" t="e">
        <f>Saisie!#REF!</f>
        <v>#REF!</v>
      </c>
      <c r="O38" s="63" t="e">
        <f>Saisie!#REF!</f>
        <v>#REF!</v>
      </c>
      <c r="P38" s="63">
        <f>Saisie!N38</f>
        <v>0</v>
      </c>
      <c r="Q38" s="63" t="e">
        <f t="array" ref="Q38">_xlfn.IFS(Saisie!#REF!="OUI",1,Saisie!#REF!="NON",0)</f>
        <v>#REF!</v>
      </c>
      <c r="R38" s="63" t="e">
        <f>Saisie!#REF!</f>
        <v>#REF!</v>
      </c>
      <c r="S38" s="65" t="e">
        <f>Saisie!#REF!</f>
        <v>#REF!</v>
      </c>
      <c r="T38" s="63" t="e">
        <f>Saisie!#REF!</f>
        <v>#REF!</v>
      </c>
      <c r="U38" s="63" t="e">
        <f>Saisie!#REF!</f>
        <v>#REF!</v>
      </c>
      <c r="V38" s="63" t="e">
        <f t="array" ref="V38">_xlfn.IFS(Saisie!#REF!="OUI",1,Saisie!#REF!="NON",0)</f>
        <v>#REF!</v>
      </c>
      <c r="W38" s="63" t="e">
        <f t="array" ref="W38">_xlfn.IFS(Saisie!O38="OUI",1,Saisie!O38="NON",0)</f>
        <v>#N/A</v>
      </c>
      <c r="X38" s="63">
        <f>Saisie!P38</f>
        <v>0</v>
      </c>
      <c r="Y38" s="299">
        <f>Saisie!H38</f>
        <v>0</v>
      </c>
      <c r="Z38" s="58" t="e">
        <f>Saisie!#REF!</f>
        <v>#REF!</v>
      </c>
      <c r="AA38" s="299">
        <f>Saisie!Q38</f>
        <v>0</v>
      </c>
      <c r="AB38" s="63" t="e">
        <f t="array" ref="AB38">_xlfn.IFS(Saisie!R38="OUI",1,Saisie!R38="NON",0)</f>
        <v>#N/A</v>
      </c>
      <c r="AC38" s="63">
        <f>Saisie!S38</f>
        <v>0</v>
      </c>
      <c r="AD38" s="63" t="e">
        <f t="array" ref="AD38">_xlfn.IFS(Saisie!T38="OUI",1,Saisie!T38="NON",0)</f>
        <v>#N/A</v>
      </c>
      <c r="AE38" s="171">
        <f>Saisie!U38</f>
        <v>0</v>
      </c>
      <c r="AF38" s="263">
        <v>3</v>
      </c>
      <c r="AG38" s="129">
        <f>Saisie!W38</f>
        <v>0</v>
      </c>
      <c r="AH38" s="20">
        <f>Saisie!X38</f>
        <v>0</v>
      </c>
      <c r="AI38" s="21">
        <f>Saisie!Y38</f>
        <v>0</v>
      </c>
      <c r="AJ38" s="59">
        <f>Saisie!Z38</f>
        <v>0</v>
      </c>
      <c r="AK38" s="20">
        <f>Saisie!AA38</f>
        <v>0</v>
      </c>
      <c r="AL38" s="21">
        <f>Saisie!AB38</f>
        <v>0</v>
      </c>
      <c r="AM38" s="59">
        <f>Saisie!AC38</f>
        <v>0</v>
      </c>
      <c r="AN38" s="20">
        <f>Saisie!AD38</f>
        <v>0</v>
      </c>
      <c r="AO38" s="21">
        <f>Saisie!AE38</f>
        <v>0</v>
      </c>
      <c r="AP38" s="59">
        <f>Saisie!AF38</f>
        <v>0</v>
      </c>
      <c r="AQ38" s="129" t="e">
        <f t="array" ref="AQ38">_xlfn.IFS(Saisie!AG38="OUI",1,Saisie!AG38="NON",0)</f>
        <v>#N/A</v>
      </c>
      <c r="AR38" s="129" t="e">
        <f t="array" ref="AR38">_xlfn.IFS(Saisie!AH38="OUI",1,Saisie!AH38="NON",0)</f>
        <v>#N/A</v>
      </c>
      <c r="AS38" s="171">
        <f>Saisie!AI38</f>
        <v>0</v>
      </c>
      <c r="AT38" s="263" t="e">
        <f t="array" ref="AT38">_xlfn.IFS(Saisie!AJ38="OUI",1,Saisie!AJ38="NON",0)</f>
        <v>#N/A</v>
      </c>
      <c r="AU38" s="173">
        <f>Saisie!AK38</f>
        <v>0</v>
      </c>
      <c r="AV38" s="263" t="e">
        <f t="array" ref="AV38">_xlfn.IFS(Saisie!AL38="OUI",1,Saisie!AL38="NON",0)</f>
        <v>#N/A</v>
      </c>
      <c r="AW38" s="171">
        <f>Saisie!AM38</f>
        <v>0</v>
      </c>
      <c r="AX38" s="68">
        <f>Saisie!AN38</f>
        <v>0</v>
      </c>
      <c r="AY38" s="20">
        <f>Saisie!AO38</f>
        <v>0</v>
      </c>
      <c r="AZ38" s="21">
        <f>Saisie!AP38</f>
        <v>0</v>
      </c>
      <c r="BA38" s="298">
        <f>Saisie!AQ38</f>
        <v>0</v>
      </c>
      <c r="BB38" s="170">
        <f>Saisie!AR38</f>
        <v>0</v>
      </c>
      <c r="BC38" s="174">
        <f>Saisie!AS38</f>
        <v>0</v>
      </c>
      <c r="BD38" s="61">
        <f>Saisie!AT38</f>
        <v>0</v>
      </c>
      <c r="BE38" s="175" t="e">
        <f t="array" ref="BE38">_xlfn.IFS(Saisie!AU38="OUI",1,Saisie!AU38="NON",0)</f>
        <v>#N/A</v>
      </c>
      <c r="BF38" s="267">
        <f>Saisie!AV38</f>
        <v>0</v>
      </c>
      <c r="BG38" s="55">
        <f>Saisie!AW38</f>
        <v>0</v>
      </c>
      <c r="BH38" s="55" t="e">
        <f t="array" ref="BH38">_xlfn.IFS(Saisie!AX38="OUI",1,Saisie!AX38="NON",0)</f>
        <v>#N/A</v>
      </c>
      <c r="BI38" s="62">
        <f>Saisie!AY38</f>
        <v>0</v>
      </c>
      <c r="BJ38" s="55" t="e">
        <f t="array" ref="BJ38">_xlfn.IFS(Saisie!AZ38="OUI",1,Saisie!AZ38="NON",0)</f>
        <v>#N/A</v>
      </c>
      <c r="BK38" s="55" t="e">
        <f t="array" ref="BK38">_xlfn.IFS(Saisie!BA38="OUI",1,Saisie!BA38="NON",0)</f>
        <v>#N/A</v>
      </c>
      <c r="BL38" s="55">
        <f>Saisie!BB38</f>
        <v>0</v>
      </c>
      <c r="BM38" s="49" t="e">
        <f>Saisie!BC38</f>
        <v>#REF!</v>
      </c>
      <c r="BN38" s="175"/>
    </row>
    <row r="39" spans="1:66" s="176" customFormat="1" x14ac:dyDescent="0.45">
      <c r="A39" s="13">
        <v>33</v>
      </c>
      <c r="B39" s="150">
        <f>Saisie!B39</f>
        <v>0</v>
      </c>
      <c r="C39" s="150">
        <f>Saisie!C39</f>
        <v>0</v>
      </c>
      <c r="D39" s="150">
        <f>Saisie!D39</f>
        <v>0</v>
      </c>
      <c r="E39" s="150">
        <f>Saisie!E39</f>
        <v>0</v>
      </c>
      <c r="F39" s="150">
        <f>Saisie!F39</f>
        <v>0</v>
      </c>
      <c r="G39" s="150">
        <f>Saisie!G39</f>
        <v>0</v>
      </c>
      <c r="H39" s="150">
        <f>Saisie!I39</f>
        <v>0</v>
      </c>
      <c r="I39" s="150">
        <f>Saisie!J39</f>
        <v>0</v>
      </c>
      <c r="J39" s="150">
        <f>Saisie!K39</f>
        <v>0</v>
      </c>
      <c r="K39" s="150">
        <f>Saisie!L39</f>
        <v>0</v>
      </c>
      <c r="L39" s="150" t="e">
        <f>Saisie!#REF!</f>
        <v>#REF!</v>
      </c>
      <c r="M39" s="55" t="e">
        <f t="array" ref="M39">_xlfn.IFS(Saisie!M39="OUI",1,Saisie!M39="NON",0)</f>
        <v>#N/A</v>
      </c>
      <c r="N39" s="64" t="e">
        <f>Saisie!#REF!</f>
        <v>#REF!</v>
      </c>
      <c r="O39" s="63" t="e">
        <f>Saisie!#REF!</f>
        <v>#REF!</v>
      </c>
      <c r="P39" s="63">
        <f>Saisie!N39</f>
        <v>0</v>
      </c>
      <c r="Q39" s="63" t="e">
        <f t="array" ref="Q39">_xlfn.IFS(Saisie!#REF!="OUI",1,Saisie!#REF!="NON",0)</f>
        <v>#REF!</v>
      </c>
      <c r="R39" s="63" t="e">
        <f>Saisie!#REF!</f>
        <v>#REF!</v>
      </c>
      <c r="S39" s="65" t="e">
        <f>Saisie!#REF!</f>
        <v>#REF!</v>
      </c>
      <c r="T39" s="63" t="e">
        <f>Saisie!#REF!</f>
        <v>#REF!</v>
      </c>
      <c r="U39" s="63" t="e">
        <f>Saisie!#REF!</f>
        <v>#REF!</v>
      </c>
      <c r="V39" s="63" t="e">
        <f t="array" ref="V39">_xlfn.IFS(Saisie!#REF!="OUI",1,Saisie!#REF!="NON",0)</f>
        <v>#REF!</v>
      </c>
      <c r="W39" s="63" t="e">
        <f t="array" ref="W39">_xlfn.IFS(Saisie!O39="OUI",1,Saisie!O39="NON",0)</f>
        <v>#N/A</v>
      </c>
      <c r="X39" s="63">
        <f>Saisie!P39</f>
        <v>0</v>
      </c>
      <c r="Y39" s="299">
        <f>Saisie!H39</f>
        <v>0</v>
      </c>
      <c r="Z39" s="58" t="e">
        <f>Saisie!#REF!</f>
        <v>#REF!</v>
      </c>
      <c r="AA39" s="299">
        <f>Saisie!Q39</f>
        <v>0</v>
      </c>
      <c r="AB39" s="63" t="e">
        <f t="array" ref="AB39">_xlfn.IFS(Saisie!R39="OUI",1,Saisie!R39="NON",0)</f>
        <v>#N/A</v>
      </c>
      <c r="AC39" s="63">
        <f>Saisie!S39</f>
        <v>0</v>
      </c>
      <c r="AD39" s="63" t="e">
        <f t="array" ref="AD39">_xlfn.IFS(Saisie!T39="OUI",1,Saisie!T39="NON",0)</f>
        <v>#N/A</v>
      </c>
      <c r="AE39" s="171">
        <f>Saisie!U39</f>
        <v>0</v>
      </c>
      <c r="AF39" s="263">
        <v>3</v>
      </c>
      <c r="AG39" s="129">
        <f>Saisie!W39</f>
        <v>0</v>
      </c>
      <c r="AH39" s="20">
        <f>Saisie!X39</f>
        <v>0</v>
      </c>
      <c r="AI39" s="21">
        <f>Saisie!Y39</f>
        <v>0</v>
      </c>
      <c r="AJ39" s="59">
        <f>Saisie!Z39</f>
        <v>0</v>
      </c>
      <c r="AK39" s="20">
        <f>Saisie!AA39</f>
        <v>0</v>
      </c>
      <c r="AL39" s="21">
        <f>Saisie!AB39</f>
        <v>0</v>
      </c>
      <c r="AM39" s="59">
        <f>Saisie!AC39</f>
        <v>0</v>
      </c>
      <c r="AN39" s="20">
        <f>Saisie!AD39</f>
        <v>0</v>
      </c>
      <c r="AO39" s="21">
        <f>Saisie!AE39</f>
        <v>0</v>
      </c>
      <c r="AP39" s="59">
        <f>Saisie!AF39</f>
        <v>0</v>
      </c>
      <c r="AQ39" s="129" t="e">
        <f t="array" ref="AQ39">_xlfn.IFS(Saisie!AG39="OUI",1,Saisie!AG39="NON",0)</f>
        <v>#N/A</v>
      </c>
      <c r="AR39" s="129" t="e">
        <f t="array" ref="AR39">_xlfn.IFS(Saisie!AH39="OUI",1,Saisie!AH39="NON",0)</f>
        <v>#N/A</v>
      </c>
      <c r="AS39" s="171">
        <f>Saisie!AI39</f>
        <v>0</v>
      </c>
      <c r="AT39" s="263" t="e">
        <f t="array" ref="AT39">_xlfn.IFS(Saisie!AJ39="OUI",1,Saisie!AJ39="NON",0)</f>
        <v>#N/A</v>
      </c>
      <c r="AU39" s="173">
        <f>Saisie!AK39</f>
        <v>0</v>
      </c>
      <c r="AV39" s="263" t="e">
        <f t="array" ref="AV39">_xlfn.IFS(Saisie!AL39="OUI",1,Saisie!AL39="NON",0)</f>
        <v>#N/A</v>
      </c>
      <c r="AW39" s="171">
        <f>Saisie!AM39</f>
        <v>0</v>
      </c>
      <c r="AX39" s="68">
        <f>Saisie!AN39</f>
        <v>0</v>
      </c>
      <c r="AY39" s="20">
        <f>Saisie!AO39</f>
        <v>0</v>
      </c>
      <c r="AZ39" s="21">
        <f>Saisie!AP39</f>
        <v>0</v>
      </c>
      <c r="BA39" s="298">
        <f>Saisie!AQ39</f>
        <v>0</v>
      </c>
      <c r="BB39" s="170">
        <f>Saisie!AR39</f>
        <v>0</v>
      </c>
      <c r="BC39" s="174">
        <f>Saisie!AS39</f>
        <v>0</v>
      </c>
      <c r="BD39" s="61">
        <f>Saisie!AT39</f>
        <v>0</v>
      </c>
      <c r="BE39" s="175" t="e">
        <f t="array" ref="BE39">_xlfn.IFS(Saisie!AU39="OUI",1,Saisie!AU39="NON",0)</f>
        <v>#N/A</v>
      </c>
      <c r="BF39" s="267">
        <f>Saisie!AV39</f>
        <v>0</v>
      </c>
      <c r="BG39" s="55">
        <f>Saisie!AW39</f>
        <v>0</v>
      </c>
      <c r="BH39" s="55" t="e">
        <f t="array" ref="BH39">_xlfn.IFS(Saisie!AX39="OUI",1,Saisie!AX39="NON",0)</f>
        <v>#N/A</v>
      </c>
      <c r="BI39" s="62">
        <f>Saisie!AY39</f>
        <v>0</v>
      </c>
      <c r="BJ39" s="55" t="e">
        <f t="array" ref="BJ39">_xlfn.IFS(Saisie!AZ39="OUI",1,Saisie!AZ39="NON",0)</f>
        <v>#N/A</v>
      </c>
      <c r="BK39" s="55" t="e">
        <f t="array" ref="BK39">_xlfn.IFS(Saisie!BA39="OUI",1,Saisie!BA39="NON",0)</f>
        <v>#N/A</v>
      </c>
      <c r="BL39" s="55">
        <f>Saisie!BB39</f>
        <v>0</v>
      </c>
      <c r="BM39" s="49" t="e">
        <f>Saisie!BC39</f>
        <v>#REF!</v>
      </c>
      <c r="BN39" s="175"/>
    </row>
    <row r="40" spans="1:66" s="176" customFormat="1" x14ac:dyDescent="0.45">
      <c r="A40" s="12">
        <v>34</v>
      </c>
      <c r="B40" s="150">
        <f>Saisie!B40</f>
        <v>0</v>
      </c>
      <c r="C40" s="150">
        <f>Saisie!C40</f>
        <v>0</v>
      </c>
      <c r="D40" s="150">
        <f>Saisie!D40</f>
        <v>0</v>
      </c>
      <c r="E40" s="150">
        <f>Saisie!E40</f>
        <v>0</v>
      </c>
      <c r="F40" s="150">
        <f>Saisie!F40</f>
        <v>0</v>
      </c>
      <c r="G40" s="150">
        <f>Saisie!G40</f>
        <v>0</v>
      </c>
      <c r="H40" s="150">
        <f>Saisie!I40</f>
        <v>0</v>
      </c>
      <c r="I40" s="150">
        <f>Saisie!J40</f>
        <v>0</v>
      </c>
      <c r="J40" s="150">
        <f>Saisie!K40</f>
        <v>0</v>
      </c>
      <c r="K40" s="150">
        <f>Saisie!L40</f>
        <v>0</v>
      </c>
      <c r="L40" s="150" t="e">
        <f>Saisie!#REF!</f>
        <v>#REF!</v>
      </c>
      <c r="M40" s="55" t="e">
        <f t="array" ref="M40">_xlfn.IFS(Saisie!M40="OUI",1,Saisie!M40="NON",0)</f>
        <v>#N/A</v>
      </c>
      <c r="N40" s="64" t="e">
        <f>Saisie!#REF!</f>
        <v>#REF!</v>
      </c>
      <c r="O40" s="63" t="e">
        <f>Saisie!#REF!</f>
        <v>#REF!</v>
      </c>
      <c r="P40" s="63">
        <f>Saisie!N40</f>
        <v>0</v>
      </c>
      <c r="Q40" s="63" t="e">
        <f t="array" ref="Q40">_xlfn.IFS(Saisie!#REF!="OUI",1,Saisie!#REF!="NON",0)</f>
        <v>#REF!</v>
      </c>
      <c r="R40" s="63" t="e">
        <f>Saisie!#REF!</f>
        <v>#REF!</v>
      </c>
      <c r="S40" s="65" t="e">
        <f>Saisie!#REF!</f>
        <v>#REF!</v>
      </c>
      <c r="T40" s="63" t="e">
        <f>Saisie!#REF!</f>
        <v>#REF!</v>
      </c>
      <c r="U40" s="63" t="e">
        <f>Saisie!#REF!</f>
        <v>#REF!</v>
      </c>
      <c r="V40" s="63" t="e">
        <f t="array" ref="V40">_xlfn.IFS(Saisie!#REF!="OUI",1,Saisie!#REF!="NON",0)</f>
        <v>#REF!</v>
      </c>
      <c r="W40" s="63" t="e">
        <f t="array" ref="W40">_xlfn.IFS(Saisie!O40="OUI",1,Saisie!O40="NON",0)</f>
        <v>#N/A</v>
      </c>
      <c r="X40" s="63">
        <f>Saisie!P40</f>
        <v>0</v>
      </c>
      <c r="Y40" s="299">
        <f>Saisie!H40</f>
        <v>0</v>
      </c>
      <c r="Z40" s="58" t="e">
        <f>Saisie!#REF!</f>
        <v>#REF!</v>
      </c>
      <c r="AA40" s="299">
        <f>Saisie!Q40</f>
        <v>0</v>
      </c>
      <c r="AB40" s="63" t="e">
        <f t="array" ref="AB40">_xlfn.IFS(Saisie!R40="OUI",1,Saisie!R40="NON",0)</f>
        <v>#N/A</v>
      </c>
      <c r="AC40" s="63">
        <f>Saisie!S40</f>
        <v>0</v>
      </c>
      <c r="AD40" s="63" t="e">
        <f t="array" ref="AD40">_xlfn.IFS(Saisie!T40="OUI",1,Saisie!T40="NON",0)</f>
        <v>#N/A</v>
      </c>
      <c r="AE40" s="171">
        <f>Saisie!U40</f>
        <v>0</v>
      </c>
      <c r="AF40" s="263">
        <v>3</v>
      </c>
      <c r="AG40" s="129">
        <f>Saisie!W40</f>
        <v>0</v>
      </c>
      <c r="AH40" s="20">
        <f>Saisie!X40</f>
        <v>0</v>
      </c>
      <c r="AI40" s="21">
        <f>Saisie!Y40</f>
        <v>0</v>
      </c>
      <c r="AJ40" s="59">
        <f>Saisie!Z40</f>
        <v>0</v>
      </c>
      <c r="AK40" s="20">
        <f>Saisie!AA40</f>
        <v>0</v>
      </c>
      <c r="AL40" s="21">
        <f>Saisie!AB40</f>
        <v>0</v>
      </c>
      <c r="AM40" s="59">
        <f>Saisie!AC40</f>
        <v>0</v>
      </c>
      <c r="AN40" s="20">
        <f>Saisie!AD40</f>
        <v>0</v>
      </c>
      <c r="AO40" s="21">
        <f>Saisie!AE40</f>
        <v>0</v>
      </c>
      <c r="AP40" s="59">
        <f>Saisie!AF40</f>
        <v>0</v>
      </c>
      <c r="AQ40" s="129" t="e">
        <f t="array" ref="AQ40">_xlfn.IFS(Saisie!AG40="OUI",1,Saisie!AG40="NON",0)</f>
        <v>#N/A</v>
      </c>
      <c r="AR40" s="129" t="e">
        <f t="array" ref="AR40">_xlfn.IFS(Saisie!AH40="OUI",1,Saisie!AH40="NON",0)</f>
        <v>#N/A</v>
      </c>
      <c r="AS40" s="171">
        <f>Saisie!AI40</f>
        <v>0</v>
      </c>
      <c r="AT40" s="263" t="e">
        <f t="array" ref="AT40">_xlfn.IFS(Saisie!AJ40="OUI",1,Saisie!AJ40="NON",0)</f>
        <v>#N/A</v>
      </c>
      <c r="AU40" s="173">
        <f>Saisie!AK40</f>
        <v>0</v>
      </c>
      <c r="AV40" s="263" t="e">
        <f t="array" ref="AV40">_xlfn.IFS(Saisie!AL40="OUI",1,Saisie!AL40="NON",0)</f>
        <v>#N/A</v>
      </c>
      <c r="AW40" s="171">
        <f>Saisie!AM40</f>
        <v>0</v>
      </c>
      <c r="AX40" s="68">
        <f>Saisie!AN40</f>
        <v>0</v>
      </c>
      <c r="AY40" s="20">
        <f>Saisie!AO40</f>
        <v>0</v>
      </c>
      <c r="AZ40" s="21">
        <f>Saisie!AP40</f>
        <v>0</v>
      </c>
      <c r="BA40" s="298">
        <f>Saisie!AQ40</f>
        <v>0</v>
      </c>
      <c r="BB40" s="170">
        <f>Saisie!AR40</f>
        <v>0</v>
      </c>
      <c r="BC40" s="174">
        <f>Saisie!AS40</f>
        <v>0</v>
      </c>
      <c r="BD40" s="61">
        <f>Saisie!AT40</f>
        <v>0</v>
      </c>
      <c r="BE40" s="175" t="e">
        <f t="array" ref="BE40">_xlfn.IFS(Saisie!AU40="OUI",1,Saisie!AU40="NON",0)</f>
        <v>#N/A</v>
      </c>
      <c r="BF40" s="267">
        <f>Saisie!AV40</f>
        <v>0</v>
      </c>
      <c r="BG40" s="55">
        <f>Saisie!AW40</f>
        <v>0</v>
      </c>
      <c r="BH40" s="55" t="e">
        <f t="array" ref="BH40">_xlfn.IFS(Saisie!AX40="OUI",1,Saisie!AX40="NON",0)</f>
        <v>#N/A</v>
      </c>
      <c r="BI40" s="62">
        <f>Saisie!AY40</f>
        <v>0</v>
      </c>
      <c r="BJ40" s="55" t="e">
        <f t="array" ref="BJ40">_xlfn.IFS(Saisie!AZ40="OUI",1,Saisie!AZ40="NON",0)</f>
        <v>#N/A</v>
      </c>
      <c r="BK40" s="55" t="e">
        <f t="array" ref="BK40">_xlfn.IFS(Saisie!BA40="OUI",1,Saisie!BA40="NON",0)</f>
        <v>#N/A</v>
      </c>
      <c r="BL40" s="55">
        <f>Saisie!BB40</f>
        <v>0</v>
      </c>
      <c r="BM40" s="49" t="e">
        <f>Saisie!BC40</f>
        <v>#REF!</v>
      </c>
      <c r="BN40" s="175"/>
    </row>
    <row r="41" spans="1:66" s="176" customFormat="1" x14ac:dyDescent="0.45">
      <c r="A41" s="13">
        <v>35</v>
      </c>
      <c r="B41" s="150">
        <f>Saisie!B41</f>
        <v>0</v>
      </c>
      <c r="C41" s="150">
        <f>Saisie!C41</f>
        <v>0</v>
      </c>
      <c r="D41" s="150">
        <f>Saisie!D41</f>
        <v>0</v>
      </c>
      <c r="E41" s="150">
        <f>Saisie!E41</f>
        <v>0</v>
      </c>
      <c r="F41" s="150">
        <f>Saisie!F41</f>
        <v>0</v>
      </c>
      <c r="G41" s="150">
        <f>Saisie!G41</f>
        <v>0</v>
      </c>
      <c r="H41" s="150">
        <f>Saisie!I41</f>
        <v>0</v>
      </c>
      <c r="I41" s="150">
        <f>Saisie!J41</f>
        <v>0</v>
      </c>
      <c r="J41" s="150">
        <f>Saisie!K41</f>
        <v>0</v>
      </c>
      <c r="K41" s="150">
        <f>Saisie!L41</f>
        <v>0</v>
      </c>
      <c r="L41" s="150" t="e">
        <f>Saisie!#REF!</f>
        <v>#REF!</v>
      </c>
      <c r="M41" s="55" t="e">
        <f t="array" ref="M41">_xlfn.IFS(Saisie!M41="OUI",1,Saisie!M41="NON",0)</f>
        <v>#N/A</v>
      </c>
      <c r="N41" s="64" t="e">
        <f>Saisie!#REF!</f>
        <v>#REF!</v>
      </c>
      <c r="O41" s="63" t="e">
        <f>Saisie!#REF!</f>
        <v>#REF!</v>
      </c>
      <c r="P41" s="63">
        <f>Saisie!N41</f>
        <v>0</v>
      </c>
      <c r="Q41" s="63" t="e">
        <f t="array" ref="Q41">_xlfn.IFS(Saisie!#REF!="OUI",1,Saisie!#REF!="NON",0)</f>
        <v>#REF!</v>
      </c>
      <c r="R41" s="63" t="e">
        <f>Saisie!#REF!</f>
        <v>#REF!</v>
      </c>
      <c r="S41" s="65" t="e">
        <f>Saisie!#REF!</f>
        <v>#REF!</v>
      </c>
      <c r="T41" s="63" t="e">
        <f>Saisie!#REF!</f>
        <v>#REF!</v>
      </c>
      <c r="U41" s="63" t="e">
        <f>Saisie!#REF!</f>
        <v>#REF!</v>
      </c>
      <c r="V41" s="63" t="e">
        <f t="array" ref="V41">_xlfn.IFS(Saisie!#REF!="OUI",1,Saisie!#REF!="NON",0)</f>
        <v>#REF!</v>
      </c>
      <c r="W41" s="63" t="e">
        <f t="array" ref="W41">_xlfn.IFS(Saisie!O41="OUI",1,Saisie!O41="NON",0)</f>
        <v>#N/A</v>
      </c>
      <c r="X41" s="63">
        <f>Saisie!P41</f>
        <v>0</v>
      </c>
      <c r="Y41" s="299">
        <f>Saisie!H41</f>
        <v>0</v>
      </c>
      <c r="Z41" s="58" t="e">
        <f>Saisie!#REF!</f>
        <v>#REF!</v>
      </c>
      <c r="AA41" s="299">
        <f>Saisie!Q41</f>
        <v>0</v>
      </c>
      <c r="AB41" s="63" t="e">
        <f t="array" ref="AB41">_xlfn.IFS(Saisie!R41="OUI",1,Saisie!R41="NON",0)</f>
        <v>#N/A</v>
      </c>
      <c r="AC41" s="63">
        <f>Saisie!S41</f>
        <v>0</v>
      </c>
      <c r="AD41" s="63" t="e">
        <f t="array" ref="AD41">_xlfn.IFS(Saisie!T41="OUI",1,Saisie!T41="NON",0)</f>
        <v>#N/A</v>
      </c>
      <c r="AE41" s="171">
        <f>Saisie!U41</f>
        <v>0</v>
      </c>
      <c r="AF41" s="263">
        <v>3</v>
      </c>
      <c r="AG41" s="129">
        <f>Saisie!W41</f>
        <v>0</v>
      </c>
      <c r="AH41" s="20">
        <f>Saisie!X41</f>
        <v>0</v>
      </c>
      <c r="AI41" s="21">
        <f>Saisie!Y41</f>
        <v>0</v>
      </c>
      <c r="AJ41" s="59">
        <f>Saisie!Z41</f>
        <v>0</v>
      </c>
      <c r="AK41" s="20">
        <f>Saisie!AA41</f>
        <v>0</v>
      </c>
      <c r="AL41" s="21">
        <f>Saisie!AB41</f>
        <v>0</v>
      </c>
      <c r="AM41" s="59">
        <f>Saisie!AC41</f>
        <v>0</v>
      </c>
      <c r="AN41" s="20">
        <f>Saisie!AD41</f>
        <v>0</v>
      </c>
      <c r="AO41" s="21">
        <f>Saisie!AE41</f>
        <v>0</v>
      </c>
      <c r="AP41" s="59">
        <f>Saisie!AF41</f>
        <v>0</v>
      </c>
      <c r="AQ41" s="129" t="e">
        <f t="array" ref="AQ41">_xlfn.IFS(Saisie!AG41="OUI",1,Saisie!AG41="NON",0)</f>
        <v>#N/A</v>
      </c>
      <c r="AR41" s="129" t="e">
        <f t="array" ref="AR41">_xlfn.IFS(Saisie!AH41="OUI",1,Saisie!AH41="NON",0)</f>
        <v>#N/A</v>
      </c>
      <c r="AS41" s="171">
        <f>Saisie!AI41</f>
        <v>0</v>
      </c>
      <c r="AT41" s="263" t="e">
        <f t="array" ref="AT41">_xlfn.IFS(Saisie!AJ41="OUI",1,Saisie!AJ41="NON",0)</f>
        <v>#N/A</v>
      </c>
      <c r="AU41" s="173">
        <f>Saisie!AK41</f>
        <v>0</v>
      </c>
      <c r="AV41" s="263" t="e">
        <f t="array" ref="AV41">_xlfn.IFS(Saisie!AL41="OUI",1,Saisie!AL41="NON",0)</f>
        <v>#N/A</v>
      </c>
      <c r="AW41" s="171">
        <f>Saisie!AM41</f>
        <v>0</v>
      </c>
      <c r="AX41" s="68">
        <f>Saisie!AN41</f>
        <v>0</v>
      </c>
      <c r="AY41" s="20">
        <f>Saisie!AO41</f>
        <v>0</v>
      </c>
      <c r="AZ41" s="21">
        <f>Saisie!AP41</f>
        <v>0</v>
      </c>
      <c r="BA41" s="298">
        <f>Saisie!AQ41</f>
        <v>0</v>
      </c>
      <c r="BB41" s="170">
        <f>Saisie!AR41</f>
        <v>0</v>
      </c>
      <c r="BC41" s="174">
        <f>Saisie!AS41</f>
        <v>0</v>
      </c>
      <c r="BD41" s="61">
        <f>Saisie!AT41</f>
        <v>0</v>
      </c>
      <c r="BE41" s="175" t="e">
        <f t="array" ref="BE41">_xlfn.IFS(Saisie!AU41="OUI",1,Saisie!AU41="NON",0)</f>
        <v>#N/A</v>
      </c>
      <c r="BF41" s="267">
        <f>Saisie!AV41</f>
        <v>0</v>
      </c>
      <c r="BG41" s="55">
        <f>Saisie!AW41</f>
        <v>0</v>
      </c>
      <c r="BH41" s="55" t="e">
        <f t="array" ref="BH41">_xlfn.IFS(Saisie!AX41="OUI",1,Saisie!AX41="NON",0)</f>
        <v>#N/A</v>
      </c>
      <c r="BI41" s="62">
        <f>Saisie!AY41</f>
        <v>0</v>
      </c>
      <c r="BJ41" s="55" t="e">
        <f t="array" ref="BJ41">_xlfn.IFS(Saisie!AZ41="OUI",1,Saisie!AZ41="NON",0)</f>
        <v>#N/A</v>
      </c>
      <c r="BK41" s="55" t="e">
        <f t="array" ref="BK41">_xlfn.IFS(Saisie!BA41="OUI",1,Saisie!BA41="NON",0)</f>
        <v>#N/A</v>
      </c>
      <c r="BL41" s="55">
        <f>Saisie!BB41</f>
        <v>0</v>
      </c>
      <c r="BM41" s="49" t="e">
        <f>Saisie!BC41</f>
        <v>#REF!</v>
      </c>
      <c r="BN41" s="175"/>
    </row>
    <row r="42" spans="1:66" s="176" customFormat="1" x14ac:dyDescent="0.45">
      <c r="A42" s="13">
        <v>36</v>
      </c>
      <c r="B42" s="150">
        <f>Saisie!B42</f>
        <v>0</v>
      </c>
      <c r="C42" s="150">
        <f>Saisie!C42</f>
        <v>0</v>
      </c>
      <c r="D42" s="150">
        <f>Saisie!D42</f>
        <v>0</v>
      </c>
      <c r="E42" s="150">
        <f>Saisie!E42</f>
        <v>0</v>
      </c>
      <c r="F42" s="150">
        <f>Saisie!F42</f>
        <v>0</v>
      </c>
      <c r="G42" s="150">
        <f>Saisie!G42</f>
        <v>0</v>
      </c>
      <c r="H42" s="150">
        <f>Saisie!I42</f>
        <v>0</v>
      </c>
      <c r="I42" s="150">
        <f>Saisie!J42</f>
        <v>0</v>
      </c>
      <c r="J42" s="150">
        <f>Saisie!K42</f>
        <v>0</v>
      </c>
      <c r="K42" s="150">
        <f>Saisie!L42</f>
        <v>0</v>
      </c>
      <c r="L42" s="150" t="e">
        <f>Saisie!#REF!</f>
        <v>#REF!</v>
      </c>
      <c r="M42" s="55" t="e">
        <f t="array" ref="M42">_xlfn.IFS(Saisie!M42="OUI",1,Saisie!M42="NON",0)</f>
        <v>#N/A</v>
      </c>
      <c r="N42" s="64" t="e">
        <f>Saisie!#REF!</f>
        <v>#REF!</v>
      </c>
      <c r="O42" s="63" t="e">
        <f>Saisie!#REF!</f>
        <v>#REF!</v>
      </c>
      <c r="P42" s="63">
        <f>Saisie!N42</f>
        <v>0</v>
      </c>
      <c r="Q42" s="63" t="e">
        <f t="array" ref="Q42">_xlfn.IFS(Saisie!#REF!="OUI",1,Saisie!#REF!="NON",0)</f>
        <v>#REF!</v>
      </c>
      <c r="R42" s="63" t="e">
        <f>Saisie!#REF!</f>
        <v>#REF!</v>
      </c>
      <c r="S42" s="65" t="e">
        <f>Saisie!#REF!</f>
        <v>#REF!</v>
      </c>
      <c r="T42" s="63" t="e">
        <f>Saisie!#REF!</f>
        <v>#REF!</v>
      </c>
      <c r="U42" s="63" t="e">
        <f>Saisie!#REF!</f>
        <v>#REF!</v>
      </c>
      <c r="V42" s="63" t="e">
        <f t="array" ref="V42">_xlfn.IFS(Saisie!#REF!="OUI",1,Saisie!#REF!="NON",0)</f>
        <v>#REF!</v>
      </c>
      <c r="W42" s="63" t="e">
        <f t="array" ref="W42">_xlfn.IFS(Saisie!O42="OUI",1,Saisie!O42="NON",0)</f>
        <v>#N/A</v>
      </c>
      <c r="X42" s="63">
        <f>Saisie!P42</f>
        <v>0</v>
      </c>
      <c r="Y42" s="299">
        <f>Saisie!H42</f>
        <v>0</v>
      </c>
      <c r="Z42" s="58" t="e">
        <f>Saisie!#REF!</f>
        <v>#REF!</v>
      </c>
      <c r="AA42" s="299">
        <f>Saisie!Q42</f>
        <v>0</v>
      </c>
      <c r="AB42" s="63" t="e">
        <f t="array" ref="AB42">_xlfn.IFS(Saisie!R42="OUI",1,Saisie!R42="NON",0)</f>
        <v>#N/A</v>
      </c>
      <c r="AC42" s="63">
        <f>Saisie!S42</f>
        <v>0</v>
      </c>
      <c r="AD42" s="63" t="e">
        <f t="array" ref="AD42">_xlfn.IFS(Saisie!T42="OUI",1,Saisie!T42="NON",0)</f>
        <v>#N/A</v>
      </c>
      <c r="AE42" s="171">
        <f>Saisie!U42</f>
        <v>0</v>
      </c>
      <c r="AF42" s="263">
        <v>3</v>
      </c>
      <c r="AG42" s="129">
        <f>Saisie!W42</f>
        <v>0</v>
      </c>
      <c r="AH42" s="20">
        <f>Saisie!X42</f>
        <v>0</v>
      </c>
      <c r="AI42" s="21">
        <f>Saisie!Y42</f>
        <v>0</v>
      </c>
      <c r="AJ42" s="59">
        <f>Saisie!Z42</f>
        <v>0</v>
      </c>
      <c r="AK42" s="20">
        <f>Saisie!AA42</f>
        <v>0</v>
      </c>
      <c r="AL42" s="21">
        <f>Saisie!AB42</f>
        <v>0</v>
      </c>
      <c r="AM42" s="59">
        <f>Saisie!AC42</f>
        <v>0</v>
      </c>
      <c r="AN42" s="20">
        <f>Saisie!AD42</f>
        <v>0</v>
      </c>
      <c r="AO42" s="21">
        <f>Saisie!AE42</f>
        <v>0</v>
      </c>
      <c r="AP42" s="59">
        <f>Saisie!AF42</f>
        <v>0</v>
      </c>
      <c r="AQ42" s="129" t="e">
        <f t="array" ref="AQ42">_xlfn.IFS(Saisie!AG42="OUI",1,Saisie!AG42="NON",0)</f>
        <v>#N/A</v>
      </c>
      <c r="AR42" s="129" t="e">
        <f t="array" ref="AR42">_xlfn.IFS(Saisie!AH42="OUI",1,Saisie!AH42="NON",0)</f>
        <v>#N/A</v>
      </c>
      <c r="AS42" s="171">
        <f>Saisie!AI42</f>
        <v>0</v>
      </c>
      <c r="AT42" s="263" t="e">
        <f t="array" ref="AT42">_xlfn.IFS(Saisie!AJ42="OUI",1,Saisie!AJ42="NON",0)</f>
        <v>#N/A</v>
      </c>
      <c r="AU42" s="173">
        <f>Saisie!AK42</f>
        <v>0</v>
      </c>
      <c r="AV42" s="263" t="e">
        <f t="array" ref="AV42">_xlfn.IFS(Saisie!AL42="OUI",1,Saisie!AL42="NON",0)</f>
        <v>#N/A</v>
      </c>
      <c r="AW42" s="171">
        <f>Saisie!AM42</f>
        <v>0</v>
      </c>
      <c r="AX42" s="68">
        <f>Saisie!AN42</f>
        <v>0</v>
      </c>
      <c r="AY42" s="20">
        <f>Saisie!AO42</f>
        <v>0</v>
      </c>
      <c r="AZ42" s="21">
        <f>Saisie!AP42</f>
        <v>0</v>
      </c>
      <c r="BA42" s="298">
        <f>Saisie!AQ42</f>
        <v>0</v>
      </c>
      <c r="BB42" s="170">
        <f>Saisie!AR42</f>
        <v>0</v>
      </c>
      <c r="BC42" s="174">
        <f>Saisie!AS42</f>
        <v>0</v>
      </c>
      <c r="BD42" s="61">
        <f>Saisie!AT42</f>
        <v>0</v>
      </c>
      <c r="BE42" s="175" t="e">
        <f t="array" ref="BE42">_xlfn.IFS(Saisie!AU42="OUI",1,Saisie!AU42="NON",0)</f>
        <v>#N/A</v>
      </c>
      <c r="BF42" s="267">
        <f>Saisie!AV42</f>
        <v>0</v>
      </c>
      <c r="BG42" s="55">
        <f>Saisie!AW42</f>
        <v>0</v>
      </c>
      <c r="BH42" s="55" t="e">
        <f t="array" ref="BH42">_xlfn.IFS(Saisie!AX42="OUI",1,Saisie!AX42="NON",0)</f>
        <v>#N/A</v>
      </c>
      <c r="BI42" s="62">
        <f>Saisie!AY42</f>
        <v>0</v>
      </c>
      <c r="BJ42" s="55" t="e">
        <f t="array" ref="BJ42">_xlfn.IFS(Saisie!AZ42="OUI",1,Saisie!AZ42="NON",0)</f>
        <v>#N/A</v>
      </c>
      <c r="BK42" s="55" t="e">
        <f t="array" ref="BK42">_xlfn.IFS(Saisie!BA42="OUI",1,Saisie!BA42="NON",0)</f>
        <v>#N/A</v>
      </c>
      <c r="BL42" s="55">
        <f>Saisie!BB42</f>
        <v>0</v>
      </c>
      <c r="BM42" s="49" t="e">
        <f>Saisie!BC42</f>
        <v>#REF!</v>
      </c>
      <c r="BN42" s="175"/>
    </row>
    <row r="43" spans="1:66" s="176" customFormat="1" x14ac:dyDescent="0.45">
      <c r="A43" s="12">
        <v>37</v>
      </c>
      <c r="B43" s="150">
        <f>Saisie!B43</f>
        <v>0</v>
      </c>
      <c r="C43" s="150">
        <f>Saisie!C43</f>
        <v>0</v>
      </c>
      <c r="D43" s="150">
        <f>Saisie!D43</f>
        <v>0</v>
      </c>
      <c r="E43" s="150">
        <f>Saisie!E43</f>
        <v>0</v>
      </c>
      <c r="F43" s="150">
        <f>Saisie!F43</f>
        <v>0</v>
      </c>
      <c r="G43" s="150">
        <f>Saisie!G43</f>
        <v>0</v>
      </c>
      <c r="H43" s="150">
        <f>Saisie!I43</f>
        <v>0</v>
      </c>
      <c r="I43" s="150">
        <f>Saisie!J43</f>
        <v>0</v>
      </c>
      <c r="J43" s="150">
        <f>Saisie!K43</f>
        <v>0</v>
      </c>
      <c r="K43" s="150">
        <f>Saisie!L43</f>
        <v>0</v>
      </c>
      <c r="L43" s="150" t="e">
        <f>Saisie!#REF!</f>
        <v>#REF!</v>
      </c>
      <c r="M43" s="55" t="e">
        <f t="array" ref="M43">_xlfn.IFS(Saisie!M43="OUI",1,Saisie!M43="NON",0)</f>
        <v>#N/A</v>
      </c>
      <c r="N43" s="64" t="e">
        <f>Saisie!#REF!</f>
        <v>#REF!</v>
      </c>
      <c r="O43" s="63" t="e">
        <f>Saisie!#REF!</f>
        <v>#REF!</v>
      </c>
      <c r="P43" s="63">
        <f>Saisie!N43</f>
        <v>0</v>
      </c>
      <c r="Q43" s="63" t="e">
        <f t="array" ref="Q43">_xlfn.IFS(Saisie!#REF!="OUI",1,Saisie!#REF!="NON",0)</f>
        <v>#REF!</v>
      </c>
      <c r="R43" s="63" t="e">
        <f>Saisie!#REF!</f>
        <v>#REF!</v>
      </c>
      <c r="S43" s="65" t="e">
        <f>Saisie!#REF!</f>
        <v>#REF!</v>
      </c>
      <c r="T43" s="63" t="e">
        <f>Saisie!#REF!</f>
        <v>#REF!</v>
      </c>
      <c r="U43" s="63" t="e">
        <f>Saisie!#REF!</f>
        <v>#REF!</v>
      </c>
      <c r="V43" s="63" t="e">
        <f t="array" ref="V43">_xlfn.IFS(Saisie!#REF!="OUI",1,Saisie!#REF!="NON",0)</f>
        <v>#REF!</v>
      </c>
      <c r="W43" s="63" t="e">
        <f t="array" ref="W43">_xlfn.IFS(Saisie!O43="OUI",1,Saisie!O43="NON",0)</f>
        <v>#N/A</v>
      </c>
      <c r="X43" s="63">
        <f>Saisie!P43</f>
        <v>0</v>
      </c>
      <c r="Y43" s="299">
        <f>Saisie!H43</f>
        <v>0</v>
      </c>
      <c r="Z43" s="58" t="e">
        <f>Saisie!#REF!</f>
        <v>#REF!</v>
      </c>
      <c r="AA43" s="299">
        <f>Saisie!Q43</f>
        <v>0</v>
      </c>
      <c r="AB43" s="63" t="e">
        <f t="array" ref="AB43">_xlfn.IFS(Saisie!R43="OUI",1,Saisie!R43="NON",0)</f>
        <v>#N/A</v>
      </c>
      <c r="AC43" s="63">
        <f>Saisie!S43</f>
        <v>0</v>
      </c>
      <c r="AD43" s="63" t="e">
        <f t="array" ref="AD43">_xlfn.IFS(Saisie!T43="OUI",1,Saisie!T43="NON",0)</f>
        <v>#N/A</v>
      </c>
      <c r="AE43" s="171">
        <f>Saisie!U43</f>
        <v>0</v>
      </c>
      <c r="AF43" s="263">
        <v>3</v>
      </c>
      <c r="AG43" s="129">
        <f>Saisie!W43</f>
        <v>0</v>
      </c>
      <c r="AH43" s="20">
        <f>Saisie!X43</f>
        <v>0</v>
      </c>
      <c r="AI43" s="21">
        <f>Saisie!Y43</f>
        <v>0</v>
      </c>
      <c r="AJ43" s="59">
        <f>Saisie!Z43</f>
        <v>0</v>
      </c>
      <c r="AK43" s="20">
        <f>Saisie!AA43</f>
        <v>0</v>
      </c>
      <c r="AL43" s="21">
        <f>Saisie!AB43</f>
        <v>0</v>
      </c>
      <c r="AM43" s="59">
        <f>Saisie!AC43</f>
        <v>0</v>
      </c>
      <c r="AN43" s="20">
        <f>Saisie!AD43</f>
        <v>0</v>
      </c>
      <c r="AO43" s="21">
        <f>Saisie!AE43</f>
        <v>0</v>
      </c>
      <c r="AP43" s="59">
        <f>Saisie!AF43</f>
        <v>0</v>
      </c>
      <c r="AQ43" s="129" t="e">
        <f t="array" ref="AQ43">_xlfn.IFS(Saisie!AG43="OUI",1,Saisie!AG43="NON",0)</f>
        <v>#N/A</v>
      </c>
      <c r="AR43" s="129" t="e">
        <f t="array" ref="AR43">_xlfn.IFS(Saisie!AH43="OUI",1,Saisie!AH43="NON",0)</f>
        <v>#N/A</v>
      </c>
      <c r="AS43" s="171">
        <f>Saisie!AI43</f>
        <v>0</v>
      </c>
      <c r="AT43" s="263" t="e">
        <f t="array" ref="AT43">_xlfn.IFS(Saisie!AJ43="OUI",1,Saisie!AJ43="NON",0)</f>
        <v>#N/A</v>
      </c>
      <c r="AU43" s="173">
        <f>Saisie!AK43</f>
        <v>0</v>
      </c>
      <c r="AV43" s="263" t="e">
        <f t="array" ref="AV43">_xlfn.IFS(Saisie!AL43="OUI",1,Saisie!AL43="NON",0)</f>
        <v>#N/A</v>
      </c>
      <c r="AW43" s="171">
        <f>Saisie!AM43</f>
        <v>0</v>
      </c>
      <c r="AX43" s="68">
        <f>Saisie!AN43</f>
        <v>0</v>
      </c>
      <c r="AY43" s="20">
        <f>Saisie!AO43</f>
        <v>0</v>
      </c>
      <c r="AZ43" s="21">
        <f>Saisie!AP43</f>
        <v>0</v>
      </c>
      <c r="BA43" s="298">
        <f>Saisie!AQ43</f>
        <v>0</v>
      </c>
      <c r="BB43" s="170">
        <f>Saisie!AR43</f>
        <v>0</v>
      </c>
      <c r="BC43" s="174">
        <f>Saisie!AS43</f>
        <v>0</v>
      </c>
      <c r="BD43" s="61">
        <f>Saisie!AT43</f>
        <v>0</v>
      </c>
      <c r="BE43" s="175" t="e">
        <f t="array" ref="BE43">_xlfn.IFS(Saisie!AU43="OUI",1,Saisie!AU43="NON",0)</f>
        <v>#N/A</v>
      </c>
      <c r="BF43" s="267">
        <f>Saisie!AV43</f>
        <v>0</v>
      </c>
      <c r="BG43" s="55">
        <f>Saisie!AW43</f>
        <v>0</v>
      </c>
      <c r="BH43" s="55" t="e">
        <f t="array" ref="BH43">_xlfn.IFS(Saisie!AX43="OUI",1,Saisie!AX43="NON",0)</f>
        <v>#N/A</v>
      </c>
      <c r="BI43" s="62">
        <f>Saisie!AY43</f>
        <v>0</v>
      </c>
      <c r="BJ43" s="55" t="e">
        <f t="array" ref="BJ43">_xlfn.IFS(Saisie!AZ43="OUI",1,Saisie!AZ43="NON",0)</f>
        <v>#N/A</v>
      </c>
      <c r="BK43" s="55" t="e">
        <f t="array" ref="BK43">_xlfn.IFS(Saisie!BA43="OUI",1,Saisie!BA43="NON",0)</f>
        <v>#N/A</v>
      </c>
      <c r="BL43" s="55">
        <f>Saisie!BB43</f>
        <v>0</v>
      </c>
      <c r="BM43" s="49" t="e">
        <f>Saisie!BC43</f>
        <v>#REF!</v>
      </c>
      <c r="BN43" s="175"/>
    </row>
    <row r="44" spans="1:66" s="176" customFormat="1" x14ac:dyDescent="0.45">
      <c r="A44" s="13">
        <v>38</v>
      </c>
      <c r="B44" s="150">
        <f>Saisie!B44</f>
        <v>0</v>
      </c>
      <c r="C44" s="150">
        <f>Saisie!C44</f>
        <v>0</v>
      </c>
      <c r="D44" s="150">
        <f>Saisie!D44</f>
        <v>0</v>
      </c>
      <c r="E44" s="150">
        <f>Saisie!E44</f>
        <v>0</v>
      </c>
      <c r="F44" s="150">
        <f>Saisie!F44</f>
        <v>0</v>
      </c>
      <c r="G44" s="150">
        <f>Saisie!G44</f>
        <v>0</v>
      </c>
      <c r="H44" s="150">
        <f>Saisie!I44</f>
        <v>0</v>
      </c>
      <c r="I44" s="150">
        <f>Saisie!J44</f>
        <v>0</v>
      </c>
      <c r="J44" s="150">
        <f>Saisie!K44</f>
        <v>0</v>
      </c>
      <c r="K44" s="150">
        <f>Saisie!L44</f>
        <v>0</v>
      </c>
      <c r="L44" s="150" t="e">
        <f>Saisie!#REF!</f>
        <v>#REF!</v>
      </c>
      <c r="M44" s="55" t="e">
        <f t="array" ref="M44">_xlfn.IFS(Saisie!M44="OUI",1,Saisie!M44="NON",0)</f>
        <v>#N/A</v>
      </c>
      <c r="N44" s="64" t="e">
        <f>Saisie!#REF!</f>
        <v>#REF!</v>
      </c>
      <c r="O44" s="63" t="e">
        <f>Saisie!#REF!</f>
        <v>#REF!</v>
      </c>
      <c r="P44" s="63">
        <f>Saisie!N44</f>
        <v>0</v>
      </c>
      <c r="Q44" s="63" t="e">
        <f t="array" ref="Q44">_xlfn.IFS(Saisie!#REF!="OUI",1,Saisie!#REF!="NON",0)</f>
        <v>#REF!</v>
      </c>
      <c r="R44" s="63" t="e">
        <f>Saisie!#REF!</f>
        <v>#REF!</v>
      </c>
      <c r="S44" s="65" t="e">
        <f>Saisie!#REF!</f>
        <v>#REF!</v>
      </c>
      <c r="T44" s="63" t="e">
        <f>Saisie!#REF!</f>
        <v>#REF!</v>
      </c>
      <c r="U44" s="63" t="e">
        <f>Saisie!#REF!</f>
        <v>#REF!</v>
      </c>
      <c r="V44" s="63" t="e">
        <f t="array" ref="V44">_xlfn.IFS(Saisie!#REF!="OUI",1,Saisie!#REF!="NON",0)</f>
        <v>#REF!</v>
      </c>
      <c r="W44" s="63" t="e">
        <f t="array" ref="W44">_xlfn.IFS(Saisie!O44="OUI",1,Saisie!O44="NON",0)</f>
        <v>#N/A</v>
      </c>
      <c r="X44" s="63">
        <f>Saisie!P44</f>
        <v>0</v>
      </c>
      <c r="Y44" s="299">
        <f>Saisie!H44</f>
        <v>0</v>
      </c>
      <c r="Z44" s="58" t="e">
        <f>Saisie!#REF!</f>
        <v>#REF!</v>
      </c>
      <c r="AA44" s="299">
        <f>Saisie!Q44</f>
        <v>0</v>
      </c>
      <c r="AB44" s="63" t="e">
        <f t="array" ref="AB44">_xlfn.IFS(Saisie!R44="OUI",1,Saisie!R44="NON",0)</f>
        <v>#N/A</v>
      </c>
      <c r="AC44" s="63">
        <f>Saisie!S44</f>
        <v>0</v>
      </c>
      <c r="AD44" s="63" t="e">
        <f t="array" ref="AD44">_xlfn.IFS(Saisie!T44="OUI",1,Saisie!T44="NON",0)</f>
        <v>#N/A</v>
      </c>
      <c r="AE44" s="171">
        <f>Saisie!U44</f>
        <v>0</v>
      </c>
      <c r="AF44" s="263">
        <v>3</v>
      </c>
      <c r="AG44" s="129">
        <f>Saisie!W44</f>
        <v>0</v>
      </c>
      <c r="AH44" s="20">
        <f>Saisie!X44</f>
        <v>0</v>
      </c>
      <c r="AI44" s="21">
        <f>Saisie!Y44</f>
        <v>0</v>
      </c>
      <c r="AJ44" s="59">
        <f>Saisie!Z44</f>
        <v>0</v>
      </c>
      <c r="AK44" s="20">
        <f>Saisie!AA44</f>
        <v>0</v>
      </c>
      <c r="AL44" s="21">
        <f>Saisie!AB44</f>
        <v>0</v>
      </c>
      <c r="AM44" s="59">
        <f>Saisie!AC44</f>
        <v>0</v>
      </c>
      <c r="AN44" s="20">
        <f>Saisie!AD44</f>
        <v>0</v>
      </c>
      <c r="AO44" s="21">
        <f>Saisie!AE44</f>
        <v>0</v>
      </c>
      <c r="AP44" s="59">
        <f>Saisie!AF44</f>
        <v>0</v>
      </c>
      <c r="AQ44" s="129" t="e">
        <f t="array" ref="AQ44">_xlfn.IFS(Saisie!AG44="OUI",1,Saisie!AG44="NON",0)</f>
        <v>#N/A</v>
      </c>
      <c r="AR44" s="129" t="e">
        <f t="array" ref="AR44">_xlfn.IFS(Saisie!AH44="OUI",1,Saisie!AH44="NON",0)</f>
        <v>#N/A</v>
      </c>
      <c r="AS44" s="171">
        <f>Saisie!AI44</f>
        <v>0</v>
      </c>
      <c r="AT44" s="263" t="e">
        <f t="array" ref="AT44">_xlfn.IFS(Saisie!AJ44="OUI",1,Saisie!AJ44="NON",0)</f>
        <v>#N/A</v>
      </c>
      <c r="AU44" s="173">
        <f>Saisie!AK44</f>
        <v>0</v>
      </c>
      <c r="AV44" s="263" t="e">
        <f t="array" ref="AV44">_xlfn.IFS(Saisie!AL44="OUI",1,Saisie!AL44="NON",0)</f>
        <v>#N/A</v>
      </c>
      <c r="AW44" s="171">
        <f>Saisie!AM44</f>
        <v>0</v>
      </c>
      <c r="AX44" s="68">
        <f>Saisie!AN44</f>
        <v>0</v>
      </c>
      <c r="AY44" s="20">
        <f>Saisie!AO44</f>
        <v>0</v>
      </c>
      <c r="AZ44" s="21">
        <f>Saisie!AP44</f>
        <v>0</v>
      </c>
      <c r="BA44" s="298">
        <f>Saisie!AQ44</f>
        <v>0</v>
      </c>
      <c r="BB44" s="170">
        <f>Saisie!AR44</f>
        <v>0</v>
      </c>
      <c r="BC44" s="174">
        <f>Saisie!AS44</f>
        <v>0</v>
      </c>
      <c r="BD44" s="61">
        <f>Saisie!AT44</f>
        <v>0</v>
      </c>
      <c r="BE44" s="175" t="e">
        <f t="array" ref="BE44">_xlfn.IFS(Saisie!AU44="OUI",1,Saisie!AU44="NON",0)</f>
        <v>#N/A</v>
      </c>
      <c r="BF44" s="267">
        <f>Saisie!AV44</f>
        <v>0</v>
      </c>
      <c r="BG44" s="55">
        <f>Saisie!AW44</f>
        <v>0</v>
      </c>
      <c r="BH44" s="55" t="e">
        <f t="array" ref="BH44">_xlfn.IFS(Saisie!AX44="OUI",1,Saisie!AX44="NON",0)</f>
        <v>#N/A</v>
      </c>
      <c r="BI44" s="62">
        <f>Saisie!AY44</f>
        <v>0</v>
      </c>
      <c r="BJ44" s="55" t="e">
        <f t="array" ref="BJ44">_xlfn.IFS(Saisie!AZ44="OUI",1,Saisie!AZ44="NON",0)</f>
        <v>#N/A</v>
      </c>
      <c r="BK44" s="55" t="e">
        <f t="array" ref="BK44">_xlfn.IFS(Saisie!BA44="OUI",1,Saisie!BA44="NON",0)</f>
        <v>#N/A</v>
      </c>
      <c r="BL44" s="55">
        <f>Saisie!BB44</f>
        <v>0</v>
      </c>
      <c r="BM44" s="49" t="e">
        <f>Saisie!BC44</f>
        <v>#REF!</v>
      </c>
      <c r="BN44" s="175"/>
    </row>
    <row r="45" spans="1:66" s="176" customFormat="1" x14ac:dyDescent="0.45">
      <c r="A45" s="13">
        <v>39</v>
      </c>
      <c r="B45" s="150">
        <f>Saisie!B45</f>
        <v>0</v>
      </c>
      <c r="C45" s="150">
        <f>Saisie!C45</f>
        <v>0</v>
      </c>
      <c r="D45" s="150">
        <f>Saisie!D45</f>
        <v>0</v>
      </c>
      <c r="E45" s="150">
        <f>Saisie!E45</f>
        <v>0</v>
      </c>
      <c r="F45" s="150">
        <f>Saisie!F45</f>
        <v>0</v>
      </c>
      <c r="G45" s="150">
        <f>Saisie!G45</f>
        <v>0</v>
      </c>
      <c r="H45" s="150">
        <f>Saisie!I45</f>
        <v>0</v>
      </c>
      <c r="I45" s="150">
        <f>Saisie!J45</f>
        <v>0</v>
      </c>
      <c r="J45" s="150">
        <f>Saisie!K45</f>
        <v>0</v>
      </c>
      <c r="K45" s="150">
        <f>Saisie!L45</f>
        <v>0</v>
      </c>
      <c r="L45" s="150" t="e">
        <f>Saisie!#REF!</f>
        <v>#REF!</v>
      </c>
      <c r="M45" s="55" t="e">
        <f t="array" ref="M45">_xlfn.IFS(Saisie!M45="OUI",1,Saisie!M45="NON",0)</f>
        <v>#N/A</v>
      </c>
      <c r="N45" s="64" t="e">
        <f>Saisie!#REF!</f>
        <v>#REF!</v>
      </c>
      <c r="O45" s="63" t="e">
        <f>Saisie!#REF!</f>
        <v>#REF!</v>
      </c>
      <c r="P45" s="63">
        <f>Saisie!N45</f>
        <v>0</v>
      </c>
      <c r="Q45" s="63" t="e">
        <f t="array" ref="Q45">_xlfn.IFS(Saisie!#REF!="OUI",1,Saisie!#REF!="NON",0)</f>
        <v>#REF!</v>
      </c>
      <c r="R45" s="63" t="e">
        <f>Saisie!#REF!</f>
        <v>#REF!</v>
      </c>
      <c r="S45" s="65" t="e">
        <f>Saisie!#REF!</f>
        <v>#REF!</v>
      </c>
      <c r="T45" s="63" t="e">
        <f>Saisie!#REF!</f>
        <v>#REF!</v>
      </c>
      <c r="U45" s="63" t="e">
        <f>Saisie!#REF!</f>
        <v>#REF!</v>
      </c>
      <c r="V45" s="63" t="e">
        <f t="array" ref="V45">_xlfn.IFS(Saisie!#REF!="OUI",1,Saisie!#REF!="NON",0)</f>
        <v>#REF!</v>
      </c>
      <c r="W45" s="63" t="e">
        <f t="array" ref="W45">_xlfn.IFS(Saisie!O45="OUI",1,Saisie!O45="NON",0)</f>
        <v>#N/A</v>
      </c>
      <c r="X45" s="63">
        <f>Saisie!P45</f>
        <v>0</v>
      </c>
      <c r="Y45" s="299">
        <f>Saisie!H45</f>
        <v>0</v>
      </c>
      <c r="Z45" s="58" t="e">
        <f>Saisie!#REF!</f>
        <v>#REF!</v>
      </c>
      <c r="AA45" s="299">
        <f>Saisie!Q45</f>
        <v>0</v>
      </c>
      <c r="AB45" s="63" t="e">
        <f t="array" ref="AB45">_xlfn.IFS(Saisie!R45="OUI",1,Saisie!R45="NON",0)</f>
        <v>#N/A</v>
      </c>
      <c r="AC45" s="63">
        <f>Saisie!S45</f>
        <v>0</v>
      </c>
      <c r="AD45" s="63" t="e">
        <f t="array" ref="AD45">_xlfn.IFS(Saisie!T45="OUI",1,Saisie!T45="NON",0)</f>
        <v>#N/A</v>
      </c>
      <c r="AE45" s="171">
        <f>Saisie!U45</f>
        <v>0</v>
      </c>
      <c r="AF45" s="263">
        <v>3</v>
      </c>
      <c r="AG45" s="129">
        <f>Saisie!W45</f>
        <v>0</v>
      </c>
      <c r="AH45" s="20">
        <f>Saisie!X45</f>
        <v>0</v>
      </c>
      <c r="AI45" s="21">
        <f>Saisie!Y45</f>
        <v>0</v>
      </c>
      <c r="AJ45" s="59">
        <f>Saisie!Z45</f>
        <v>0</v>
      </c>
      <c r="AK45" s="20">
        <f>Saisie!AA45</f>
        <v>0</v>
      </c>
      <c r="AL45" s="21">
        <f>Saisie!AB45</f>
        <v>0</v>
      </c>
      <c r="AM45" s="59">
        <f>Saisie!AC45</f>
        <v>0</v>
      </c>
      <c r="AN45" s="20">
        <f>Saisie!AD45</f>
        <v>0</v>
      </c>
      <c r="AO45" s="21">
        <f>Saisie!AE45</f>
        <v>0</v>
      </c>
      <c r="AP45" s="59">
        <f>Saisie!AF45</f>
        <v>0</v>
      </c>
      <c r="AQ45" s="129" t="e">
        <f t="array" ref="AQ45">_xlfn.IFS(Saisie!AG45="OUI",1,Saisie!AG45="NON",0)</f>
        <v>#N/A</v>
      </c>
      <c r="AR45" s="129" t="e">
        <f t="array" ref="AR45">_xlfn.IFS(Saisie!AH45="OUI",1,Saisie!AH45="NON",0)</f>
        <v>#N/A</v>
      </c>
      <c r="AS45" s="171">
        <f>Saisie!AI45</f>
        <v>0</v>
      </c>
      <c r="AT45" s="263" t="e">
        <f t="array" ref="AT45">_xlfn.IFS(Saisie!AJ45="OUI",1,Saisie!AJ45="NON",0)</f>
        <v>#N/A</v>
      </c>
      <c r="AU45" s="173">
        <f>Saisie!AK45</f>
        <v>0</v>
      </c>
      <c r="AV45" s="263" t="e">
        <f t="array" ref="AV45">_xlfn.IFS(Saisie!AL45="OUI",1,Saisie!AL45="NON",0)</f>
        <v>#N/A</v>
      </c>
      <c r="AW45" s="171">
        <f>Saisie!AM45</f>
        <v>0</v>
      </c>
      <c r="AX45" s="68">
        <f>Saisie!AN45</f>
        <v>0</v>
      </c>
      <c r="AY45" s="20">
        <f>Saisie!AO45</f>
        <v>0</v>
      </c>
      <c r="AZ45" s="21">
        <f>Saisie!AP45</f>
        <v>0</v>
      </c>
      <c r="BA45" s="298">
        <f>Saisie!AQ45</f>
        <v>0</v>
      </c>
      <c r="BB45" s="170">
        <f>Saisie!AR45</f>
        <v>0</v>
      </c>
      <c r="BC45" s="174">
        <f>Saisie!AS45</f>
        <v>0</v>
      </c>
      <c r="BD45" s="61">
        <f>Saisie!AT45</f>
        <v>0</v>
      </c>
      <c r="BE45" s="175" t="e">
        <f t="array" ref="BE45">_xlfn.IFS(Saisie!AU45="OUI",1,Saisie!AU45="NON",0)</f>
        <v>#N/A</v>
      </c>
      <c r="BF45" s="267">
        <f>Saisie!AV45</f>
        <v>0</v>
      </c>
      <c r="BG45" s="55">
        <f>Saisie!AW45</f>
        <v>0</v>
      </c>
      <c r="BH45" s="55" t="e">
        <f t="array" ref="BH45">_xlfn.IFS(Saisie!AX45="OUI",1,Saisie!AX45="NON",0)</f>
        <v>#N/A</v>
      </c>
      <c r="BI45" s="62">
        <f>Saisie!AY45</f>
        <v>0</v>
      </c>
      <c r="BJ45" s="55" t="e">
        <f t="array" ref="BJ45">_xlfn.IFS(Saisie!AZ45="OUI",1,Saisie!AZ45="NON",0)</f>
        <v>#N/A</v>
      </c>
      <c r="BK45" s="55" t="e">
        <f t="array" ref="BK45">_xlfn.IFS(Saisie!BA45="OUI",1,Saisie!BA45="NON",0)</f>
        <v>#N/A</v>
      </c>
      <c r="BL45" s="55">
        <f>Saisie!BB45</f>
        <v>0</v>
      </c>
      <c r="BM45" s="49" t="e">
        <f>Saisie!BC45</f>
        <v>#REF!</v>
      </c>
      <c r="BN45" s="175"/>
    </row>
    <row r="46" spans="1:66" s="176" customFormat="1" x14ac:dyDescent="0.45">
      <c r="A46" s="12">
        <v>40</v>
      </c>
      <c r="B46" s="150">
        <f>Saisie!B46</f>
        <v>0</v>
      </c>
      <c r="C46" s="150">
        <f>Saisie!C46</f>
        <v>0</v>
      </c>
      <c r="D46" s="150">
        <f>Saisie!D46</f>
        <v>0</v>
      </c>
      <c r="E46" s="150">
        <f>Saisie!E46</f>
        <v>0</v>
      </c>
      <c r="F46" s="150">
        <f>Saisie!F46</f>
        <v>0</v>
      </c>
      <c r="G46" s="150">
        <f>Saisie!G46</f>
        <v>0</v>
      </c>
      <c r="H46" s="150">
        <f>Saisie!I46</f>
        <v>0</v>
      </c>
      <c r="I46" s="150">
        <f>Saisie!J46</f>
        <v>0</v>
      </c>
      <c r="J46" s="150">
        <f>Saisie!K46</f>
        <v>0</v>
      </c>
      <c r="K46" s="150">
        <f>Saisie!L46</f>
        <v>0</v>
      </c>
      <c r="L46" s="150" t="e">
        <f>Saisie!#REF!</f>
        <v>#REF!</v>
      </c>
      <c r="M46" s="55" t="e">
        <f t="array" ref="M46">_xlfn.IFS(Saisie!M46="OUI",1,Saisie!M46="NON",0)</f>
        <v>#N/A</v>
      </c>
      <c r="N46" s="64" t="e">
        <f>Saisie!#REF!</f>
        <v>#REF!</v>
      </c>
      <c r="O46" s="63" t="e">
        <f>Saisie!#REF!</f>
        <v>#REF!</v>
      </c>
      <c r="P46" s="63">
        <f>Saisie!N46</f>
        <v>0</v>
      </c>
      <c r="Q46" s="63" t="e">
        <f t="array" ref="Q46">_xlfn.IFS(Saisie!#REF!="OUI",1,Saisie!#REF!="NON",0)</f>
        <v>#REF!</v>
      </c>
      <c r="R46" s="63" t="e">
        <f>Saisie!#REF!</f>
        <v>#REF!</v>
      </c>
      <c r="S46" s="65" t="e">
        <f>Saisie!#REF!</f>
        <v>#REF!</v>
      </c>
      <c r="T46" s="63" t="e">
        <f>Saisie!#REF!</f>
        <v>#REF!</v>
      </c>
      <c r="U46" s="63" t="e">
        <f>Saisie!#REF!</f>
        <v>#REF!</v>
      </c>
      <c r="V46" s="63" t="e">
        <f t="array" ref="V46">_xlfn.IFS(Saisie!#REF!="OUI",1,Saisie!#REF!="NON",0)</f>
        <v>#REF!</v>
      </c>
      <c r="W46" s="63" t="e">
        <f t="array" ref="W46">_xlfn.IFS(Saisie!O46="OUI",1,Saisie!O46="NON",0)</f>
        <v>#N/A</v>
      </c>
      <c r="X46" s="63">
        <f>Saisie!P46</f>
        <v>0</v>
      </c>
      <c r="Y46" s="299">
        <f>Saisie!H46</f>
        <v>0</v>
      </c>
      <c r="Z46" s="58" t="e">
        <f>Saisie!#REF!</f>
        <v>#REF!</v>
      </c>
      <c r="AA46" s="299">
        <f>Saisie!Q46</f>
        <v>0</v>
      </c>
      <c r="AB46" s="63" t="e">
        <f t="array" ref="AB46">_xlfn.IFS(Saisie!R46="OUI",1,Saisie!R46="NON",0)</f>
        <v>#N/A</v>
      </c>
      <c r="AC46" s="63">
        <f>Saisie!S46</f>
        <v>0</v>
      </c>
      <c r="AD46" s="63" t="e">
        <f t="array" ref="AD46">_xlfn.IFS(Saisie!T46="OUI",1,Saisie!T46="NON",0)</f>
        <v>#N/A</v>
      </c>
      <c r="AE46" s="171">
        <f>Saisie!U46</f>
        <v>0</v>
      </c>
      <c r="AF46" s="263">
        <v>3</v>
      </c>
      <c r="AG46" s="129">
        <f>Saisie!W46</f>
        <v>0</v>
      </c>
      <c r="AH46" s="20">
        <f>Saisie!X46</f>
        <v>0</v>
      </c>
      <c r="AI46" s="21">
        <f>Saisie!Y46</f>
        <v>0</v>
      </c>
      <c r="AJ46" s="59">
        <f>Saisie!Z46</f>
        <v>0</v>
      </c>
      <c r="AK46" s="20">
        <f>Saisie!AA46</f>
        <v>0</v>
      </c>
      <c r="AL46" s="21">
        <f>Saisie!AB46</f>
        <v>0</v>
      </c>
      <c r="AM46" s="59">
        <f>Saisie!AC46</f>
        <v>0</v>
      </c>
      <c r="AN46" s="20">
        <f>Saisie!AD46</f>
        <v>0</v>
      </c>
      <c r="AO46" s="21">
        <f>Saisie!AE46</f>
        <v>0</v>
      </c>
      <c r="AP46" s="59">
        <f>Saisie!AF46</f>
        <v>0</v>
      </c>
      <c r="AQ46" s="129" t="e">
        <f t="array" ref="AQ46">_xlfn.IFS(Saisie!AG46="OUI",1,Saisie!AG46="NON",0)</f>
        <v>#N/A</v>
      </c>
      <c r="AR46" s="129" t="e">
        <f t="array" ref="AR46">_xlfn.IFS(Saisie!AH46="OUI",1,Saisie!AH46="NON",0)</f>
        <v>#N/A</v>
      </c>
      <c r="AS46" s="171">
        <f>Saisie!AI46</f>
        <v>0</v>
      </c>
      <c r="AT46" s="263" t="e">
        <f t="array" ref="AT46">_xlfn.IFS(Saisie!AJ46="OUI",1,Saisie!AJ46="NON",0)</f>
        <v>#N/A</v>
      </c>
      <c r="AU46" s="173">
        <f>Saisie!AK46</f>
        <v>0</v>
      </c>
      <c r="AV46" s="263" t="e">
        <f t="array" ref="AV46">_xlfn.IFS(Saisie!AL46="OUI",1,Saisie!AL46="NON",0)</f>
        <v>#N/A</v>
      </c>
      <c r="AW46" s="171">
        <f>Saisie!AM46</f>
        <v>0</v>
      </c>
      <c r="AX46" s="68">
        <f>Saisie!AN46</f>
        <v>0</v>
      </c>
      <c r="AY46" s="20">
        <f>Saisie!AO46</f>
        <v>0</v>
      </c>
      <c r="AZ46" s="21">
        <f>Saisie!AP46</f>
        <v>0</v>
      </c>
      <c r="BA46" s="298">
        <f>Saisie!AQ46</f>
        <v>0</v>
      </c>
      <c r="BB46" s="170">
        <f>Saisie!AR46</f>
        <v>0</v>
      </c>
      <c r="BC46" s="174">
        <f>Saisie!AS46</f>
        <v>0</v>
      </c>
      <c r="BD46" s="61">
        <f>Saisie!AT46</f>
        <v>0</v>
      </c>
      <c r="BE46" s="175" t="e">
        <f t="array" ref="BE46">_xlfn.IFS(Saisie!AU46="OUI",1,Saisie!AU46="NON",0)</f>
        <v>#N/A</v>
      </c>
      <c r="BF46" s="267">
        <f>Saisie!AV46</f>
        <v>0</v>
      </c>
      <c r="BG46" s="55">
        <f>Saisie!AW46</f>
        <v>0</v>
      </c>
      <c r="BH46" s="55" t="e">
        <f t="array" ref="BH46">_xlfn.IFS(Saisie!AX46="OUI",1,Saisie!AX46="NON",0)</f>
        <v>#N/A</v>
      </c>
      <c r="BI46" s="62">
        <f>Saisie!AY46</f>
        <v>0</v>
      </c>
      <c r="BJ46" s="55" t="e">
        <f t="array" ref="BJ46">_xlfn.IFS(Saisie!AZ46="OUI",1,Saisie!AZ46="NON",0)</f>
        <v>#N/A</v>
      </c>
      <c r="BK46" s="55" t="e">
        <f t="array" ref="BK46">_xlfn.IFS(Saisie!BA46="OUI",1,Saisie!BA46="NON",0)</f>
        <v>#N/A</v>
      </c>
      <c r="BL46" s="55">
        <f>Saisie!BB46</f>
        <v>0</v>
      </c>
      <c r="BM46" s="49" t="e">
        <f>Saisie!BC46</f>
        <v>#REF!</v>
      </c>
      <c r="BN46" s="175"/>
    </row>
    <row r="47" spans="1:66" s="176" customFormat="1" x14ac:dyDescent="0.45">
      <c r="A47" s="13">
        <v>41</v>
      </c>
      <c r="B47" s="150">
        <f>Saisie!B47</f>
        <v>0</v>
      </c>
      <c r="C47" s="150">
        <f>Saisie!C47</f>
        <v>0</v>
      </c>
      <c r="D47" s="150">
        <f>Saisie!D47</f>
        <v>0</v>
      </c>
      <c r="E47" s="150">
        <f>Saisie!E47</f>
        <v>0</v>
      </c>
      <c r="F47" s="150">
        <f>Saisie!F47</f>
        <v>0</v>
      </c>
      <c r="G47" s="150">
        <f>Saisie!G47</f>
        <v>0</v>
      </c>
      <c r="H47" s="150">
        <f>Saisie!I47</f>
        <v>0</v>
      </c>
      <c r="I47" s="150">
        <f>Saisie!J47</f>
        <v>0</v>
      </c>
      <c r="J47" s="150">
        <f>Saisie!K47</f>
        <v>0</v>
      </c>
      <c r="K47" s="150">
        <f>Saisie!L47</f>
        <v>0</v>
      </c>
      <c r="L47" s="150" t="e">
        <f>Saisie!#REF!</f>
        <v>#REF!</v>
      </c>
      <c r="M47" s="55" t="e">
        <f t="array" ref="M47">_xlfn.IFS(Saisie!M47="OUI",1,Saisie!M47="NON",0)</f>
        <v>#N/A</v>
      </c>
      <c r="N47" s="64" t="e">
        <f>Saisie!#REF!</f>
        <v>#REF!</v>
      </c>
      <c r="O47" s="63" t="e">
        <f>Saisie!#REF!</f>
        <v>#REF!</v>
      </c>
      <c r="P47" s="63">
        <f>Saisie!N47</f>
        <v>0</v>
      </c>
      <c r="Q47" s="63" t="e">
        <f t="array" ref="Q47">_xlfn.IFS(Saisie!#REF!="OUI",1,Saisie!#REF!="NON",0)</f>
        <v>#REF!</v>
      </c>
      <c r="R47" s="63" t="e">
        <f>Saisie!#REF!</f>
        <v>#REF!</v>
      </c>
      <c r="S47" s="65" t="e">
        <f>Saisie!#REF!</f>
        <v>#REF!</v>
      </c>
      <c r="T47" s="63" t="e">
        <f>Saisie!#REF!</f>
        <v>#REF!</v>
      </c>
      <c r="U47" s="63" t="e">
        <f>Saisie!#REF!</f>
        <v>#REF!</v>
      </c>
      <c r="V47" s="63" t="e">
        <f t="array" ref="V47">_xlfn.IFS(Saisie!#REF!="OUI",1,Saisie!#REF!="NON",0)</f>
        <v>#REF!</v>
      </c>
      <c r="W47" s="63" t="e">
        <f t="array" ref="W47">_xlfn.IFS(Saisie!O47="OUI",1,Saisie!O47="NON",0)</f>
        <v>#N/A</v>
      </c>
      <c r="X47" s="63">
        <f>Saisie!P47</f>
        <v>0</v>
      </c>
      <c r="Y47" s="299">
        <f>Saisie!H47</f>
        <v>0</v>
      </c>
      <c r="Z47" s="58" t="e">
        <f>Saisie!#REF!</f>
        <v>#REF!</v>
      </c>
      <c r="AA47" s="299">
        <f>Saisie!Q47</f>
        <v>0</v>
      </c>
      <c r="AB47" s="63" t="e">
        <f t="array" ref="AB47">_xlfn.IFS(Saisie!R47="OUI",1,Saisie!R47="NON",0)</f>
        <v>#N/A</v>
      </c>
      <c r="AC47" s="63">
        <f>Saisie!S47</f>
        <v>0</v>
      </c>
      <c r="AD47" s="63" t="e">
        <f t="array" ref="AD47">_xlfn.IFS(Saisie!T47="OUI",1,Saisie!T47="NON",0)</f>
        <v>#N/A</v>
      </c>
      <c r="AE47" s="171">
        <f>Saisie!U47</f>
        <v>0</v>
      </c>
      <c r="AF47" s="263">
        <v>3</v>
      </c>
      <c r="AG47" s="129">
        <f>Saisie!W47</f>
        <v>0</v>
      </c>
      <c r="AH47" s="20">
        <f>Saisie!X47</f>
        <v>0</v>
      </c>
      <c r="AI47" s="21">
        <f>Saisie!Y47</f>
        <v>0</v>
      </c>
      <c r="AJ47" s="59">
        <f>Saisie!Z47</f>
        <v>0</v>
      </c>
      <c r="AK47" s="20">
        <f>Saisie!AA47</f>
        <v>0</v>
      </c>
      <c r="AL47" s="21">
        <f>Saisie!AB47</f>
        <v>0</v>
      </c>
      <c r="AM47" s="59">
        <f>Saisie!AC47</f>
        <v>0</v>
      </c>
      <c r="AN47" s="20">
        <f>Saisie!AD47</f>
        <v>0</v>
      </c>
      <c r="AO47" s="21">
        <f>Saisie!AE47</f>
        <v>0</v>
      </c>
      <c r="AP47" s="59">
        <f>Saisie!AF47</f>
        <v>0</v>
      </c>
      <c r="AQ47" s="129" t="e">
        <f t="array" ref="AQ47">_xlfn.IFS(Saisie!AG47="OUI",1,Saisie!AG47="NON",0)</f>
        <v>#N/A</v>
      </c>
      <c r="AR47" s="129" t="e">
        <f t="array" ref="AR47">_xlfn.IFS(Saisie!AH47="OUI",1,Saisie!AH47="NON",0)</f>
        <v>#N/A</v>
      </c>
      <c r="AS47" s="171">
        <f>Saisie!AI47</f>
        <v>0</v>
      </c>
      <c r="AT47" s="263" t="e">
        <f t="array" ref="AT47">_xlfn.IFS(Saisie!AJ47="OUI",1,Saisie!AJ47="NON",0)</f>
        <v>#N/A</v>
      </c>
      <c r="AU47" s="173">
        <f>Saisie!AK47</f>
        <v>0</v>
      </c>
      <c r="AV47" s="263" t="e">
        <f t="array" ref="AV47">_xlfn.IFS(Saisie!AL47="OUI",1,Saisie!AL47="NON",0)</f>
        <v>#N/A</v>
      </c>
      <c r="AW47" s="171">
        <f>Saisie!AM47</f>
        <v>0</v>
      </c>
      <c r="AX47" s="68">
        <f>Saisie!AN47</f>
        <v>0</v>
      </c>
      <c r="AY47" s="20">
        <f>Saisie!AO47</f>
        <v>0</v>
      </c>
      <c r="AZ47" s="21">
        <f>Saisie!AP47</f>
        <v>0</v>
      </c>
      <c r="BA47" s="298">
        <f>Saisie!AQ47</f>
        <v>0</v>
      </c>
      <c r="BB47" s="170">
        <f>Saisie!AR47</f>
        <v>0</v>
      </c>
      <c r="BC47" s="174">
        <f>Saisie!AS47</f>
        <v>0</v>
      </c>
      <c r="BD47" s="61">
        <f>Saisie!AT47</f>
        <v>0</v>
      </c>
      <c r="BE47" s="175" t="e">
        <f t="array" ref="BE47">_xlfn.IFS(Saisie!AU47="OUI",1,Saisie!AU47="NON",0)</f>
        <v>#N/A</v>
      </c>
      <c r="BF47" s="267">
        <f>Saisie!AV47</f>
        <v>0</v>
      </c>
      <c r="BG47" s="55">
        <f>Saisie!AW47</f>
        <v>0</v>
      </c>
      <c r="BH47" s="55" t="e">
        <f t="array" ref="BH47">_xlfn.IFS(Saisie!AX47="OUI",1,Saisie!AX47="NON",0)</f>
        <v>#N/A</v>
      </c>
      <c r="BI47" s="62">
        <f>Saisie!AY47</f>
        <v>0</v>
      </c>
      <c r="BJ47" s="55" t="e">
        <f t="array" ref="BJ47">_xlfn.IFS(Saisie!AZ47="OUI",1,Saisie!AZ47="NON",0)</f>
        <v>#N/A</v>
      </c>
      <c r="BK47" s="55" t="e">
        <f t="array" ref="BK47">_xlfn.IFS(Saisie!BA47="OUI",1,Saisie!BA47="NON",0)</f>
        <v>#N/A</v>
      </c>
      <c r="BL47" s="55">
        <f>Saisie!BB47</f>
        <v>0</v>
      </c>
      <c r="BM47" s="49" t="e">
        <f>Saisie!BC47</f>
        <v>#REF!</v>
      </c>
      <c r="BN47" s="175"/>
    </row>
    <row r="48" spans="1:66" s="176" customFormat="1" x14ac:dyDescent="0.45">
      <c r="A48" s="13">
        <v>42</v>
      </c>
      <c r="B48" s="150">
        <f>Saisie!B48</f>
        <v>0</v>
      </c>
      <c r="C48" s="150">
        <f>Saisie!C48</f>
        <v>0</v>
      </c>
      <c r="D48" s="150">
        <f>Saisie!D48</f>
        <v>0</v>
      </c>
      <c r="E48" s="150">
        <f>Saisie!E48</f>
        <v>0</v>
      </c>
      <c r="F48" s="150">
        <f>Saisie!F48</f>
        <v>0</v>
      </c>
      <c r="G48" s="150">
        <f>Saisie!G48</f>
        <v>0</v>
      </c>
      <c r="H48" s="150">
        <f>Saisie!I48</f>
        <v>0</v>
      </c>
      <c r="I48" s="150">
        <f>Saisie!J48</f>
        <v>0</v>
      </c>
      <c r="J48" s="150">
        <f>Saisie!K48</f>
        <v>0</v>
      </c>
      <c r="K48" s="150">
        <f>Saisie!L48</f>
        <v>0</v>
      </c>
      <c r="L48" s="150" t="e">
        <f>Saisie!#REF!</f>
        <v>#REF!</v>
      </c>
      <c r="M48" s="55" t="e">
        <f t="array" ref="M48">_xlfn.IFS(Saisie!M48="OUI",1,Saisie!M48="NON",0)</f>
        <v>#N/A</v>
      </c>
      <c r="N48" s="64" t="e">
        <f>Saisie!#REF!</f>
        <v>#REF!</v>
      </c>
      <c r="O48" s="63" t="e">
        <f>Saisie!#REF!</f>
        <v>#REF!</v>
      </c>
      <c r="P48" s="63">
        <f>Saisie!N48</f>
        <v>0</v>
      </c>
      <c r="Q48" s="63" t="e">
        <f t="array" ref="Q48">_xlfn.IFS(Saisie!#REF!="OUI",1,Saisie!#REF!="NON",0)</f>
        <v>#REF!</v>
      </c>
      <c r="R48" s="63" t="e">
        <f>Saisie!#REF!</f>
        <v>#REF!</v>
      </c>
      <c r="S48" s="65" t="e">
        <f>Saisie!#REF!</f>
        <v>#REF!</v>
      </c>
      <c r="T48" s="63" t="e">
        <f>Saisie!#REF!</f>
        <v>#REF!</v>
      </c>
      <c r="U48" s="63" t="e">
        <f>Saisie!#REF!</f>
        <v>#REF!</v>
      </c>
      <c r="V48" s="63" t="e">
        <f t="array" ref="V48">_xlfn.IFS(Saisie!#REF!="OUI",1,Saisie!#REF!="NON",0)</f>
        <v>#REF!</v>
      </c>
      <c r="W48" s="63" t="e">
        <f t="array" ref="W48">_xlfn.IFS(Saisie!O48="OUI",1,Saisie!O48="NON",0)</f>
        <v>#N/A</v>
      </c>
      <c r="X48" s="63">
        <f>Saisie!P48</f>
        <v>0</v>
      </c>
      <c r="Y48" s="299">
        <f>Saisie!H48</f>
        <v>0</v>
      </c>
      <c r="Z48" s="58" t="e">
        <f>Saisie!#REF!</f>
        <v>#REF!</v>
      </c>
      <c r="AA48" s="299">
        <f>Saisie!Q48</f>
        <v>0</v>
      </c>
      <c r="AB48" s="63" t="e">
        <f t="array" ref="AB48">_xlfn.IFS(Saisie!R48="OUI",1,Saisie!R48="NON",0)</f>
        <v>#N/A</v>
      </c>
      <c r="AC48" s="63">
        <f>Saisie!S48</f>
        <v>0</v>
      </c>
      <c r="AD48" s="63" t="e">
        <f t="array" ref="AD48">_xlfn.IFS(Saisie!T48="OUI",1,Saisie!T48="NON",0)</f>
        <v>#N/A</v>
      </c>
      <c r="AE48" s="171">
        <f>Saisie!U48</f>
        <v>0</v>
      </c>
      <c r="AF48" s="263">
        <v>3</v>
      </c>
      <c r="AG48" s="129">
        <f>Saisie!W48</f>
        <v>0</v>
      </c>
      <c r="AH48" s="20">
        <f>Saisie!X48</f>
        <v>0</v>
      </c>
      <c r="AI48" s="21">
        <f>Saisie!Y48</f>
        <v>0</v>
      </c>
      <c r="AJ48" s="59">
        <f>Saisie!Z48</f>
        <v>0</v>
      </c>
      <c r="AK48" s="20">
        <f>Saisie!AA48</f>
        <v>0</v>
      </c>
      <c r="AL48" s="21">
        <f>Saisie!AB48</f>
        <v>0</v>
      </c>
      <c r="AM48" s="59">
        <f>Saisie!AC48</f>
        <v>0</v>
      </c>
      <c r="AN48" s="20">
        <f>Saisie!AD48</f>
        <v>0</v>
      </c>
      <c r="AO48" s="21">
        <f>Saisie!AE48</f>
        <v>0</v>
      </c>
      <c r="AP48" s="59">
        <f>Saisie!AF48</f>
        <v>0</v>
      </c>
      <c r="AQ48" s="129" t="e">
        <f t="array" ref="AQ48">_xlfn.IFS(Saisie!AG48="OUI",1,Saisie!AG48="NON",0)</f>
        <v>#N/A</v>
      </c>
      <c r="AR48" s="129" t="e">
        <f t="array" ref="AR48">_xlfn.IFS(Saisie!AH48="OUI",1,Saisie!AH48="NON",0)</f>
        <v>#N/A</v>
      </c>
      <c r="AS48" s="171">
        <f>Saisie!AI48</f>
        <v>0</v>
      </c>
      <c r="AT48" s="263" t="e">
        <f t="array" ref="AT48">_xlfn.IFS(Saisie!AJ48="OUI",1,Saisie!AJ48="NON",0)</f>
        <v>#N/A</v>
      </c>
      <c r="AU48" s="173">
        <f>Saisie!AK48</f>
        <v>0</v>
      </c>
      <c r="AV48" s="263" t="e">
        <f t="array" ref="AV48">_xlfn.IFS(Saisie!AL48="OUI",1,Saisie!AL48="NON",0)</f>
        <v>#N/A</v>
      </c>
      <c r="AW48" s="171">
        <f>Saisie!AM48</f>
        <v>0</v>
      </c>
      <c r="AX48" s="68">
        <f>Saisie!AN48</f>
        <v>0</v>
      </c>
      <c r="AY48" s="20">
        <f>Saisie!AO48</f>
        <v>0</v>
      </c>
      <c r="AZ48" s="21">
        <f>Saisie!AP48</f>
        <v>0</v>
      </c>
      <c r="BA48" s="298">
        <f>Saisie!AQ48</f>
        <v>0</v>
      </c>
      <c r="BB48" s="170">
        <f>Saisie!AR48</f>
        <v>0</v>
      </c>
      <c r="BC48" s="174">
        <f>Saisie!AS48</f>
        <v>0</v>
      </c>
      <c r="BD48" s="61">
        <f>Saisie!AT48</f>
        <v>0</v>
      </c>
      <c r="BE48" s="175" t="e">
        <f t="array" ref="BE48">_xlfn.IFS(Saisie!AU48="OUI",1,Saisie!AU48="NON",0)</f>
        <v>#N/A</v>
      </c>
      <c r="BF48" s="267">
        <f>Saisie!AV48</f>
        <v>0</v>
      </c>
      <c r="BG48" s="55">
        <f>Saisie!AW48</f>
        <v>0</v>
      </c>
      <c r="BH48" s="55" t="e">
        <f t="array" ref="BH48">_xlfn.IFS(Saisie!AX48="OUI",1,Saisie!AX48="NON",0)</f>
        <v>#N/A</v>
      </c>
      <c r="BI48" s="62">
        <f>Saisie!AY48</f>
        <v>0</v>
      </c>
      <c r="BJ48" s="55" t="e">
        <f t="array" ref="BJ48">_xlfn.IFS(Saisie!AZ48="OUI",1,Saisie!AZ48="NON",0)</f>
        <v>#N/A</v>
      </c>
      <c r="BK48" s="55" t="e">
        <f t="array" ref="BK48">_xlfn.IFS(Saisie!BA48="OUI",1,Saisie!BA48="NON",0)</f>
        <v>#N/A</v>
      </c>
      <c r="BL48" s="55">
        <f>Saisie!BB48</f>
        <v>0</v>
      </c>
      <c r="BM48" s="49" t="e">
        <f>Saisie!BC48</f>
        <v>#REF!</v>
      </c>
      <c r="BN48" s="175"/>
    </row>
    <row r="49" spans="1:66" s="176" customFormat="1" x14ac:dyDescent="0.45">
      <c r="A49" s="12">
        <v>43</v>
      </c>
      <c r="B49" s="150">
        <f>Saisie!B49</f>
        <v>0</v>
      </c>
      <c r="C49" s="150">
        <f>Saisie!C49</f>
        <v>0</v>
      </c>
      <c r="D49" s="150">
        <f>Saisie!D49</f>
        <v>0</v>
      </c>
      <c r="E49" s="150">
        <f>Saisie!E49</f>
        <v>0</v>
      </c>
      <c r="F49" s="150">
        <f>Saisie!F49</f>
        <v>0</v>
      </c>
      <c r="G49" s="150">
        <f>Saisie!G49</f>
        <v>0</v>
      </c>
      <c r="H49" s="150">
        <f>Saisie!I49</f>
        <v>0</v>
      </c>
      <c r="I49" s="150">
        <f>Saisie!J49</f>
        <v>0</v>
      </c>
      <c r="J49" s="150">
        <f>Saisie!K49</f>
        <v>0</v>
      </c>
      <c r="K49" s="150">
        <f>Saisie!L49</f>
        <v>0</v>
      </c>
      <c r="L49" s="150" t="e">
        <f>Saisie!#REF!</f>
        <v>#REF!</v>
      </c>
      <c r="M49" s="55" t="e">
        <f t="array" ref="M49">_xlfn.IFS(Saisie!M49="OUI",1,Saisie!M49="NON",0)</f>
        <v>#N/A</v>
      </c>
      <c r="N49" s="64" t="e">
        <f>Saisie!#REF!</f>
        <v>#REF!</v>
      </c>
      <c r="O49" s="63" t="e">
        <f>Saisie!#REF!</f>
        <v>#REF!</v>
      </c>
      <c r="P49" s="63">
        <f>Saisie!N49</f>
        <v>0</v>
      </c>
      <c r="Q49" s="63" t="e">
        <f t="array" ref="Q49">_xlfn.IFS(Saisie!#REF!="OUI",1,Saisie!#REF!="NON",0)</f>
        <v>#REF!</v>
      </c>
      <c r="R49" s="63" t="e">
        <f>Saisie!#REF!</f>
        <v>#REF!</v>
      </c>
      <c r="S49" s="65" t="e">
        <f>Saisie!#REF!</f>
        <v>#REF!</v>
      </c>
      <c r="T49" s="63" t="e">
        <f>Saisie!#REF!</f>
        <v>#REF!</v>
      </c>
      <c r="U49" s="63" t="e">
        <f>Saisie!#REF!</f>
        <v>#REF!</v>
      </c>
      <c r="V49" s="63" t="e">
        <f t="array" ref="V49">_xlfn.IFS(Saisie!#REF!="OUI",1,Saisie!#REF!="NON",0)</f>
        <v>#REF!</v>
      </c>
      <c r="W49" s="63" t="e">
        <f t="array" ref="W49">_xlfn.IFS(Saisie!O49="OUI",1,Saisie!O49="NON",0)</f>
        <v>#N/A</v>
      </c>
      <c r="X49" s="63">
        <f>Saisie!P49</f>
        <v>0</v>
      </c>
      <c r="Y49" s="299">
        <f>Saisie!H49</f>
        <v>0</v>
      </c>
      <c r="Z49" s="58" t="e">
        <f>Saisie!#REF!</f>
        <v>#REF!</v>
      </c>
      <c r="AA49" s="299">
        <f>Saisie!Q49</f>
        <v>0</v>
      </c>
      <c r="AB49" s="63" t="e">
        <f t="array" ref="AB49">_xlfn.IFS(Saisie!R49="OUI",1,Saisie!R49="NON",0)</f>
        <v>#N/A</v>
      </c>
      <c r="AC49" s="63">
        <f>Saisie!S49</f>
        <v>0</v>
      </c>
      <c r="AD49" s="63" t="e">
        <f t="array" ref="AD49">_xlfn.IFS(Saisie!T49="OUI",1,Saisie!T49="NON",0)</f>
        <v>#N/A</v>
      </c>
      <c r="AE49" s="171">
        <f>Saisie!U49</f>
        <v>0</v>
      </c>
      <c r="AF49" s="263">
        <v>3</v>
      </c>
      <c r="AG49" s="129">
        <f>Saisie!W49</f>
        <v>0</v>
      </c>
      <c r="AH49" s="20">
        <f>Saisie!X49</f>
        <v>0</v>
      </c>
      <c r="AI49" s="21">
        <f>Saisie!Y49</f>
        <v>0</v>
      </c>
      <c r="AJ49" s="59">
        <f>Saisie!Z49</f>
        <v>0</v>
      </c>
      <c r="AK49" s="20">
        <f>Saisie!AA49</f>
        <v>0</v>
      </c>
      <c r="AL49" s="21">
        <f>Saisie!AB49</f>
        <v>0</v>
      </c>
      <c r="AM49" s="59">
        <f>Saisie!AC49</f>
        <v>0</v>
      </c>
      <c r="AN49" s="20">
        <f>Saisie!AD49</f>
        <v>0</v>
      </c>
      <c r="AO49" s="21">
        <f>Saisie!AE49</f>
        <v>0</v>
      </c>
      <c r="AP49" s="59">
        <f>Saisie!AF49</f>
        <v>0</v>
      </c>
      <c r="AQ49" s="129" t="e">
        <f t="array" ref="AQ49">_xlfn.IFS(Saisie!AG49="OUI",1,Saisie!AG49="NON",0)</f>
        <v>#N/A</v>
      </c>
      <c r="AR49" s="129" t="e">
        <f t="array" ref="AR49">_xlfn.IFS(Saisie!AH49="OUI",1,Saisie!AH49="NON",0)</f>
        <v>#N/A</v>
      </c>
      <c r="AS49" s="171">
        <f>Saisie!AI49</f>
        <v>0</v>
      </c>
      <c r="AT49" s="263" t="e">
        <f t="array" ref="AT49">_xlfn.IFS(Saisie!AJ49="OUI",1,Saisie!AJ49="NON",0)</f>
        <v>#N/A</v>
      </c>
      <c r="AU49" s="173">
        <f>Saisie!AK49</f>
        <v>0</v>
      </c>
      <c r="AV49" s="263" t="e">
        <f t="array" ref="AV49">_xlfn.IFS(Saisie!AL49="OUI",1,Saisie!AL49="NON",0)</f>
        <v>#N/A</v>
      </c>
      <c r="AW49" s="171">
        <f>Saisie!AM49</f>
        <v>0</v>
      </c>
      <c r="AX49" s="68">
        <f>Saisie!AN49</f>
        <v>0</v>
      </c>
      <c r="AY49" s="20">
        <f>Saisie!AO49</f>
        <v>0</v>
      </c>
      <c r="AZ49" s="21">
        <f>Saisie!AP49</f>
        <v>0</v>
      </c>
      <c r="BA49" s="298">
        <f>Saisie!AQ49</f>
        <v>0</v>
      </c>
      <c r="BB49" s="170">
        <f>Saisie!AR49</f>
        <v>0</v>
      </c>
      <c r="BC49" s="174">
        <f>Saisie!AS49</f>
        <v>0</v>
      </c>
      <c r="BD49" s="61">
        <f>Saisie!AT49</f>
        <v>0</v>
      </c>
      <c r="BE49" s="175" t="e">
        <f t="array" ref="BE49">_xlfn.IFS(Saisie!AU49="OUI",1,Saisie!AU49="NON",0)</f>
        <v>#N/A</v>
      </c>
      <c r="BF49" s="267">
        <f>Saisie!AV49</f>
        <v>0</v>
      </c>
      <c r="BG49" s="55">
        <f>Saisie!AW49</f>
        <v>0</v>
      </c>
      <c r="BH49" s="55" t="e">
        <f t="array" ref="BH49">_xlfn.IFS(Saisie!AX49="OUI",1,Saisie!AX49="NON",0)</f>
        <v>#N/A</v>
      </c>
      <c r="BI49" s="62">
        <f>Saisie!AY49</f>
        <v>0</v>
      </c>
      <c r="BJ49" s="55" t="e">
        <f t="array" ref="BJ49">_xlfn.IFS(Saisie!AZ49="OUI",1,Saisie!AZ49="NON",0)</f>
        <v>#N/A</v>
      </c>
      <c r="BK49" s="55" t="e">
        <f t="array" ref="BK49">_xlfn.IFS(Saisie!BA49="OUI",1,Saisie!BA49="NON",0)</f>
        <v>#N/A</v>
      </c>
      <c r="BL49" s="55">
        <f>Saisie!BB49</f>
        <v>0</v>
      </c>
      <c r="BM49" s="49" t="e">
        <f>Saisie!BC49</f>
        <v>#REF!</v>
      </c>
      <c r="BN49" s="175"/>
    </row>
    <row r="50" spans="1:66" s="176" customFormat="1" x14ac:dyDescent="0.45">
      <c r="A50" s="13">
        <v>44</v>
      </c>
      <c r="B50" s="150">
        <f>Saisie!B50</f>
        <v>0</v>
      </c>
      <c r="C50" s="150">
        <f>Saisie!C50</f>
        <v>0</v>
      </c>
      <c r="D50" s="150">
        <f>Saisie!D50</f>
        <v>0</v>
      </c>
      <c r="E50" s="150">
        <f>Saisie!E50</f>
        <v>0</v>
      </c>
      <c r="F50" s="150">
        <f>Saisie!F50</f>
        <v>0</v>
      </c>
      <c r="G50" s="150">
        <f>Saisie!G50</f>
        <v>0</v>
      </c>
      <c r="H50" s="150">
        <f>Saisie!I50</f>
        <v>0</v>
      </c>
      <c r="I50" s="150">
        <f>Saisie!J50</f>
        <v>0</v>
      </c>
      <c r="J50" s="150">
        <f>Saisie!K50</f>
        <v>0</v>
      </c>
      <c r="K50" s="150">
        <f>Saisie!L50</f>
        <v>0</v>
      </c>
      <c r="L50" s="150" t="e">
        <f>Saisie!#REF!</f>
        <v>#REF!</v>
      </c>
      <c r="M50" s="55" t="e">
        <f t="array" ref="M50">_xlfn.IFS(Saisie!M50="OUI",1,Saisie!M50="NON",0)</f>
        <v>#N/A</v>
      </c>
      <c r="N50" s="64" t="e">
        <f>Saisie!#REF!</f>
        <v>#REF!</v>
      </c>
      <c r="O50" s="63" t="e">
        <f>Saisie!#REF!</f>
        <v>#REF!</v>
      </c>
      <c r="P50" s="63">
        <f>Saisie!N50</f>
        <v>0</v>
      </c>
      <c r="Q50" s="63" t="e">
        <f t="array" ref="Q50">_xlfn.IFS(Saisie!#REF!="OUI",1,Saisie!#REF!="NON",0)</f>
        <v>#REF!</v>
      </c>
      <c r="R50" s="63" t="e">
        <f>Saisie!#REF!</f>
        <v>#REF!</v>
      </c>
      <c r="S50" s="65" t="e">
        <f>Saisie!#REF!</f>
        <v>#REF!</v>
      </c>
      <c r="T50" s="63" t="e">
        <f>Saisie!#REF!</f>
        <v>#REF!</v>
      </c>
      <c r="U50" s="63" t="e">
        <f>Saisie!#REF!</f>
        <v>#REF!</v>
      </c>
      <c r="V50" s="63" t="e">
        <f t="array" ref="V50">_xlfn.IFS(Saisie!#REF!="OUI",1,Saisie!#REF!="NON",0)</f>
        <v>#REF!</v>
      </c>
      <c r="W50" s="63" t="e">
        <f t="array" ref="W50">_xlfn.IFS(Saisie!O50="OUI",1,Saisie!O50="NON",0)</f>
        <v>#N/A</v>
      </c>
      <c r="X50" s="63">
        <f>Saisie!P50</f>
        <v>0</v>
      </c>
      <c r="Y50" s="299">
        <f>Saisie!H50</f>
        <v>0</v>
      </c>
      <c r="Z50" s="58" t="e">
        <f>Saisie!#REF!</f>
        <v>#REF!</v>
      </c>
      <c r="AA50" s="299">
        <f>Saisie!Q50</f>
        <v>0</v>
      </c>
      <c r="AB50" s="63" t="e">
        <f t="array" ref="AB50">_xlfn.IFS(Saisie!R50="OUI",1,Saisie!R50="NON",0)</f>
        <v>#N/A</v>
      </c>
      <c r="AC50" s="63">
        <f>Saisie!S50</f>
        <v>0</v>
      </c>
      <c r="AD50" s="63" t="e">
        <f t="array" ref="AD50">_xlfn.IFS(Saisie!T50="OUI",1,Saisie!T50="NON",0)</f>
        <v>#N/A</v>
      </c>
      <c r="AE50" s="171">
        <f>Saisie!U50</f>
        <v>0</v>
      </c>
      <c r="AF50" s="263">
        <v>3</v>
      </c>
      <c r="AG50" s="129">
        <f>Saisie!W50</f>
        <v>0</v>
      </c>
      <c r="AH50" s="20">
        <f>Saisie!X50</f>
        <v>0</v>
      </c>
      <c r="AI50" s="21">
        <f>Saisie!Y50</f>
        <v>0</v>
      </c>
      <c r="AJ50" s="59">
        <f>Saisie!Z50</f>
        <v>0</v>
      </c>
      <c r="AK50" s="20">
        <f>Saisie!AA50</f>
        <v>0</v>
      </c>
      <c r="AL50" s="21">
        <f>Saisie!AB50</f>
        <v>0</v>
      </c>
      <c r="AM50" s="59">
        <f>Saisie!AC50</f>
        <v>0</v>
      </c>
      <c r="AN50" s="20">
        <f>Saisie!AD50</f>
        <v>0</v>
      </c>
      <c r="AO50" s="21">
        <f>Saisie!AE50</f>
        <v>0</v>
      </c>
      <c r="AP50" s="59">
        <f>Saisie!AF50</f>
        <v>0</v>
      </c>
      <c r="AQ50" s="129" t="e">
        <f t="array" ref="AQ50">_xlfn.IFS(Saisie!AG50="OUI",1,Saisie!AG50="NON",0)</f>
        <v>#N/A</v>
      </c>
      <c r="AR50" s="129" t="e">
        <f t="array" ref="AR50">_xlfn.IFS(Saisie!AH50="OUI",1,Saisie!AH50="NON",0)</f>
        <v>#N/A</v>
      </c>
      <c r="AS50" s="171">
        <f>Saisie!AI50</f>
        <v>0</v>
      </c>
      <c r="AT50" s="263" t="e">
        <f t="array" ref="AT50">_xlfn.IFS(Saisie!AJ50="OUI",1,Saisie!AJ50="NON",0)</f>
        <v>#N/A</v>
      </c>
      <c r="AU50" s="173">
        <f>Saisie!AK50</f>
        <v>0</v>
      </c>
      <c r="AV50" s="263" t="e">
        <f t="array" ref="AV50">_xlfn.IFS(Saisie!AL50="OUI",1,Saisie!AL50="NON",0)</f>
        <v>#N/A</v>
      </c>
      <c r="AW50" s="171">
        <f>Saisie!AM50</f>
        <v>0</v>
      </c>
      <c r="AX50" s="68">
        <f>Saisie!AN50</f>
        <v>0</v>
      </c>
      <c r="AY50" s="20">
        <f>Saisie!AO50</f>
        <v>0</v>
      </c>
      <c r="AZ50" s="21">
        <f>Saisie!AP50</f>
        <v>0</v>
      </c>
      <c r="BA50" s="298">
        <f>Saisie!AQ50</f>
        <v>0</v>
      </c>
      <c r="BB50" s="170">
        <f>Saisie!AR50</f>
        <v>0</v>
      </c>
      <c r="BC50" s="174">
        <f>Saisie!AS50</f>
        <v>0</v>
      </c>
      <c r="BD50" s="61">
        <f>Saisie!AT50</f>
        <v>0</v>
      </c>
      <c r="BE50" s="175" t="e">
        <f t="array" ref="BE50">_xlfn.IFS(Saisie!AU50="OUI",1,Saisie!AU50="NON",0)</f>
        <v>#N/A</v>
      </c>
      <c r="BF50" s="267">
        <f>Saisie!AV50</f>
        <v>0</v>
      </c>
      <c r="BG50" s="55">
        <f>Saisie!AW50</f>
        <v>0</v>
      </c>
      <c r="BH50" s="55" t="e">
        <f t="array" ref="BH50">_xlfn.IFS(Saisie!AX50="OUI",1,Saisie!AX50="NON",0)</f>
        <v>#N/A</v>
      </c>
      <c r="BI50" s="62">
        <f>Saisie!AY50</f>
        <v>0</v>
      </c>
      <c r="BJ50" s="55" t="e">
        <f t="array" ref="BJ50">_xlfn.IFS(Saisie!AZ50="OUI",1,Saisie!AZ50="NON",0)</f>
        <v>#N/A</v>
      </c>
      <c r="BK50" s="55" t="e">
        <f t="array" ref="BK50">_xlfn.IFS(Saisie!BA50="OUI",1,Saisie!BA50="NON",0)</f>
        <v>#N/A</v>
      </c>
      <c r="BL50" s="55">
        <f>Saisie!BB50</f>
        <v>0</v>
      </c>
      <c r="BM50" s="49" t="e">
        <f>Saisie!BC50</f>
        <v>#REF!</v>
      </c>
      <c r="BN50" s="175"/>
    </row>
    <row r="51" spans="1:66" s="176" customFormat="1" x14ac:dyDescent="0.45">
      <c r="A51" s="13">
        <v>45</v>
      </c>
      <c r="B51" s="150">
        <f>Saisie!B51</f>
        <v>0</v>
      </c>
      <c r="C51" s="150">
        <f>Saisie!C51</f>
        <v>0</v>
      </c>
      <c r="D51" s="150">
        <f>Saisie!D51</f>
        <v>0</v>
      </c>
      <c r="E51" s="150">
        <f>Saisie!E51</f>
        <v>0</v>
      </c>
      <c r="F51" s="150">
        <f>Saisie!F51</f>
        <v>0</v>
      </c>
      <c r="G51" s="150">
        <f>Saisie!G51</f>
        <v>0</v>
      </c>
      <c r="H51" s="150">
        <f>Saisie!I51</f>
        <v>0</v>
      </c>
      <c r="I51" s="150">
        <f>Saisie!J51</f>
        <v>0</v>
      </c>
      <c r="J51" s="150">
        <f>Saisie!K51</f>
        <v>0</v>
      </c>
      <c r="K51" s="150">
        <f>Saisie!L51</f>
        <v>0</v>
      </c>
      <c r="L51" s="150" t="e">
        <f>Saisie!#REF!</f>
        <v>#REF!</v>
      </c>
      <c r="M51" s="55" t="e">
        <f t="array" ref="M51">_xlfn.IFS(Saisie!M51="OUI",1,Saisie!M51="NON",0)</f>
        <v>#N/A</v>
      </c>
      <c r="N51" s="64" t="e">
        <f>Saisie!#REF!</f>
        <v>#REF!</v>
      </c>
      <c r="O51" s="63" t="e">
        <f>Saisie!#REF!</f>
        <v>#REF!</v>
      </c>
      <c r="P51" s="63">
        <f>Saisie!N51</f>
        <v>0</v>
      </c>
      <c r="Q51" s="63" t="e">
        <f t="array" ref="Q51">_xlfn.IFS(Saisie!#REF!="OUI",1,Saisie!#REF!="NON",0)</f>
        <v>#REF!</v>
      </c>
      <c r="R51" s="63" t="e">
        <f>Saisie!#REF!</f>
        <v>#REF!</v>
      </c>
      <c r="S51" s="65" t="e">
        <f>Saisie!#REF!</f>
        <v>#REF!</v>
      </c>
      <c r="T51" s="63" t="e">
        <f>Saisie!#REF!</f>
        <v>#REF!</v>
      </c>
      <c r="U51" s="63" t="e">
        <f>Saisie!#REF!</f>
        <v>#REF!</v>
      </c>
      <c r="V51" s="63" t="e">
        <f t="array" ref="V51">_xlfn.IFS(Saisie!#REF!="OUI",1,Saisie!#REF!="NON",0)</f>
        <v>#REF!</v>
      </c>
      <c r="W51" s="63" t="e">
        <f t="array" ref="W51">_xlfn.IFS(Saisie!O51="OUI",1,Saisie!O51="NON",0)</f>
        <v>#N/A</v>
      </c>
      <c r="X51" s="63">
        <f>Saisie!P51</f>
        <v>0</v>
      </c>
      <c r="Y51" s="299">
        <f>Saisie!H51</f>
        <v>0</v>
      </c>
      <c r="Z51" s="58" t="e">
        <f>Saisie!#REF!</f>
        <v>#REF!</v>
      </c>
      <c r="AA51" s="299">
        <f>Saisie!Q51</f>
        <v>0</v>
      </c>
      <c r="AB51" s="63" t="e">
        <f t="array" ref="AB51">_xlfn.IFS(Saisie!R51="OUI",1,Saisie!R51="NON",0)</f>
        <v>#N/A</v>
      </c>
      <c r="AC51" s="63">
        <f>Saisie!S51</f>
        <v>0</v>
      </c>
      <c r="AD51" s="63" t="e">
        <f t="array" ref="AD51">_xlfn.IFS(Saisie!T51="OUI",1,Saisie!T51="NON",0)</f>
        <v>#N/A</v>
      </c>
      <c r="AE51" s="171">
        <f>Saisie!U51</f>
        <v>0</v>
      </c>
      <c r="AF51" s="263">
        <v>3</v>
      </c>
      <c r="AG51" s="129">
        <f>Saisie!W51</f>
        <v>0</v>
      </c>
      <c r="AH51" s="20">
        <f>Saisie!X51</f>
        <v>0</v>
      </c>
      <c r="AI51" s="21">
        <f>Saisie!Y51</f>
        <v>0</v>
      </c>
      <c r="AJ51" s="59">
        <f>Saisie!Z51</f>
        <v>0</v>
      </c>
      <c r="AK51" s="20">
        <f>Saisie!AA51</f>
        <v>0</v>
      </c>
      <c r="AL51" s="21">
        <f>Saisie!AB51</f>
        <v>0</v>
      </c>
      <c r="AM51" s="59">
        <f>Saisie!AC51</f>
        <v>0</v>
      </c>
      <c r="AN51" s="20">
        <f>Saisie!AD51</f>
        <v>0</v>
      </c>
      <c r="AO51" s="21">
        <f>Saisie!AE51</f>
        <v>0</v>
      </c>
      <c r="AP51" s="59">
        <f>Saisie!AF51</f>
        <v>0</v>
      </c>
      <c r="AQ51" s="129" t="e">
        <f t="array" ref="AQ51">_xlfn.IFS(Saisie!AG51="OUI",1,Saisie!AG51="NON",0)</f>
        <v>#N/A</v>
      </c>
      <c r="AR51" s="129" t="e">
        <f t="array" ref="AR51">_xlfn.IFS(Saisie!AH51="OUI",1,Saisie!AH51="NON",0)</f>
        <v>#N/A</v>
      </c>
      <c r="AS51" s="171">
        <f>Saisie!AI51</f>
        <v>0</v>
      </c>
      <c r="AT51" s="263" t="e">
        <f t="array" ref="AT51">_xlfn.IFS(Saisie!AJ51="OUI",1,Saisie!AJ51="NON",0)</f>
        <v>#N/A</v>
      </c>
      <c r="AU51" s="173">
        <f>Saisie!AK51</f>
        <v>0</v>
      </c>
      <c r="AV51" s="263" t="e">
        <f t="array" ref="AV51">_xlfn.IFS(Saisie!AL51="OUI",1,Saisie!AL51="NON",0)</f>
        <v>#N/A</v>
      </c>
      <c r="AW51" s="171">
        <f>Saisie!AM51</f>
        <v>0</v>
      </c>
      <c r="AX51" s="68">
        <f>Saisie!AN51</f>
        <v>0</v>
      </c>
      <c r="AY51" s="20">
        <f>Saisie!AO51</f>
        <v>0</v>
      </c>
      <c r="AZ51" s="21">
        <f>Saisie!AP51</f>
        <v>0</v>
      </c>
      <c r="BA51" s="298">
        <f>Saisie!AQ51</f>
        <v>0</v>
      </c>
      <c r="BB51" s="170">
        <f>Saisie!AR51</f>
        <v>0</v>
      </c>
      <c r="BC51" s="174">
        <f>Saisie!AS51</f>
        <v>0</v>
      </c>
      <c r="BD51" s="61">
        <f>Saisie!AT51</f>
        <v>0</v>
      </c>
      <c r="BE51" s="175" t="e">
        <f t="array" ref="BE51">_xlfn.IFS(Saisie!AU51="OUI",1,Saisie!AU51="NON",0)</f>
        <v>#N/A</v>
      </c>
      <c r="BF51" s="267">
        <f>Saisie!AV51</f>
        <v>0</v>
      </c>
      <c r="BG51" s="55">
        <f>Saisie!AW51</f>
        <v>0</v>
      </c>
      <c r="BH51" s="55" t="e">
        <f t="array" ref="BH51">_xlfn.IFS(Saisie!AX51="OUI",1,Saisie!AX51="NON",0)</f>
        <v>#N/A</v>
      </c>
      <c r="BI51" s="62">
        <f>Saisie!AY51</f>
        <v>0</v>
      </c>
      <c r="BJ51" s="55" t="e">
        <f t="array" ref="BJ51">_xlfn.IFS(Saisie!AZ51="OUI",1,Saisie!AZ51="NON",0)</f>
        <v>#N/A</v>
      </c>
      <c r="BK51" s="55" t="e">
        <f t="array" ref="BK51">_xlfn.IFS(Saisie!BA51="OUI",1,Saisie!BA51="NON",0)</f>
        <v>#N/A</v>
      </c>
      <c r="BL51" s="55">
        <f>Saisie!BB51</f>
        <v>0</v>
      </c>
      <c r="BM51" s="49" t="e">
        <f>Saisie!BC51</f>
        <v>#REF!</v>
      </c>
      <c r="BN51" s="175"/>
    </row>
    <row r="52" spans="1:66" s="176" customFormat="1" x14ac:dyDescent="0.45">
      <c r="A52" s="12">
        <v>46</v>
      </c>
      <c r="B52" s="150">
        <f>Saisie!B52</f>
        <v>0</v>
      </c>
      <c r="C52" s="150">
        <f>Saisie!C52</f>
        <v>0</v>
      </c>
      <c r="D52" s="150">
        <f>Saisie!D52</f>
        <v>0</v>
      </c>
      <c r="E52" s="150">
        <f>Saisie!E52</f>
        <v>0</v>
      </c>
      <c r="F52" s="150">
        <f>Saisie!F52</f>
        <v>0</v>
      </c>
      <c r="G52" s="150">
        <f>Saisie!G52</f>
        <v>0</v>
      </c>
      <c r="H52" s="150">
        <f>Saisie!I52</f>
        <v>0</v>
      </c>
      <c r="I52" s="150">
        <f>Saisie!J52</f>
        <v>0</v>
      </c>
      <c r="J52" s="150">
        <f>Saisie!K52</f>
        <v>0</v>
      </c>
      <c r="K52" s="150">
        <f>Saisie!L52</f>
        <v>0</v>
      </c>
      <c r="L52" s="150" t="e">
        <f>Saisie!#REF!</f>
        <v>#REF!</v>
      </c>
      <c r="M52" s="55" t="e">
        <f t="array" ref="M52">_xlfn.IFS(Saisie!M52="OUI",1,Saisie!M52="NON",0)</f>
        <v>#N/A</v>
      </c>
      <c r="N52" s="64" t="e">
        <f>Saisie!#REF!</f>
        <v>#REF!</v>
      </c>
      <c r="O52" s="63" t="e">
        <f>Saisie!#REF!</f>
        <v>#REF!</v>
      </c>
      <c r="P52" s="63">
        <f>Saisie!N52</f>
        <v>0</v>
      </c>
      <c r="Q52" s="63" t="e">
        <f t="array" ref="Q52">_xlfn.IFS(Saisie!#REF!="OUI",1,Saisie!#REF!="NON",0)</f>
        <v>#REF!</v>
      </c>
      <c r="R52" s="63" t="e">
        <f>Saisie!#REF!</f>
        <v>#REF!</v>
      </c>
      <c r="S52" s="65" t="e">
        <f>Saisie!#REF!</f>
        <v>#REF!</v>
      </c>
      <c r="T52" s="63" t="e">
        <f>Saisie!#REF!</f>
        <v>#REF!</v>
      </c>
      <c r="U52" s="63" t="e">
        <f>Saisie!#REF!</f>
        <v>#REF!</v>
      </c>
      <c r="V52" s="63" t="e">
        <f t="array" ref="V52">_xlfn.IFS(Saisie!#REF!="OUI",1,Saisie!#REF!="NON",0)</f>
        <v>#REF!</v>
      </c>
      <c r="W52" s="63" t="e">
        <f t="array" ref="W52">_xlfn.IFS(Saisie!O52="OUI",1,Saisie!O52="NON",0)</f>
        <v>#N/A</v>
      </c>
      <c r="X52" s="63">
        <f>Saisie!P52</f>
        <v>0</v>
      </c>
      <c r="Y52" s="299">
        <f>Saisie!H52</f>
        <v>0</v>
      </c>
      <c r="Z52" s="58" t="e">
        <f>Saisie!#REF!</f>
        <v>#REF!</v>
      </c>
      <c r="AA52" s="299">
        <f>Saisie!Q52</f>
        <v>0</v>
      </c>
      <c r="AB52" s="63" t="e">
        <f t="array" ref="AB52">_xlfn.IFS(Saisie!R52="OUI",1,Saisie!R52="NON",0)</f>
        <v>#N/A</v>
      </c>
      <c r="AC52" s="63">
        <f>Saisie!S52</f>
        <v>0</v>
      </c>
      <c r="AD52" s="63" t="e">
        <f t="array" ref="AD52">_xlfn.IFS(Saisie!T52="OUI",1,Saisie!T52="NON",0)</f>
        <v>#N/A</v>
      </c>
      <c r="AE52" s="171">
        <f>Saisie!U52</f>
        <v>0</v>
      </c>
      <c r="AF52" s="263">
        <v>3</v>
      </c>
      <c r="AG52" s="129">
        <f>Saisie!W52</f>
        <v>0</v>
      </c>
      <c r="AH52" s="20">
        <f>Saisie!X52</f>
        <v>0</v>
      </c>
      <c r="AI52" s="21">
        <f>Saisie!Y52</f>
        <v>0</v>
      </c>
      <c r="AJ52" s="59">
        <f>Saisie!Z52</f>
        <v>0</v>
      </c>
      <c r="AK52" s="20">
        <f>Saisie!AA52</f>
        <v>0</v>
      </c>
      <c r="AL52" s="21">
        <f>Saisie!AB52</f>
        <v>0</v>
      </c>
      <c r="AM52" s="59">
        <f>Saisie!AC52</f>
        <v>0</v>
      </c>
      <c r="AN52" s="20">
        <f>Saisie!AD52</f>
        <v>0</v>
      </c>
      <c r="AO52" s="21">
        <f>Saisie!AE52</f>
        <v>0</v>
      </c>
      <c r="AP52" s="59">
        <f>Saisie!AF52</f>
        <v>0</v>
      </c>
      <c r="AQ52" s="129" t="e">
        <f t="array" ref="AQ52">_xlfn.IFS(Saisie!AG52="OUI",1,Saisie!AG52="NON",0)</f>
        <v>#N/A</v>
      </c>
      <c r="AR52" s="129" t="e">
        <f t="array" ref="AR52">_xlfn.IFS(Saisie!AH52="OUI",1,Saisie!AH52="NON",0)</f>
        <v>#N/A</v>
      </c>
      <c r="AS52" s="171">
        <f>Saisie!AI52</f>
        <v>0</v>
      </c>
      <c r="AT52" s="263" t="e">
        <f t="array" ref="AT52">_xlfn.IFS(Saisie!AJ52="OUI",1,Saisie!AJ52="NON",0)</f>
        <v>#N/A</v>
      </c>
      <c r="AU52" s="173">
        <f>Saisie!AK52</f>
        <v>0</v>
      </c>
      <c r="AV52" s="263" t="e">
        <f t="array" ref="AV52">_xlfn.IFS(Saisie!AL52="OUI",1,Saisie!AL52="NON",0)</f>
        <v>#N/A</v>
      </c>
      <c r="AW52" s="171">
        <f>Saisie!AM52</f>
        <v>0</v>
      </c>
      <c r="AX52" s="68">
        <f>Saisie!AN52</f>
        <v>0</v>
      </c>
      <c r="AY52" s="20">
        <f>Saisie!AO52</f>
        <v>0</v>
      </c>
      <c r="AZ52" s="21">
        <f>Saisie!AP52</f>
        <v>0</v>
      </c>
      <c r="BA52" s="298">
        <f>Saisie!AQ52</f>
        <v>0</v>
      </c>
      <c r="BB52" s="170">
        <f>Saisie!AR52</f>
        <v>0</v>
      </c>
      <c r="BC52" s="174">
        <f>Saisie!AS52</f>
        <v>0</v>
      </c>
      <c r="BD52" s="61">
        <f>Saisie!AT52</f>
        <v>0</v>
      </c>
      <c r="BE52" s="175" t="e">
        <f t="array" ref="BE52">_xlfn.IFS(Saisie!AU52="OUI",1,Saisie!AU52="NON",0)</f>
        <v>#N/A</v>
      </c>
      <c r="BF52" s="267">
        <f>Saisie!AV52</f>
        <v>0</v>
      </c>
      <c r="BG52" s="55">
        <f>Saisie!AW52</f>
        <v>0</v>
      </c>
      <c r="BH52" s="55" t="e">
        <f t="array" ref="BH52">_xlfn.IFS(Saisie!AX52="OUI",1,Saisie!AX52="NON",0)</f>
        <v>#N/A</v>
      </c>
      <c r="BI52" s="62">
        <f>Saisie!AY52</f>
        <v>0</v>
      </c>
      <c r="BJ52" s="55" t="e">
        <f t="array" ref="BJ52">_xlfn.IFS(Saisie!AZ52="OUI",1,Saisie!AZ52="NON",0)</f>
        <v>#N/A</v>
      </c>
      <c r="BK52" s="55" t="e">
        <f t="array" ref="BK52">_xlfn.IFS(Saisie!BA52="OUI",1,Saisie!BA52="NON",0)</f>
        <v>#N/A</v>
      </c>
      <c r="BL52" s="55">
        <f>Saisie!BB52</f>
        <v>0</v>
      </c>
      <c r="BM52" s="49" t="e">
        <f>Saisie!BC52</f>
        <v>#REF!</v>
      </c>
      <c r="BN52" s="175"/>
    </row>
    <row r="53" spans="1:66" s="176" customFormat="1" x14ac:dyDescent="0.45">
      <c r="A53" s="13">
        <v>47</v>
      </c>
      <c r="B53" s="150">
        <f>Saisie!B53</f>
        <v>0</v>
      </c>
      <c r="C53" s="150">
        <f>Saisie!C53</f>
        <v>0</v>
      </c>
      <c r="D53" s="150">
        <f>Saisie!D53</f>
        <v>0</v>
      </c>
      <c r="E53" s="150">
        <f>Saisie!E53</f>
        <v>0</v>
      </c>
      <c r="F53" s="150">
        <f>Saisie!F53</f>
        <v>0</v>
      </c>
      <c r="G53" s="150">
        <f>Saisie!G53</f>
        <v>0</v>
      </c>
      <c r="H53" s="150">
        <f>Saisie!I53</f>
        <v>0</v>
      </c>
      <c r="I53" s="150">
        <f>Saisie!J53</f>
        <v>0</v>
      </c>
      <c r="J53" s="150">
        <f>Saisie!K53</f>
        <v>0</v>
      </c>
      <c r="K53" s="150">
        <f>Saisie!L53</f>
        <v>0</v>
      </c>
      <c r="L53" s="150" t="e">
        <f>Saisie!#REF!</f>
        <v>#REF!</v>
      </c>
      <c r="M53" s="55" t="e">
        <f t="array" ref="M53">_xlfn.IFS(Saisie!M53="OUI",1,Saisie!M53="NON",0)</f>
        <v>#N/A</v>
      </c>
      <c r="N53" s="64" t="e">
        <f>Saisie!#REF!</f>
        <v>#REF!</v>
      </c>
      <c r="O53" s="63" t="e">
        <f>Saisie!#REF!</f>
        <v>#REF!</v>
      </c>
      <c r="P53" s="63">
        <f>Saisie!N53</f>
        <v>0</v>
      </c>
      <c r="Q53" s="63" t="e">
        <f t="array" ref="Q53">_xlfn.IFS(Saisie!#REF!="OUI",1,Saisie!#REF!="NON",0)</f>
        <v>#REF!</v>
      </c>
      <c r="R53" s="63" t="e">
        <f>Saisie!#REF!</f>
        <v>#REF!</v>
      </c>
      <c r="S53" s="65" t="e">
        <f>Saisie!#REF!</f>
        <v>#REF!</v>
      </c>
      <c r="T53" s="63" t="e">
        <f>Saisie!#REF!</f>
        <v>#REF!</v>
      </c>
      <c r="U53" s="63" t="e">
        <f>Saisie!#REF!</f>
        <v>#REF!</v>
      </c>
      <c r="V53" s="63" t="e">
        <f t="array" ref="V53">_xlfn.IFS(Saisie!#REF!="OUI",1,Saisie!#REF!="NON",0)</f>
        <v>#REF!</v>
      </c>
      <c r="W53" s="63" t="e">
        <f t="array" ref="W53">_xlfn.IFS(Saisie!O53="OUI",1,Saisie!O53="NON",0)</f>
        <v>#N/A</v>
      </c>
      <c r="X53" s="63">
        <f>Saisie!P53</f>
        <v>0</v>
      </c>
      <c r="Y53" s="299">
        <f>Saisie!H53</f>
        <v>0</v>
      </c>
      <c r="Z53" s="58" t="e">
        <f>Saisie!#REF!</f>
        <v>#REF!</v>
      </c>
      <c r="AA53" s="299">
        <f>Saisie!Q53</f>
        <v>0</v>
      </c>
      <c r="AB53" s="63" t="e">
        <f t="array" ref="AB53">_xlfn.IFS(Saisie!R53="OUI",1,Saisie!R53="NON",0)</f>
        <v>#N/A</v>
      </c>
      <c r="AC53" s="63">
        <f>Saisie!S53</f>
        <v>0</v>
      </c>
      <c r="AD53" s="63" t="e">
        <f t="array" ref="AD53">_xlfn.IFS(Saisie!T53="OUI",1,Saisie!T53="NON",0)</f>
        <v>#N/A</v>
      </c>
      <c r="AE53" s="171">
        <f>Saisie!U53</f>
        <v>0</v>
      </c>
      <c r="AF53" s="263">
        <v>3</v>
      </c>
      <c r="AG53" s="129">
        <f>Saisie!W53</f>
        <v>0</v>
      </c>
      <c r="AH53" s="20">
        <f>Saisie!X53</f>
        <v>0</v>
      </c>
      <c r="AI53" s="21">
        <f>Saisie!Y53</f>
        <v>0</v>
      </c>
      <c r="AJ53" s="59">
        <f>Saisie!Z53</f>
        <v>0</v>
      </c>
      <c r="AK53" s="20">
        <f>Saisie!AA53</f>
        <v>0</v>
      </c>
      <c r="AL53" s="21">
        <f>Saisie!AB53</f>
        <v>0</v>
      </c>
      <c r="AM53" s="59">
        <f>Saisie!AC53</f>
        <v>0</v>
      </c>
      <c r="AN53" s="20">
        <f>Saisie!AD53</f>
        <v>0</v>
      </c>
      <c r="AO53" s="21">
        <f>Saisie!AE53</f>
        <v>0</v>
      </c>
      <c r="AP53" s="59">
        <f>Saisie!AF53</f>
        <v>0</v>
      </c>
      <c r="AQ53" s="129" t="e">
        <f t="array" ref="AQ53">_xlfn.IFS(Saisie!AG53="OUI",1,Saisie!AG53="NON",0)</f>
        <v>#N/A</v>
      </c>
      <c r="AR53" s="129" t="e">
        <f t="array" ref="AR53">_xlfn.IFS(Saisie!AH53="OUI",1,Saisie!AH53="NON",0)</f>
        <v>#N/A</v>
      </c>
      <c r="AS53" s="171">
        <f>Saisie!AI53</f>
        <v>0</v>
      </c>
      <c r="AT53" s="263" t="e">
        <f t="array" ref="AT53">_xlfn.IFS(Saisie!AJ53="OUI",1,Saisie!AJ53="NON",0)</f>
        <v>#N/A</v>
      </c>
      <c r="AU53" s="173">
        <f>Saisie!AK53</f>
        <v>0</v>
      </c>
      <c r="AV53" s="263" t="e">
        <f t="array" ref="AV53">_xlfn.IFS(Saisie!AL53="OUI",1,Saisie!AL53="NON",0)</f>
        <v>#N/A</v>
      </c>
      <c r="AW53" s="171">
        <f>Saisie!AM53</f>
        <v>0</v>
      </c>
      <c r="AX53" s="68">
        <f>Saisie!AN53</f>
        <v>0</v>
      </c>
      <c r="AY53" s="20">
        <f>Saisie!AO53</f>
        <v>0</v>
      </c>
      <c r="AZ53" s="21">
        <f>Saisie!AP53</f>
        <v>0</v>
      </c>
      <c r="BA53" s="298">
        <f>Saisie!AQ53</f>
        <v>0</v>
      </c>
      <c r="BB53" s="170">
        <f>Saisie!AR53</f>
        <v>0</v>
      </c>
      <c r="BC53" s="174">
        <f>Saisie!AS53</f>
        <v>0</v>
      </c>
      <c r="BD53" s="61">
        <f>Saisie!AT53</f>
        <v>0</v>
      </c>
      <c r="BE53" s="175" t="e">
        <f t="array" ref="BE53">_xlfn.IFS(Saisie!AU53="OUI",1,Saisie!AU53="NON",0)</f>
        <v>#N/A</v>
      </c>
      <c r="BF53" s="267">
        <f>Saisie!AV53</f>
        <v>0</v>
      </c>
      <c r="BG53" s="55">
        <f>Saisie!AW53</f>
        <v>0</v>
      </c>
      <c r="BH53" s="55" t="e">
        <f t="array" ref="BH53">_xlfn.IFS(Saisie!AX53="OUI",1,Saisie!AX53="NON",0)</f>
        <v>#N/A</v>
      </c>
      <c r="BI53" s="62">
        <f>Saisie!AY53</f>
        <v>0</v>
      </c>
      <c r="BJ53" s="55" t="e">
        <f t="array" ref="BJ53">_xlfn.IFS(Saisie!AZ53="OUI",1,Saisie!AZ53="NON",0)</f>
        <v>#N/A</v>
      </c>
      <c r="BK53" s="55" t="e">
        <f t="array" ref="BK53">_xlfn.IFS(Saisie!BA53="OUI",1,Saisie!BA53="NON",0)</f>
        <v>#N/A</v>
      </c>
      <c r="BL53" s="55">
        <f>Saisie!BB53</f>
        <v>0</v>
      </c>
      <c r="BM53" s="49" t="e">
        <f>Saisie!BC53</f>
        <v>#REF!</v>
      </c>
      <c r="BN53" s="175"/>
    </row>
    <row r="54" spans="1:66" s="176" customFormat="1" x14ac:dyDescent="0.45">
      <c r="A54" s="13">
        <v>48</v>
      </c>
      <c r="B54" s="150">
        <f>Saisie!B54</f>
        <v>0</v>
      </c>
      <c r="C54" s="150">
        <f>Saisie!C54</f>
        <v>0</v>
      </c>
      <c r="D54" s="150">
        <f>Saisie!D54</f>
        <v>0</v>
      </c>
      <c r="E54" s="150">
        <f>Saisie!E54</f>
        <v>0</v>
      </c>
      <c r="F54" s="150">
        <f>Saisie!F54</f>
        <v>0</v>
      </c>
      <c r="G54" s="150">
        <f>Saisie!G54</f>
        <v>0</v>
      </c>
      <c r="H54" s="150">
        <f>Saisie!I54</f>
        <v>0</v>
      </c>
      <c r="I54" s="150">
        <f>Saisie!J54</f>
        <v>0</v>
      </c>
      <c r="J54" s="150">
        <f>Saisie!K54</f>
        <v>0</v>
      </c>
      <c r="K54" s="150">
        <f>Saisie!L54</f>
        <v>0</v>
      </c>
      <c r="L54" s="150" t="e">
        <f>Saisie!#REF!</f>
        <v>#REF!</v>
      </c>
      <c r="M54" s="55" t="e">
        <f t="array" ref="M54">_xlfn.IFS(Saisie!M54="OUI",1,Saisie!M54="NON",0)</f>
        <v>#N/A</v>
      </c>
      <c r="N54" s="64" t="e">
        <f>Saisie!#REF!</f>
        <v>#REF!</v>
      </c>
      <c r="O54" s="63" t="e">
        <f>Saisie!#REF!</f>
        <v>#REF!</v>
      </c>
      <c r="P54" s="63">
        <f>Saisie!N54</f>
        <v>0</v>
      </c>
      <c r="Q54" s="63" t="e">
        <f t="array" ref="Q54">_xlfn.IFS(Saisie!#REF!="OUI",1,Saisie!#REF!="NON",0)</f>
        <v>#REF!</v>
      </c>
      <c r="R54" s="63" t="e">
        <f>Saisie!#REF!</f>
        <v>#REF!</v>
      </c>
      <c r="S54" s="65" t="e">
        <f>Saisie!#REF!</f>
        <v>#REF!</v>
      </c>
      <c r="T54" s="63" t="e">
        <f>Saisie!#REF!</f>
        <v>#REF!</v>
      </c>
      <c r="U54" s="63" t="e">
        <f>Saisie!#REF!</f>
        <v>#REF!</v>
      </c>
      <c r="V54" s="63" t="e">
        <f t="array" ref="V54">_xlfn.IFS(Saisie!#REF!="OUI",1,Saisie!#REF!="NON",0)</f>
        <v>#REF!</v>
      </c>
      <c r="W54" s="63" t="e">
        <f t="array" ref="W54">_xlfn.IFS(Saisie!O54="OUI",1,Saisie!O54="NON",0)</f>
        <v>#N/A</v>
      </c>
      <c r="X54" s="63">
        <f>Saisie!P54</f>
        <v>0</v>
      </c>
      <c r="Y54" s="299">
        <f>Saisie!H54</f>
        <v>0</v>
      </c>
      <c r="Z54" s="58" t="e">
        <f>Saisie!#REF!</f>
        <v>#REF!</v>
      </c>
      <c r="AA54" s="299">
        <f>Saisie!Q54</f>
        <v>0</v>
      </c>
      <c r="AB54" s="63" t="e">
        <f t="array" ref="AB54">_xlfn.IFS(Saisie!R54="OUI",1,Saisie!R54="NON",0)</f>
        <v>#N/A</v>
      </c>
      <c r="AC54" s="63">
        <f>Saisie!S54</f>
        <v>0</v>
      </c>
      <c r="AD54" s="63" t="e">
        <f t="array" ref="AD54">_xlfn.IFS(Saisie!T54="OUI",1,Saisie!T54="NON",0)</f>
        <v>#N/A</v>
      </c>
      <c r="AE54" s="171">
        <f>Saisie!U54</f>
        <v>0</v>
      </c>
      <c r="AF54" s="263">
        <v>3</v>
      </c>
      <c r="AG54" s="129">
        <f>Saisie!W54</f>
        <v>0</v>
      </c>
      <c r="AH54" s="20">
        <f>Saisie!X54</f>
        <v>0</v>
      </c>
      <c r="AI54" s="21">
        <f>Saisie!Y54</f>
        <v>0</v>
      </c>
      <c r="AJ54" s="59">
        <f>Saisie!Z54</f>
        <v>0</v>
      </c>
      <c r="AK54" s="20">
        <f>Saisie!AA54</f>
        <v>0</v>
      </c>
      <c r="AL54" s="21">
        <f>Saisie!AB54</f>
        <v>0</v>
      </c>
      <c r="AM54" s="59">
        <f>Saisie!AC54</f>
        <v>0</v>
      </c>
      <c r="AN54" s="20">
        <f>Saisie!AD54</f>
        <v>0</v>
      </c>
      <c r="AO54" s="21">
        <f>Saisie!AE54</f>
        <v>0</v>
      </c>
      <c r="AP54" s="59">
        <f>Saisie!AF54</f>
        <v>0</v>
      </c>
      <c r="AQ54" s="129" t="e">
        <f t="array" ref="AQ54">_xlfn.IFS(Saisie!AG54="OUI",1,Saisie!AG54="NON",0)</f>
        <v>#N/A</v>
      </c>
      <c r="AR54" s="129" t="e">
        <f t="array" ref="AR54">_xlfn.IFS(Saisie!AH54="OUI",1,Saisie!AH54="NON",0)</f>
        <v>#N/A</v>
      </c>
      <c r="AS54" s="171">
        <f>Saisie!AI54</f>
        <v>0</v>
      </c>
      <c r="AT54" s="263" t="e">
        <f t="array" ref="AT54">_xlfn.IFS(Saisie!AJ54="OUI",1,Saisie!AJ54="NON",0)</f>
        <v>#N/A</v>
      </c>
      <c r="AU54" s="173">
        <f>Saisie!AK54</f>
        <v>0</v>
      </c>
      <c r="AV54" s="263" t="e">
        <f t="array" ref="AV54">_xlfn.IFS(Saisie!AL54="OUI",1,Saisie!AL54="NON",0)</f>
        <v>#N/A</v>
      </c>
      <c r="AW54" s="171">
        <f>Saisie!AM54</f>
        <v>0</v>
      </c>
      <c r="AX54" s="68">
        <f>Saisie!AN54</f>
        <v>0</v>
      </c>
      <c r="AY54" s="20">
        <f>Saisie!AO54</f>
        <v>0</v>
      </c>
      <c r="AZ54" s="21">
        <f>Saisie!AP54</f>
        <v>0</v>
      </c>
      <c r="BA54" s="298">
        <f>Saisie!AQ54</f>
        <v>0</v>
      </c>
      <c r="BB54" s="170">
        <f>Saisie!AR54</f>
        <v>0</v>
      </c>
      <c r="BC54" s="174">
        <f>Saisie!AS54</f>
        <v>0</v>
      </c>
      <c r="BD54" s="61">
        <f>Saisie!AT54</f>
        <v>0</v>
      </c>
      <c r="BE54" s="175" t="e">
        <f t="array" ref="BE54">_xlfn.IFS(Saisie!AU54="OUI",1,Saisie!AU54="NON",0)</f>
        <v>#N/A</v>
      </c>
      <c r="BF54" s="267">
        <f>Saisie!AV54</f>
        <v>0</v>
      </c>
      <c r="BG54" s="55">
        <f>Saisie!AW54</f>
        <v>0</v>
      </c>
      <c r="BH54" s="55" t="e">
        <f t="array" ref="BH54">_xlfn.IFS(Saisie!AX54="OUI",1,Saisie!AX54="NON",0)</f>
        <v>#N/A</v>
      </c>
      <c r="BI54" s="62">
        <f>Saisie!AY54</f>
        <v>0</v>
      </c>
      <c r="BJ54" s="55" t="e">
        <f t="array" ref="BJ54">_xlfn.IFS(Saisie!AZ54="OUI",1,Saisie!AZ54="NON",0)</f>
        <v>#N/A</v>
      </c>
      <c r="BK54" s="55" t="e">
        <f t="array" ref="BK54">_xlfn.IFS(Saisie!BA54="OUI",1,Saisie!BA54="NON",0)</f>
        <v>#N/A</v>
      </c>
      <c r="BL54" s="55">
        <f>Saisie!BB54</f>
        <v>0</v>
      </c>
      <c r="BM54" s="49" t="e">
        <f>Saisie!BC54</f>
        <v>#REF!</v>
      </c>
      <c r="BN54" s="175"/>
    </row>
    <row r="55" spans="1:66" s="176" customFormat="1" x14ac:dyDescent="0.45">
      <c r="A55" s="12">
        <v>49</v>
      </c>
      <c r="B55" s="150">
        <f>Saisie!B55</f>
        <v>0</v>
      </c>
      <c r="C55" s="150">
        <f>Saisie!C55</f>
        <v>0</v>
      </c>
      <c r="D55" s="150">
        <f>Saisie!D55</f>
        <v>0</v>
      </c>
      <c r="E55" s="150">
        <f>Saisie!E55</f>
        <v>0</v>
      </c>
      <c r="F55" s="150">
        <f>Saisie!F55</f>
        <v>0</v>
      </c>
      <c r="G55" s="150">
        <f>Saisie!G55</f>
        <v>0</v>
      </c>
      <c r="H55" s="150">
        <f>Saisie!I55</f>
        <v>0</v>
      </c>
      <c r="I55" s="150">
        <f>Saisie!J55</f>
        <v>0</v>
      </c>
      <c r="J55" s="150">
        <f>Saisie!K55</f>
        <v>0</v>
      </c>
      <c r="K55" s="150">
        <f>Saisie!L55</f>
        <v>0</v>
      </c>
      <c r="L55" s="150" t="e">
        <f>Saisie!#REF!</f>
        <v>#REF!</v>
      </c>
      <c r="M55" s="55" t="e">
        <f t="array" ref="M55">_xlfn.IFS(Saisie!M55="OUI",1,Saisie!M55="NON",0)</f>
        <v>#N/A</v>
      </c>
      <c r="N55" s="64" t="e">
        <f>Saisie!#REF!</f>
        <v>#REF!</v>
      </c>
      <c r="O55" s="63" t="e">
        <f>Saisie!#REF!</f>
        <v>#REF!</v>
      </c>
      <c r="P55" s="63">
        <f>Saisie!N55</f>
        <v>0</v>
      </c>
      <c r="Q55" s="63" t="e">
        <f t="array" ref="Q55">_xlfn.IFS(Saisie!#REF!="OUI",1,Saisie!#REF!="NON",0)</f>
        <v>#REF!</v>
      </c>
      <c r="R55" s="63" t="e">
        <f>Saisie!#REF!</f>
        <v>#REF!</v>
      </c>
      <c r="S55" s="65" t="e">
        <f>Saisie!#REF!</f>
        <v>#REF!</v>
      </c>
      <c r="T55" s="63" t="e">
        <f>Saisie!#REF!</f>
        <v>#REF!</v>
      </c>
      <c r="U55" s="63" t="e">
        <f>Saisie!#REF!</f>
        <v>#REF!</v>
      </c>
      <c r="V55" s="63" t="e">
        <f t="array" ref="V55">_xlfn.IFS(Saisie!#REF!="OUI",1,Saisie!#REF!="NON",0)</f>
        <v>#REF!</v>
      </c>
      <c r="W55" s="63" t="e">
        <f t="array" ref="W55">_xlfn.IFS(Saisie!O55="OUI",1,Saisie!O55="NON",0)</f>
        <v>#N/A</v>
      </c>
      <c r="X55" s="63">
        <f>Saisie!P55</f>
        <v>0</v>
      </c>
      <c r="Y55" s="299">
        <f>Saisie!H55</f>
        <v>0</v>
      </c>
      <c r="Z55" s="58" t="e">
        <f>Saisie!#REF!</f>
        <v>#REF!</v>
      </c>
      <c r="AA55" s="299">
        <f>Saisie!Q55</f>
        <v>0</v>
      </c>
      <c r="AB55" s="63" t="e">
        <f t="array" ref="AB55">_xlfn.IFS(Saisie!R55="OUI",1,Saisie!R55="NON",0)</f>
        <v>#N/A</v>
      </c>
      <c r="AC55" s="63">
        <f>Saisie!S55</f>
        <v>0</v>
      </c>
      <c r="AD55" s="63" t="e">
        <f t="array" ref="AD55">_xlfn.IFS(Saisie!T55="OUI",1,Saisie!T55="NON",0)</f>
        <v>#N/A</v>
      </c>
      <c r="AE55" s="171">
        <f>Saisie!U55</f>
        <v>0</v>
      </c>
      <c r="AF55" s="263">
        <v>3</v>
      </c>
      <c r="AG55" s="129">
        <f>Saisie!W55</f>
        <v>0</v>
      </c>
      <c r="AH55" s="20">
        <f>Saisie!X55</f>
        <v>0</v>
      </c>
      <c r="AI55" s="21">
        <f>Saisie!Y55</f>
        <v>0</v>
      </c>
      <c r="AJ55" s="59">
        <f>Saisie!Z55</f>
        <v>0</v>
      </c>
      <c r="AK55" s="20">
        <f>Saisie!AA55</f>
        <v>0</v>
      </c>
      <c r="AL55" s="21">
        <f>Saisie!AB55</f>
        <v>0</v>
      </c>
      <c r="AM55" s="59">
        <f>Saisie!AC55</f>
        <v>0</v>
      </c>
      <c r="AN55" s="20">
        <f>Saisie!AD55</f>
        <v>0</v>
      </c>
      <c r="AO55" s="21">
        <f>Saisie!AE55</f>
        <v>0</v>
      </c>
      <c r="AP55" s="59">
        <f>Saisie!AF55</f>
        <v>0</v>
      </c>
      <c r="AQ55" s="129" t="e">
        <f t="array" ref="AQ55">_xlfn.IFS(Saisie!AG55="OUI",1,Saisie!AG55="NON",0)</f>
        <v>#N/A</v>
      </c>
      <c r="AR55" s="129" t="e">
        <f t="array" ref="AR55">_xlfn.IFS(Saisie!AH55="OUI",1,Saisie!AH55="NON",0)</f>
        <v>#N/A</v>
      </c>
      <c r="AS55" s="171">
        <f>Saisie!AI55</f>
        <v>0</v>
      </c>
      <c r="AT55" s="263" t="e">
        <f t="array" ref="AT55">_xlfn.IFS(Saisie!AJ55="OUI",1,Saisie!AJ55="NON",0)</f>
        <v>#N/A</v>
      </c>
      <c r="AU55" s="173">
        <f>Saisie!AK55</f>
        <v>0</v>
      </c>
      <c r="AV55" s="263" t="e">
        <f t="array" ref="AV55">_xlfn.IFS(Saisie!AL55="OUI",1,Saisie!AL55="NON",0)</f>
        <v>#N/A</v>
      </c>
      <c r="AW55" s="171">
        <f>Saisie!AM55</f>
        <v>0</v>
      </c>
      <c r="AX55" s="68">
        <f>Saisie!AN55</f>
        <v>0</v>
      </c>
      <c r="AY55" s="20">
        <f>Saisie!AO55</f>
        <v>0</v>
      </c>
      <c r="AZ55" s="21">
        <f>Saisie!AP55</f>
        <v>0</v>
      </c>
      <c r="BA55" s="298">
        <f>Saisie!AQ55</f>
        <v>0</v>
      </c>
      <c r="BB55" s="170">
        <f>Saisie!AR55</f>
        <v>0</v>
      </c>
      <c r="BC55" s="174">
        <f>Saisie!AS55</f>
        <v>0</v>
      </c>
      <c r="BD55" s="61">
        <f>Saisie!AT55</f>
        <v>0</v>
      </c>
      <c r="BE55" s="175" t="e">
        <f t="array" ref="BE55">_xlfn.IFS(Saisie!AU55="OUI",1,Saisie!AU55="NON",0)</f>
        <v>#N/A</v>
      </c>
      <c r="BF55" s="267">
        <f>Saisie!AV55</f>
        <v>0</v>
      </c>
      <c r="BG55" s="55">
        <f>Saisie!AW55</f>
        <v>0</v>
      </c>
      <c r="BH55" s="55" t="e">
        <f t="array" ref="BH55">_xlfn.IFS(Saisie!AX55="OUI",1,Saisie!AX55="NON",0)</f>
        <v>#N/A</v>
      </c>
      <c r="BI55" s="62">
        <f>Saisie!AY55</f>
        <v>0</v>
      </c>
      <c r="BJ55" s="55" t="e">
        <f t="array" ref="BJ55">_xlfn.IFS(Saisie!AZ55="OUI",1,Saisie!AZ55="NON",0)</f>
        <v>#N/A</v>
      </c>
      <c r="BK55" s="55" t="e">
        <f t="array" ref="BK55">_xlfn.IFS(Saisie!BA55="OUI",1,Saisie!BA55="NON",0)</f>
        <v>#N/A</v>
      </c>
      <c r="BL55" s="55">
        <f>Saisie!BB55</f>
        <v>0</v>
      </c>
      <c r="BM55" s="49" t="e">
        <f>Saisie!BC55</f>
        <v>#REF!</v>
      </c>
      <c r="BN55" s="175"/>
    </row>
    <row r="56" spans="1:66" s="176" customFormat="1" x14ac:dyDescent="0.45">
      <c r="A56" s="13">
        <v>50</v>
      </c>
      <c r="B56" s="150">
        <f>Saisie!B56</f>
        <v>0</v>
      </c>
      <c r="C56" s="150">
        <f>Saisie!C56</f>
        <v>0</v>
      </c>
      <c r="D56" s="150">
        <f>Saisie!D56</f>
        <v>0</v>
      </c>
      <c r="E56" s="150">
        <f>Saisie!E56</f>
        <v>0</v>
      </c>
      <c r="F56" s="150">
        <f>Saisie!F56</f>
        <v>0</v>
      </c>
      <c r="G56" s="150">
        <f>Saisie!G56</f>
        <v>0</v>
      </c>
      <c r="H56" s="150">
        <f>Saisie!I56</f>
        <v>0</v>
      </c>
      <c r="I56" s="150">
        <f>Saisie!J56</f>
        <v>0</v>
      </c>
      <c r="J56" s="150">
        <f>Saisie!K56</f>
        <v>0</v>
      </c>
      <c r="K56" s="150">
        <f>Saisie!L56</f>
        <v>0</v>
      </c>
      <c r="L56" s="150" t="e">
        <f>Saisie!#REF!</f>
        <v>#REF!</v>
      </c>
      <c r="M56" s="55" t="e">
        <f t="array" ref="M56">_xlfn.IFS(Saisie!M56="OUI",1,Saisie!M56="NON",0)</f>
        <v>#N/A</v>
      </c>
      <c r="N56" s="64" t="e">
        <f>Saisie!#REF!</f>
        <v>#REF!</v>
      </c>
      <c r="O56" s="63" t="e">
        <f>Saisie!#REF!</f>
        <v>#REF!</v>
      </c>
      <c r="P56" s="63">
        <f>Saisie!N56</f>
        <v>0</v>
      </c>
      <c r="Q56" s="63" t="e">
        <f t="array" ref="Q56">_xlfn.IFS(Saisie!#REF!="OUI",1,Saisie!#REF!="NON",0)</f>
        <v>#REF!</v>
      </c>
      <c r="R56" s="63" t="e">
        <f>Saisie!#REF!</f>
        <v>#REF!</v>
      </c>
      <c r="S56" s="65" t="e">
        <f>Saisie!#REF!</f>
        <v>#REF!</v>
      </c>
      <c r="T56" s="63" t="e">
        <f>Saisie!#REF!</f>
        <v>#REF!</v>
      </c>
      <c r="U56" s="63" t="e">
        <f>Saisie!#REF!</f>
        <v>#REF!</v>
      </c>
      <c r="V56" s="63" t="e">
        <f t="array" ref="V56">_xlfn.IFS(Saisie!#REF!="OUI",1,Saisie!#REF!="NON",0)</f>
        <v>#REF!</v>
      </c>
      <c r="W56" s="63" t="e">
        <f t="array" ref="W56">_xlfn.IFS(Saisie!O56="OUI",1,Saisie!O56="NON",0)</f>
        <v>#N/A</v>
      </c>
      <c r="X56" s="63">
        <f>Saisie!P56</f>
        <v>0</v>
      </c>
      <c r="Y56" s="299">
        <f>Saisie!H56</f>
        <v>0</v>
      </c>
      <c r="Z56" s="58" t="e">
        <f>Saisie!#REF!</f>
        <v>#REF!</v>
      </c>
      <c r="AA56" s="299">
        <f>Saisie!Q56</f>
        <v>0</v>
      </c>
      <c r="AB56" s="63" t="e">
        <f t="array" ref="AB56">_xlfn.IFS(Saisie!R56="OUI",1,Saisie!R56="NON",0)</f>
        <v>#N/A</v>
      </c>
      <c r="AC56" s="63">
        <f>Saisie!S56</f>
        <v>0</v>
      </c>
      <c r="AD56" s="63" t="e">
        <f t="array" ref="AD56">_xlfn.IFS(Saisie!T56="OUI",1,Saisie!T56="NON",0)</f>
        <v>#N/A</v>
      </c>
      <c r="AE56" s="171">
        <f>Saisie!U56</f>
        <v>0</v>
      </c>
      <c r="AF56" s="263">
        <v>3</v>
      </c>
      <c r="AG56" s="129">
        <f>Saisie!W56</f>
        <v>0</v>
      </c>
      <c r="AH56" s="20">
        <f>Saisie!X56</f>
        <v>0</v>
      </c>
      <c r="AI56" s="21">
        <f>Saisie!Y56</f>
        <v>0</v>
      </c>
      <c r="AJ56" s="59">
        <f>Saisie!Z56</f>
        <v>0</v>
      </c>
      <c r="AK56" s="20">
        <f>Saisie!AA56</f>
        <v>0</v>
      </c>
      <c r="AL56" s="21">
        <f>Saisie!AB56</f>
        <v>0</v>
      </c>
      <c r="AM56" s="59">
        <f>Saisie!AC56</f>
        <v>0</v>
      </c>
      <c r="AN56" s="20">
        <f>Saisie!AD56</f>
        <v>0</v>
      </c>
      <c r="AO56" s="21">
        <f>Saisie!AE56</f>
        <v>0</v>
      </c>
      <c r="AP56" s="59">
        <f>Saisie!AF56</f>
        <v>0</v>
      </c>
      <c r="AQ56" s="129" t="e">
        <f t="array" ref="AQ56">_xlfn.IFS(Saisie!AG56="OUI",1,Saisie!AG56="NON",0)</f>
        <v>#N/A</v>
      </c>
      <c r="AR56" s="129" t="e">
        <f t="array" ref="AR56">_xlfn.IFS(Saisie!AH56="OUI",1,Saisie!AH56="NON",0)</f>
        <v>#N/A</v>
      </c>
      <c r="AS56" s="171">
        <f>Saisie!AI56</f>
        <v>0</v>
      </c>
      <c r="AT56" s="263" t="e">
        <f t="array" ref="AT56">_xlfn.IFS(Saisie!AJ56="OUI",1,Saisie!AJ56="NON",0)</f>
        <v>#N/A</v>
      </c>
      <c r="AU56" s="173">
        <f>Saisie!AK56</f>
        <v>0</v>
      </c>
      <c r="AV56" s="263" t="e">
        <f t="array" ref="AV56">_xlfn.IFS(Saisie!AL56="OUI",1,Saisie!AL56="NON",0)</f>
        <v>#N/A</v>
      </c>
      <c r="AW56" s="171">
        <f>Saisie!AM56</f>
        <v>0</v>
      </c>
      <c r="AX56" s="68">
        <f>Saisie!AN56</f>
        <v>0</v>
      </c>
      <c r="AY56" s="20">
        <f>Saisie!AO56</f>
        <v>0</v>
      </c>
      <c r="AZ56" s="21">
        <f>Saisie!AP56</f>
        <v>0</v>
      </c>
      <c r="BA56" s="298">
        <f>Saisie!AQ56</f>
        <v>0</v>
      </c>
      <c r="BB56" s="170">
        <f>Saisie!AR56</f>
        <v>0</v>
      </c>
      <c r="BC56" s="174">
        <f>Saisie!AS56</f>
        <v>0</v>
      </c>
      <c r="BD56" s="61">
        <f>Saisie!AT56</f>
        <v>0</v>
      </c>
      <c r="BE56" s="175" t="e">
        <f t="array" ref="BE56">_xlfn.IFS(Saisie!AU56="OUI",1,Saisie!AU56="NON",0)</f>
        <v>#N/A</v>
      </c>
      <c r="BF56" s="267">
        <f>Saisie!AV56</f>
        <v>0</v>
      </c>
      <c r="BG56" s="55">
        <f>Saisie!AW56</f>
        <v>0</v>
      </c>
      <c r="BH56" s="55" t="e">
        <f t="array" ref="BH56">_xlfn.IFS(Saisie!AX56="OUI",1,Saisie!AX56="NON",0)</f>
        <v>#N/A</v>
      </c>
      <c r="BI56" s="62">
        <f>Saisie!AY56</f>
        <v>0</v>
      </c>
      <c r="BJ56" s="55" t="e">
        <f t="array" ref="BJ56">_xlfn.IFS(Saisie!AZ56="OUI",1,Saisie!AZ56="NON",0)</f>
        <v>#N/A</v>
      </c>
      <c r="BK56" s="55" t="e">
        <f t="array" ref="BK56">_xlfn.IFS(Saisie!BA56="OUI",1,Saisie!BA56="NON",0)</f>
        <v>#N/A</v>
      </c>
      <c r="BL56" s="55">
        <f>Saisie!BB56</f>
        <v>0</v>
      </c>
      <c r="BM56" s="49" t="e">
        <f>Saisie!BC56</f>
        <v>#REF!</v>
      </c>
      <c r="BN56" s="175"/>
    </row>
    <row r="57" spans="1:66" s="176" customFormat="1" x14ac:dyDescent="0.45">
      <c r="A57" s="13">
        <v>51</v>
      </c>
      <c r="B57" s="150">
        <f>Saisie!B57</f>
        <v>0</v>
      </c>
      <c r="C57" s="150">
        <f>Saisie!C57</f>
        <v>0</v>
      </c>
      <c r="D57" s="150">
        <f>Saisie!D57</f>
        <v>0</v>
      </c>
      <c r="E57" s="150">
        <f>Saisie!E57</f>
        <v>0</v>
      </c>
      <c r="F57" s="150">
        <f>Saisie!F57</f>
        <v>0</v>
      </c>
      <c r="G57" s="150">
        <f>Saisie!G57</f>
        <v>0</v>
      </c>
      <c r="H57" s="150">
        <f>Saisie!I57</f>
        <v>0</v>
      </c>
      <c r="I57" s="150">
        <f>Saisie!J57</f>
        <v>0</v>
      </c>
      <c r="J57" s="150">
        <f>Saisie!K57</f>
        <v>0</v>
      </c>
      <c r="K57" s="150">
        <f>Saisie!L57</f>
        <v>0</v>
      </c>
      <c r="L57" s="150" t="e">
        <f>Saisie!#REF!</f>
        <v>#REF!</v>
      </c>
      <c r="M57" s="55" t="e">
        <f t="array" ref="M57">_xlfn.IFS(Saisie!M57="OUI",1,Saisie!M57="NON",0)</f>
        <v>#N/A</v>
      </c>
      <c r="N57" s="64" t="e">
        <f>Saisie!#REF!</f>
        <v>#REF!</v>
      </c>
      <c r="O57" s="63" t="e">
        <f>Saisie!#REF!</f>
        <v>#REF!</v>
      </c>
      <c r="P57" s="63">
        <f>Saisie!N57</f>
        <v>0</v>
      </c>
      <c r="Q57" s="63" t="e">
        <f t="array" ref="Q57">_xlfn.IFS(Saisie!#REF!="OUI",1,Saisie!#REF!="NON",0)</f>
        <v>#REF!</v>
      </c>
      <c r="R57" s="63" t="e">
        <f>Saisie!#REF!</f>
        <v>#REF!</v>
      </c>
      <c r="S57" s="65" t="e">
        <f>Saisie!#REF!</f>
        <v>#REF!</v>
      </c>
      <c r="T57" s="63" t="e">
        <f>Saisie!#REF!</f>
        <v>#REF!</v>
      </c>
      <c r="U57" s="63" t="e">
        <f>Saisie!#REF!</f>
        <v>#REF!</v>
      </c>
      <c r="V57" s="63" t="e">
        <f t="array" ref="V57">_xlfn.IFS(Saisie!#REF!="OUI",1,Saisie!#REF!="NON",0)</f>
        <v>#REF!</v>
      </c>
      <c r="W57" s="63" t="e">
        <f t="array" ref="W57">_xlfn.IFS(Saisie!O57="OUI",1,Saisie!O57="NON",0)</f>
        <v>#N/A</v>
      </c>
      <c r="X57" s="63">
        <f>Saisie!P57</f>
        <v>0</v>
      </c>
      <c r="Y57" s="299">
        <f>Saisie!H57</f>
        <v>0</v>
      </c>
      <c r="Z57" s="58" t="e">
        <f>Saisie!#REF!</f>
        <v>#REF!</v>
      </c>
      <c r="AA57" s="299">
        <f>Saisie!Q57</f>
        <v>0</v>
      </c>
      <c r="AB57" s="63" t="e">
        <f t="array" ref="AB57">_xlfn.IFS(Saisie!R57="OUI",1,Saisie!R57="NON",0)</f>
        <v>#N/A</v>
      </c>
      <c r="AC57" s="63">
        <f>Saisie!S57</f>
        <v>0</v>
      </c>
      <c r="AD57" s="63" t="e">
        <f t="array" ref="AD57">_xlfn.IFS(Saisie!T57="OUI",1,Saisie!T57="NON",0)</f>
        <v>#N/A</v>
      </c>
      <c r="AE57" s="171">
        <f>Saisie!U57</f>
        <v>0</v>
      </c>
      <c r="AF57" s="263">
        <v>3</v>
      </c>
      <c r="AG57" s="129">
        <f>Saisie!W57</f>
        <v>0</v>
      </c>
      <c r="AH57" s="20">
        <f>Saisie!X57</f>
        <v>0</v>
      </c>
      <c r="AI57" s="21">
        <f>Saisie!Y57</f>
        <v>0</v>
      </c>
      <c r="AJ57" s="59">
        <f>Saisie!Z57</f>
        <v>0</v>
      </c>
      <c r="AK57" s="20">
        <f>Saisie!AA57</f>
        <v>0</v>
      </c>
      <c r="AL57" s="21">
        <f>Saisie!AB57</f>
        <v>0</v>
      </c>
      <c r="AM57" s="59">
        <f>Saisie!AC57</f>
        <v>0</v>
      </c>
      <c r="AN57" s="20">
        <f>Saisie!AD57</f>
        <v>0</v>
      </c>
      <c r="AO57" s="21">
        <f>Saisie!AE57</f>
        <v>0</v>
      </c>
      <c r="AP57" s="59">
        <f>Saisie!AF57</f>
        <v>0</v>
      </c>
      <c r="AQ57" s="129" t="e">
        <f t="array" ref="AQ57">_xlfn.IFS(Saisie!AG57="OUI",1,Saisie!AG57="NON",0)</f>
        <v>#N/A</v>
      </c>
      <c r="AR57" s="129" t="e">
        <f t="array" ref="AR57">_xlfn.IFS(Saisie!AH57="OUI",1,Saisie!AH57="NON",0)</f>
        <v>#N/A</v>
      </c>
      <c r="AS57" s="171">
        <f>Saisie!AI57</f>
        <v>0</v>
      </c>
      <c r="AT57" s="263" t="e">
        <f t="array" ref="AT57">_xlfn.IFS(Saisie!AJ57="OUI",1,Saisie!AJ57="NON",0)</f>
        <v>#N/A</v>
      </c>
      <c r="AU57" s="173">
        <f>Saisie!AK57</f>
        <v>0</v>
      </c>
      <c r="AV57" s="263" t="e">
        <f t="array" ref="AV57">_xlfn.IFS(Saisie!AL57="OUI",1,Saisie!AL57="NON",0)</f>
        <v>#N/A</v>
      </c>
      <c r="AW57" s="171">
        <f>Saisie!AM57</f>
        <v>0</v>
      </c>
      <c r="AX57" s="68">
        <f>Saisie!AN57</f>
        <v>0</v>
      </c>
      <c r="AY57" s="20">
        <f>Saisie!AO57</f>
        <v>0</v>
      </c>
      <c r="AZ57" s="21">
        <f>Saisie!AP57</f>
        <v>0</v>
      </c>
      <c r="BA57" s="298">
        <f>Saisie!AQ57</f>
        <v>0</v>
      </c>
      <c r="BB57" s="170">
        <f>Saisie!AR57</f>
        <v>0</v>
      </c>
      <c r="BC57" s="174">
        <f>Saisie!AS57</f>
        <v>0</v>
      </c>
      <c r="BD57" s="61">
        <f>Saisie!AT57</f>
        <v>0</v>
      </c>
      <c r="BE57" s="175" t="e">
        <f t="array" ref="BE57">_xlfn.IFS(Saisie!AU57="OUI",1,Saisie!AU57="NON",0)</f>
        <v>#N/A</v>
      </c>
      <c r="BF57" s="267">
        <f>Saisie!AV57</f>
        <v>0</v>
      </c>
      <c r="BG57" s="55">
        <f>Saisie!AW57</f>
        <v>0</v>
      </c>
      <c r="BH57" s="55" t="e">
        <f t="array" ref="BH57">_xlfn.IFS(Saisie!AX57="OUI",1,Saisie!AX57="NON",0)</f>
        <v>#N/A</v>
      </c>
      <c r="BI57" s="62">
        <f>Saisie!AY57</f>
        <v>0</v>
      </c>
      <c r="BJ57" s="55" t="e">
        <f t="array" ref="BJ57">_xlfn.IFS(Saisie!AZ57="OUI",1,Saisie!AZ57="NON",0)</f>
        <v>#N/A</v>
      </c>
      <c r="BK57" s="55" t="e">
        <f t="array" ref="BK57">_xlfn.IFS(Saisie!BA57="OUI",1,Saisie!BA57="NON",0)</f>
        <v>#N/A</v>
      </c>
      <c r="BL57" s="55">
        <f>Saisie!BB57</f>
        <v>0</v>
      </c>
      <c r="BM57" s="49" t="e">
        <f>Saisie!BC57</f>
        <v>#REF!</v>
      </c>
      <c r="BN57" s="175"/>
    </row>
    <row r="58" spans="1:66" s="176" customFormat="1" x14ac:dyDescent="0.45">
      <c r="A58" s="12">
        <v>52</v>
      </c>
      <c r="B58" s="150">
        <f>Saisie!B58</f>
        <v>0</v>
      </c>
      <c r="C58" s="150">
        <f>Saisie!C58</f>
        <v>0</v>
      </c>
      <c r="D58" s="150">
        <f>Saisie!D58</f>
        <v>0</v>
      </c>
      <c r="E58" s="150">
        <f>Saisie!E58</f>
        <v>0</v>
      </c>
      <c r="F58" s="150">
        <f>Saisie!F58</f>
        <v>0</v>
      </c>
      <c r="G58" s="150">
        <f>Saisie!G58</f>
        <v>0</v>
      </c>
      <c r="H58" s="150">
        <f>Saisie!I58</f>
        <v>0</v>
      </c>
      <c r="I58" s="150">
        <f>Saisie!J58</f>
        <v>0</v>
      </c>
      <c r="J58" s="150">
        <f>Saisie!K58</f>
        <v>0</v>
      </c>
      <c r="K58" s="150">
        <f>Saisie!L58</f>
        <v>0</v>
      </c>
      <c r="L58" s="150" t="e">
        <f>Saisie!#REF!</f>
        <v>#REF!</v>
      </c>
      <c r="M58" s="55" t="e">
        <f t="array" ref="M58">_xlfn.IFS(Saisie!M58="OUI",1,Saisie!M58="NON",0)</f>
        <v>#N/A</v>
      </c>
      <c r="N58" s="64" t="e">
        <f>Saisie!#REF!</f>
        <v>#REF!</v>
      </c>
      <c r="O58" s="63" t="e">
        <f>Saisie!#REF!</f>
        <v>#REF!</v>
      </c>
      <c r="P58" s="63">
        <f>Saisie!N58</f>
        <v>0</v>
      </c>
      <c r="Q58" s="63" t="e">
        <f t="array" ref="Q58">_xlfn.IFS(Saisie!#REF!="OUI",1,Saisie!#REF!="NON",0)</f>
        <v>#REF!</v>
      </c>
      <c r="R58" s="63" t="e">
        <f>Saisie!#REF!</f>
        <v>#REF!</v>
      </c>
      <c r="S58" s="65" t="e">
        <f>Saisie!#REF!</f>
        <v>#REF!</v>
      </c>
      <c r="T58" s="63" t="e">
        <f>Saisie!#REF!</f>
        <v>#REF!</v>
      </c>
      <c r="U58" s="63" t="e">
        <f>Saisie!#REF!</f>
        <v>#REF!</v>
      </c>
      <c r="V58" s="63" t="e">
        <f t="array" ref="V58">_xlfn.IFS(Saisie!#REF!="OUI",1,Saisie!#REF!="NON",0)</f>
        <v>#REF!</v>
      </c>
      <c r="W58" s="63" t="e">
        <f t="array" ref="W58">_xlfn.IFS(Saisie!O58="OUI",1,Saisie!O58="NON",0)</f>
        <v>#N/A</v>
      </c>
      <c r="X58" s="63">
        <f>Saisie!P58</f>
        <v>0</v>
      </c>
      <c r="Y58" s="299">
        <f>Saisie!H58</f>
        <v>0</v>
      </c>
      <c r="Z58" s="58" t="e">
        <f>Saisie!#REF!</f>
        <v>#REF!</v>
      </c>
      <c r="AA58" s="299">
        <f>Saisie!Q58</f>
        <v>0</v>
      </c>
      <c r="AB58" s="63" t="e">
        <f t="array" ref="AB58">_xlfn.IFS(Saisie!R58="OUI",1,Saisie!R58="NON",0)</f>
        <v>#N/A</v>
      </c>
      <c r="AC58" s="63">
        <f>Saisie!S58</f>
        <v>0</v>
      </c>
      <c r="AD58" s="63" t="e">
        <f t="array" ref="AD58">_xlfn.IFS(Saisie!T58="OUI",1,Saisie!T58="NON",0)</f>
        <v>#N/A</v>
      </c>
      <c r="AE58" s="171">
        <f>Saisie!U58</f>
        <v>0</v>
      </c>
      <c r="AF58" s="263">
        <v>3</v>
      </c>
      <c r="AG58" s="129">
        <f>Saisie!W58</f>
        <v>0</v>
      </c>
      <c r="AH58" s="20">
        <f>Saisie!X58</f>
        <v>0</v>
      </c>
      <c r="AI58" s="21">
        <f>Saisie!Y58</f>
        <v>0</v>
      </c>
      <c r="AJ58" s="59">
        <f>Saisie!Z58</f>
        <v>0</v>
      </c>
      <c r="AK58" s="20">
        <f>Saisie!AA58</f>
        <v>0</v>
      </c>
      <c r="AL58" s="21">
        <f>Saisie!AB58</f>
        <v>0</v>
      </c>
      <c r="AM58" s="59">
        <f>Saisie!AC58</f>
        <v>0</v>
      </c>
      <c r="AN58" s="20">
        <f>Saisie!AD58</f>
        <v>0</v>
      </c>
      <c r="AO58" s="21">
        <f>Saisie!AE58</f>
        <v>0</v>
      </c>
      <c r="AP58" s="59">
        <f>Saisie!AF58</f>
        <v>0</v>
      </c>
      <c r="AQ58" s="129" t="e">
        <f t="array" ref="AQ58">_xlfn.IFS(Saisie!AG58="OUI",1,Saisie!AG58="NON",0)</f>
        <v>#N/A</v>
      </c>
      <c r="AR58" s="129" t="e">
        <f t="array" ref="AR58">_xlfn.IFS(Saisie!AH58="OUI",1,Saisie!AH58="NON",0)</f>
        <v>#N/A</v>
      </c>
      <c r="AS58" s="171">
        <f>Saisie!AI58</f>
        <v>0</v>
      </c>
      <c r="AT58" s="263" t="e">
        <f t="array" ref="AT58">_xlfn.IFS(Saisie!AJ58="OUI",1,Saisie!AJ58="NON",0)</f>
        <v>#N/A</v>
      </c>
      <c r="AU58" s="173">
        <f>Saisie!AK58</f>
        <v>0</v>
      </c>
      <c r="AV58" s="263" t="e">
        <f t="array" ref="AV58">_xlfn.IFS(Saisie!AL58="OUI",1,Saisie!AL58="NON",0)</f>
        <v>#N/A</v>
      </c>
      <c r="AW58" s="171">
        <f>Saisie!AM58</f>
        <v>0</v>
      </c>
      <c r="AX58" s="68">
        <f>Saisie!AN58</f>
        <v>0</v>
      </c>
      <c r="AY58" s="20">
        <f>Saisie!AO58</f>
        <v>0</v>
      </c>
      <c r="AZ58" s="21">
        <f>Saisie!AP58</f>
        <v>0</v>
      </c>
      <c r="BA58" s="298">
        <f>Saisie!AQ58</f>
        <v>0</v>
      </c>
      <c r="BB58" s="170">
        <f>Saisie!AR58</f>
        <v>0</v>
      </c>
      <c r="BC58" s="174">
        <f>Saisie!AS58</f>
        <v>0</v>
      </c>
      <c r="BD58" s="61">
        <f>Saisie!AT58</f>
        <v>0</v>
      </c>
      <c r="BE58" s="175" t="e">
        <f t="array" ref="BE58">_xlfn.IFS(Saisie!AU58="OUI",1,Saisie!AU58="NON",0)</f>
        <v>#N/A</v>
      </c>
      <c r="BF58" s="267">
        <f>Saisie!AV58</f>
        <v>0</v>
      </c>
      <c r="BG58" s="55">
        <f>Saisie!AW58</f>
        <v>0</v>
      </c>
      <c r="BH58" s="55" t="e">
        <f t="array" ref="BH58">_xlfn.IFS(Saisie!AX58="OUI",1,Saisie!AX58="NON",0)</f>
        <v>#N/A</v>
      </c>
      <c r="BI58" s="62">
        <f>Saisie!AY58</f>
        <v>0</v>
      </c>
      <c r="BJ58" s="55" t="e">
        <f t="array" ref="BJ58">_xlfn.IFS(Saisie!AZ58="OUI",1,Saisie!AZ58="NON",0)</f>
        <v>#N/A</v>
      </c>
      <c r="BK58" s="55" t="e">
        <f t="array" ref="BK58">_xlfn.IFS(Saisie!BA58="OUI",1,Saisie!BA58="NON",0)</f>
        <v>#N/A</v>
      </c>
      <c r="BL58" s="55">
        <f>Saisie!BB58</f>
        <v>0</v>
      </c>
      <c r="BM58" s="49" t="e">
        <f>Saisie!BC58</f>
        <v>#REF!</v>
      </c>
      <c r="BN58" s="175"/>
    </row>
    <row r="59" spans="1:66" s="176" customFormat="1" x14ac:dyDescent="0.45">
      <c r="A59" s="13">
        <v>53</v>
      </c>
      <c r="B59" s="150">
        <f>Saisie!B59</f>
        <v>0</v>
      </c>
      <c r="C59" s="150">
        <f>Saisie!C59</f>
        <v>0</v>
      </c>
      <c r="D59" s="150">
        <f>Saisie!D59</f>
        <v>0</v>
      </c>
      <c r="E59" s="150">
        <f>Saisie!E59</f>
        <v>0</v>
      </c>
      <c r="F59" s="150">
        <f>Saisie!F59</f>
        <v>0</v>
      </c>
      <c r="G59" s="150">
        <f>Saisie!G59</f>
        <v>0</v>
      </c>
      <c r="H59" s="150">
        <f>Saisie!I59</f>
        <v>0</v>
      </c>
      <c r="I59" s="150">
        <f>Saisie!J59</f>
        <v>0</v>
      </c>
      <c r="J59" s="150">
        <f>Saisie!K59</f>
        <v>0</v>
      </c>
      <c r="K59" s="150">
        <f>Saisie!L59</f>
        <v>0</v>
      </c>
      <c r="L59" s="150" t="e">
        <f>Saisie!#REF!</f>
        <v>#REF!</v>
      </c>
      <c r="M59" s="55" t="e">
        <f t="array" ref="M59">_xlfn.IFS(Saisie!M59="OUI",1,Saisie!M59="NON",0)</f>
        <v>#N/A</v>
      </c>
      <c r="N59" s="64" t="e">
        <f>Saisie!#REF!</f>
        <v>#REF!</v>
      </c>
      <c r="O59" s="63" t="e">
        <f>Saisie!#REF!</f>
        <v>#REF!</v>
      </c>
      <c r="P59" s="63">
        <f>Saisie!N59</f>
        <v>0</v>
      </c>
      <c r="Q59" s="63" t="e">
        <f t="array" ref="Q59">_xlfn.IFS(Saisie!#REF!="OUI",1,Saisie!#REF!="NON",0)</f>
        <v>#REF!</v>
      </c>
      <c r="R59" s="63" t="e">
        <f>Saisie!#REF!</f>
        <v>#REF!</v>
      </c>
      <c r="S59" s="65" t="e">
        <f>Saisie!#REF!</f>
        <v>#REF!</v>
      </c>
      <c r="T59" s="63" t="e">
        <f>Saisie!#REF!</f>
        <v>#REF!</v>
      </c>
      <c r="U59" s="63" t="e">
        <f>Saisie!#REF!</f>
        <v>#REF!</v>
      </c>
      <c r="V59" s="63" t="e">
        <f t="array" ref="V59">_xlfn.IFS(Saisie!#REF!="OUI",1,Saisie!#REF!="NON",0)</f>
        <v>#REF!</v>
      </c>
      <c r="W59" s="63" t="e">
        <f t="array" ref="W59">_xlfn.IFS(Saisie!O59="OUI",1,Saisie!O59="NON",0)</f>
        <v>#N/A</v>
      </c>
      <c r="X59" s="63">
        <f>Saisie!P59</f>
        <v>0</v>
      </c>
      <c r="Y59" s="299">
        <f>Saisie!H59</f>
        <v>0</v>
      </c>
      <c r="Z59" s="58" t="e">
        <f>Saisie!#REF!</f>
        <v>#REF!</v>
      </c>
      <c r="AA59" s="299">
        <f>Saisie!Q59</f>
        <v>0</v>
      </c>
      <c r="AB59" s="63" t="e">
        <f t="array" ref="AB59">_xlfn.IFS(Saisie!R59="OUI",1,Saisie!R59="NON",0)</f>
        <v>#N/A</v>
      </c>
      <c r="AC59" s="63">
        <f>Saisie!S59</f>
        <v>0</v>
      </c>
      <c r="AD59" s="63" t="e">
        <f t="array" ref="AD59">_xlfn.IFS(Saisie!T59="OUI",1,Saisie!T59="NON",0)</f>
        <v>#N/A</v>
      </c>
      <c r="AE59" s="171">
        <f>Saisie!U59</f>
        <v>0</v>
      </c>
      <c r="AF59" s="263">
        <v>3</v>
      </c>
      <c r="AG59" s="129">
        <f>Saisie!W59</f>
        <v>0</v>
      </c>
      <c r="AH59" s="20">
        <f>Saisie!X59</f>
        <v>0</v>
      </c>
      <c r="AI59" s="21">
        <f>Saisie!Y59</f>
        <v>0</v>
      </c>
      <c r="AJ59" s="59">
        <f>Saisie!Z59</f>
        <v>0</v>
      </c>
      <c r="AK59" s="20">
        <f>Saisie!AA59</f>
        <v>0</v>
      </c>
      <c r="AL59" s="21">
        <f>Saisie!AB59</f>
        <v>0</v>
      </c>
      <c r="AM59" s="59">
        <f>Saisie!AC59</f>
        <v>0</v>
      </c>
      <c r="AN59" s="20">
        <f>Saisie!AD59</f>
        <v>0</v>
      </c>
      <c r="AO59" s="21">
        <f>Saisie!AE59</f>
        <v>0</v>
      </c>
      <c r="AP59" s="59">
        <f>Saisie!AF59</f>
        <v>0</v>
      </c>
      <c r="AQ59" s="129" t="e">
        <f t="array" ref="AQ59">_xlfn.IFS(Saisie!AG59="OUI",1,Saisie!AG59="NON",0)</f>
        <v>#N/A</v>
      </c>
      <c r="AR59" s="129" t="e">
        <f t="array" ref="AR59">_xlfn.IFS(Saisie!AH59="OUI",1,Saisie!AH59="NON",0)</f>
        <v>#N/A</v>
      </c>
      <c r="AS59" s="171">
        <f>Saisie!AI59</f>
        <v>0</v>
      </c>
      <c r="AT59" s="263" t="e">
        <f t="array" ref="AT59">_xlfn.IFS(Saisie!AJ59="OUI",1,Saisie!AJ59="NON",0)</f>
        <v>#N/A</v>
      </c>
      <c r="AU59" s="173">
        <f>Saisie!AK59</f>
        <v>0</v>
      </c>
      <c r="AV59" s="263" t="e">
        <f t="array" ref="AV59">_xlfn.IFS(Saisie!AL59="OUI",1,Saisie!AL59="NON",0)</f>
        <v>#N/A</v>
      </c>
      <c r="AW59" s="171">
        <f>Saisie!AM59</f>
        <v>0</v>
      </c>
      <c r="AX59" s="68">
        <f>Saisie!AN59</f>
        <v>0</v>
      </c>
      <c r="AY59" s="20">
        <f>Saisie!AO59</f>
        <v>0</v>
      </c>
      <c r="AZ59" s="21">
        <f>Saisie!AP59</f>
        <v>0</v>
      </c>
      <c r="BA59" s="298">
        <f>Saisie!AQ59</f>
        <v>0</v>
      </c>
      <c r="BB59" s="170">
        <f>Saisie!AR59</f>
        <v>0</v>
      </c>
      <c r="BC59" s="174">
        <f>Saisie!AS59</f>
        <v>0</v>
      </c>
      <c r="BD59" s="61">
        <f>Saisie!AT59</f>
        <v>0</v>
      </c>
      <c r="BE59" s="175" t="e">
        <f t="array" ref="BE59">_xlfn.IFS(Saisie!AU59="OUI",1,Saisie!AU59="NON",0)</f>
        <v>#N/A</v>
      </c>
      <c r="BF59" s="267">
        <f>Saisie!AV59</f>
        <v>0</v>
      </c>
      <c r="BG59" s="55">
        <f>Saisie!AW59</f>
        <v>0</v>
      </c>
      <c r="BH59" s="55" t="e">
        <f t="array" ref="BH59">_xlfn.IFS(Saisie!AX59="OUI",1,Saisie!AX59="NON",0)</f>
        <v>#N/A</v>
      </c>
      <c r="BI59" s="62">
        <f>Saisie!AY59</f>
        <v>0</v>
      </c>
      <c r="BJ59" s="55" t="e">
        <f t="array" ref="BJ59">_xlfn.IFS(Saisie!AZ59="OUI",1,Saisie!AZ59="NON",0)</f>
        <v>#N/A</v>
      </c>
      <c r="BK59" s="55" t="e">
        <f t="array" ref="BK59">_xlfn.IFS(Saisie!BA59="OUI",1,Saisie!BA59="NON",0)</f>
        <v>#N/A</v>
      </c>
      <c r="BL59" s="55">
        <f>Saisie!BB59</f>
        <v>0</v>
      </c>
      <c r="BM59" s="49" t="e">
        <f>Saisie!BC59</f>
        <v>#REF!</v>
      </c>
      <c r="BN59" s="175"/>
    </row>
    <row r="60" spans="1:66" s="176" customFormat="1" x14ac:dyDescent="0.45">
      <c r="A60" s="13">
        <v>54</v>
      </c>
      <c r="B60" s="150">
        <f>Saisie!B60</f>
        <v>0</v>
      </c>
      <c r="C60" s="150">
        <f>Saisie!C60</f>
        <v>0</v>
      </c>
      <c r="D60" s="150">
        <f>Saisie!D60</f>
        <v>0</v>
      </c>
      <c r="E60" s="150">
        <f>Saisie!E60</f>
        <v>0</v>
      </c>
      <c r="F60" s="150">
        <f>Saisie!F60</f>
        <v>0</v>
      </c>
      <c r="G60" s="150">
        <f>Saisie!G60</f>
        <v>0</v>
      </c>
      <c r="H60" s="150">
        <f>Saisie!I60</f>
        <v>0</v>
      </c>
      <c r="I60" s="150">
        <f>Saisie!J60</f>
        <v>0</v>
      </c>
      <c r="J60" s="150">
        <f>Saisie!K60</f>
        <v>0</v>
      </c>
      <c r="K60" s="150">
        <f>Saisie!L60</f>
        <v>0</v>
      </c>
      <c r="L60" s="150" t="e">
        <f>Saisie!#REF!</f>
        <v>#REF!</v>
      </c>
      <c r="M60" s="55" t="e">
        <f t="array" ref="M60">_xlfn.IFS(Saisie!M60="OUI",1,Saisie!M60="NON",0)</f>
        <v>#N/A</v>
      </c>
      <c r="N60" s="64" t="e">
        <f>Saisie!#REF!</f>
        <v>#REF!</v>
      </c>
      <c r="O60" s="63" t="e">
        <f>Saisie!#REF!</f>
        <v>#REF!</v>
      </c>
      <c r="P60" s="63">
        <f>Saisie!N60</f>
        <v>0</v>
      </c>
      <c r="Q60" s="63" t="e">
        <f t="array" ref="Q60">_xlfn.IFS(Saisie!#REF!="OUI",1,Saisie!#REF!="NON",0)</f>
        <v>#REF!</v>
      </c>
      <c r="R60" s="63" t="e">
        <f>Saisie!#REF!</f>
        <v>#REF!</v>
      </c>
      <c r="S60" s="65" t="e">
        <f>Saisie!#REF!</f>
        <v>#REF!</v>
      </c>
      <c r="T60" s="63" t="e">
        <f>Saisie!#REF!</f>
        <v>#REF!</v>
      </c>
      <c r="U60" s="63" t="e">
        <f>Saisie!#REF!</f>
        <v>#REF!</v>
      </c>
      <c r="V60" s="63" t="e">
        <f t="array" ref="V60">_xlfn.IFS(Saisie!#REF!="OUI",1,Saisie!#REF!="NON",0)</f>
        <v>#REF!</v>
      </c>
      <c r="W60" s="63" t="e">
        <f t="array" ref="W60">_xlfn.IFS(Saisie!O60="OUI",1,Saisie!O60="NON",0)</f>
        <v>#N/A</v>
      </c>
      <c r="X60" s="63">
        <f>Saisie!P60</f>
        <v>0</v>
      </c>
      <c r="Y60" s="299">
        <f>Saisie!H60</f>
        <v>0</v>
      </c>
      <c r="Z60" s="58" t="e">
        <f>Saisie!#REF!</f>
        <v>#REF!</v>
      </c>
      <c r="AA60" s="299">
        <f>Saisie!Q60</f>
        <v>0</v>
      </c>
      <c r="AB60" s="63" t="e">
        <f t="array" ref="AB60">_xlfn.IFS(Saisie!R60="OUI",1,Saisie!R60="NON",0)</f>
        <v>#N/A</v>
      </c>
      <c r="AC60" s="63">
        <f>Saisie!S60</f>
        <v>0</v>
      </c>
      <c r="AD60" s="63" t="e">
        <f t="array" ref="AD60">_xlfn.IFS(Saisie!T60="OUI",1,Saisie!T60="NON",0)</f>
        <v>#N/A</v>
      </c>
      <c r="AE60" s="171">
        <f>Saisie!U60</f>
        <v>0</v>
      </c>
      <c r="AF60" s="263">
        <v>3</v>
      </c>
      <c r="AG60" s="129">
        <f>Saisie!W60</f>
        <v>0</v>
      </c>
      <c r="AH60" s="20">
        <f>Saisie!X60</f>
        <v>0</v>
      </c>
      <c r="AI60" s="21">
        <f>Saisie!Y60</f>
        <v>0</v>
      </c>
      <c r="AJ60" s="59">
        <f>Saisie!Z60</f>
        <v>0</v>
      </c>
      <c r="AK60" s="20">
        <f>Saisie!AA60</f>
        <v>0</v>
      </c>
      <c r="AL60" s="21">
        <f>Saisie!AB60</f>
        <v>0</v>
      </c>
      <c r="AM60" s="59">
        <f>Saisie!AC60</f>
        <v>0</v>
      </c>
      <c r="AN60" s="20">
        <f>Saisie!AD60</f>
        <v>0</v>
      </c>
      <c r="AO60" s="21">
        <f>Saisie!AE60</f>
        <v>0</v>
      </c>
      <c r="AP60" s="59">
        <f>Saisie!AF60</f>
        <v>0</v>
      </c>
      <c r="AQ60" s="129" t="e">
        <f t="array" ref="AQ60">_xlfn.IFS(Saisie!AG60="OUI",1,Saisie!AG60="NON",0)</f>
        <v>#N/A</v>
      </c>
      <c r="AR60" s="129" t="e">
        <f t="array" ref="AR60">_xlfn.IFS(Saisie!AH60="OUI",1,Saisie!AH60="NON",0)</f>
        <v>#N/A</v>
      </c>
      <c r="AS60" s="171">
        <f>Saisie!AI60</f>
        <v>0</v>
      </c>
      <c r="AT60" s="263" t="e">
        <f t="array" ref="AT60">_xlfn.IFS(Saisie!AJ60="OUI",1,Saisie!AJ60="NON",0)</f>
        <v>#N/A</v>
      </c>
      <c r="AU60" s="173">
        <f>Saisie!AK60</f>
        <v>0</v>
      </c>
      <c r="AV60" s="263" t="e">
        <f t="array" ref="AV60">_xlfn.IFS(Saisie!AL60="OUI",1,Saisie!AL60="NON",0)</f>
        <v>#N/A</v>
      </c>
      <c r="AW60" s="171">
        <f>Saisie!AM60</f>
        <v>0</v>
      </c>
      <c r="AX60" s="68">
        <f>Saisie!AN60</f>
        <v>0</v>
      </c>
      <c r="AY60" s="20">
        <f>Saisie!AO60</f>
        <v>0</v>
      </c>
      <c r="AZ60" s="21">
        <f>Saisie!AP60</f>
        <v>0</v>
      </c>
      <c r="BA60" s="298">
        <f>Saisie!AQ60</f>
        <v>0</v>
      </c>
      <c r="BB60" s="170">
        <f>Saisie!AR60</f>
        <v>0</v>
      </c>
      <c r="BC60" s="174">
        <f>Saisie!AS60</f>
        <v>0</v>
      </c>
      <c r="BD60" s="61">
        <f>Saisie!AT60</f>
        <v>0</v>
      </c>
      <c r="BE60" s="175" t="e">
        <f t="array" ref="BE60">_xlfn.IFS(Saisie!AU60="OUI",1,Saisie!AU60="NON",0)</f>
        <v>#N/A</v>
      </c>
      <c r="BF60" s="267">
        <f>Saisie!AV60</f>
        <v>0</v>
      </c>
      <c r="BG60" s="55">
        <f>Saisie!AW60</f>
        <v>0</v>
      </c>
      <c r="BH60" s="55" t="e">
        <f t="array" ref="BH60">_xlfn.IFS(Saisie!AX60="OUI",1,Saisie!AX60="NON",0)</f>
        <v>#N/A</v>
      </c>
      <c r="BI60" s="62">
        <f>Saisie!AY60</f>
        <v>0</v>
      </c>
      <c r="BJ60" s="55" t="e">
        <f t="array" ref="BJ60">_xlfn.IFS(Saisie!AZ60="OUI",1,Saisie!AZ60="NON",0)</f>
        <v>#N/A</v>
      </c>
      <c r="BK60" s="55" t="e">
        <f t="array" ref="BK60">_xlfn.IFS(Saisie!BA60="OUI",1,Saisie!BA60="NON",0)</f>
        <v>#N/A</v>
      </c>
      <c r="BL60" s="55">
        <f>Saisie!BB60</f>
        <v>0</v>
      </c>
      <c r="BM60" s="49" t="e">
        <f>Saisie!BC60</f>
        <v>#REF!</v>
      </c>
      <c r="BN60" s="175"/>
    </row>
    <row r="61" spans="1:66" s="176" customFormat="1" x14ac:dyDescent="0.45">
      <c r="A61" s="12">
        <v>55</v>
      </c>
      <c r="B61" s="150">
        <f>Saisie!B61</f>
        <v>0</v>
      </c>
      <c r="C61" s="150">
        <f>Saisie!C61</f>
        <v>0</v>
      </c>
      <c r="D61" s="150">
        <f>Saisie!D61</f>
        <v>0</v>
      </c>
      <c r="E61" s="150">
        <f>Saisie!E61</f>
        <v>0</v>
      </c>
      <c r="F61" s="150">
        <f>Saisie!F61</f>
        <v>0</v>
      </c>
      <c r="G61" s="150">
        <f>Saisie!G61</f>
        <v>0</v>
      </c>
      <c r="H61" s="150">
        <f>Saisie!I61</f>
        <v>0</v>
      </c>
      <c r="I61" s="150">
        <f>Saisie!J61</f>
        <v>0</v>
      </c>
      <c r="J61" s="150">
        <f>Saisie!K61</f>
        <v>0</v>
      </c>
      <c r="K61" s="150">
        <f>Saisie!L61</f>
        <v>0</v>
      </c>
      <c r="L61" s="150" t="e">
        <f>Saisie!#REF!</f>
        <v>#REF!</v>
      </c>
      <c r="M61" s="55" t="e">
        <f t="array" ref="M61">_xlfn.IFS(Saisie!M61="OUI",1,Saisie!M61="NON",0)</f>
        <v>#N/A</v>
      </c>
      <c r="N61" s="64" t="e">
        <f>Saisie!#REF!</f>
        <v>#REF!</v>
      </c>
      <c r="O61" s="63" t="e">
        <f>Saisie!#REF!</f>
        <v>#REF!</v>
      </c>
      <c r="P61" s="63">
        <f>Saisie!N61</f>
        <v>0</v>
      </c>
      <c r="Q61" s="63" t="e">
        <f t="array" ref="Q61">_xlfn.IFS(Saisie!#REF!="OUI",1,Saisie!#REF!="NON",0)</f>
        <v>#REF!</v>
      </c>
      <c r="R61" s="63" t="e">
        <f>Saisie!#REF!</f>
        <v>#REF!</v>
      </c>
      <c r="S61" s="65" t="e">
        <f>Saisie!#REF!</f>
        <v>#REF!</v>
      </c>
      <c r="T61" s="63" t="e">
        <f>Saisie!#REF!</f>
        <v>#REF!</v>
      </c>
      <c r="U61" s="63" t="e">
        <f>Saisie!#REF!</f>
        <v>#REF!</v>
      </c>
      <c r="V61" s="63" t="e">
        <f t="array" ref="V61">_xlfn.IFS(Saisie!#REF!="OUI",1,Saisie!#REF!="NON",0)</f>
        <v>#REF!</v>
      </c>
      <c r="W61" s="63" t="e">
        <f t="array" ref="W61">_xlfn.IFS(Saisie!O61="OUI",1,Saisie!O61="NON",0)</f>
        <v>#N/A</v>
      </c>
      <c r="X61" s="63">
        <f>Saisie!P61</f>
        <v>0</v>
      </c>
      <c r="Y61" s="299">
        <f>Saisie!H61</f>
        <v>0</v>
      </c>
      <c r="Z61" s="58" t="e">
        <f>Saisie!#REF!</f>
        <v>#REF!</v>
      </c>
      <c r="AA61" s="299">
        <f>Saisie!Q61</f>
        <v>0</v>
      </c>
      <c r="AB61" s="63" t="e">
        <f t="array" ref="AB61">_xlfn.IFS(Saisie!R61="OUI",1,Saisie!R61="NON",0)</f>
        <v>#N/A</v>
      </c>
      <c r="AC61" s="63">
        <f>Saisie!S61</f>
        <v>0</v>
      </c>
      <c r="AD61" s="63" t="e">
        <f t="array" ref="AD61">_xlfn.IFS(Saisie!T61="OUI",1,Saisie!T61="NON",0)</f>
        <v>#N/A</v>
      </c>
      <c r="AE61" s="171">
        <f>Saisie!U61</f>
        <v>0</v>
      </c>
      <c r="AF61" s="263">
        <v>3</v>
      </c>
      <c r="AG61" s="129">
        <f>Saisie!W61</f>
        <v>0</v>
      </c>
      <c r="AH61" s="20">
        <f>Saisie!X61</f>
        <v>0</v>
      </c>
      <c r="AI61" s="21">
        <f>Saisie!Y61</f>
        <v>0</v>
      </c>
      <c r="AJ61" s="59">
        <f>Saisie!Z61</f>
        <v>0</v>
      </c>
      <c r="AK61" s="20">
        <f>Saisie!AA61</f>
        <v>0</v>
      </c>
      <c r="AL61" s="21">
        <f>Saisie!AB61</f>
        <v>0</v>
      </c>
      <c r="AM61" s="59">
        <f>Saisie!AC61</f>
        <v>0</v>
      </c>
      <c r="AN61" s="20">
        <f>Saisie!AD61</f>
        <v>0</v>
      </c>
      <c r="AO61" s="21">
        <f>Saisie!AE61</f>
        <v>0</v>
      </c>
      <c r="AP61" s="59">
        <f>Saisie!AF61</f>
        <v>0</v>
      </c>
      <c r="AQ61" s="129" t="e">
        <f t="array" ref="AQ61">_xlfn.IFS(Saisie!AG61="OUI",1,Saisie!AG61="NON",0)</f>
        <v>#N/A</v>
      </c>
      <c r="AR61" s="129" t="e">
        <f t="array" ref="AR61">_xlfn.IFS(Saisie!AH61="OUI",1,Saisie!AH61="NON",0)</f>
        <v>#N/A</v>
      </c>
      <c r="AS61" s="171">
        <f>Saisie!AI61</f>
        <v>0</v>
      </c>
      <c r="AT61" s="263" t="e">
        <f t="array" ref="AT61">_xlfn.IFS(Saisie!AJ61="OUI",1,Saisie!AJ61="NON",0)</f>
        <v>#N/A</v>
      </c>
      <c r="AU61" s="173">
        <f>Saisie!AK61</f>
        <v>0</v>
      </c>
      <c r="AV61" s="263" t="e">
        <f t="array" ref="AV61">_xlfn.IFS(Saisie!AL61="OUI",1,Saisie!AL61="NON",0)</f>
        <v>#N/A</v>
      </c>
      <c r="AW61" s="171">
        <f>Saisie!AM61</f>
        <v>0</v>
      </c>
      <c r="AX61" s="68">
        <f>Saisie!AN61</f>
        <v>0</v>
      </c>
      <c r="AY61" s="20">
        <f>Saisie!AO61</f>
        <v>0</v>
      </c>
      <c r="AZ61" s="21">
        <f>Saisie!AP61</f>
        <v>0</v>
      </c>
      <c r="BA61" s="298">
        <f>Saisie!AQ61</f>
        <v>0</v>
      </c>
      <c r="BB61" s="170">
        <f>Saisie!AR61</f>
        <v>0</v>
      </c>
      <c r="BC61" s="174">
        <f>Saisie!AS61</f>
        <v>0</v>
      </c>
      <c r="BD61" s="61">
        <f>Saisie!AT61</f>
        <v>0</v>
      </c>
      <c r="BE61" s="175" t="e">
        <f t="array" ref="BE61">_xlfn.IFS(Saisie!AU61="OUI",1,Saisie!AU61="NON",0)</f>
        <v>#N/A</v>
      </c>
      <c r="BF61" s="267">
        <f>Saisie!AV61</f>
        <v>0</v>
      </c>
      <c r="BG61" s="55">
        <f>Saisie!AW61</f>
        <v>0</v>
      </c>
      <c r="BH61" s="55" t="e">
        <f t="array" ref="BH61">_xlfn.IFS(Saisie!AX61="OUI",1,Saisie!AX61="NON",0)</f>
        <v>#N/A</v>
      </c>
      <c r="BI61" s="62">
        <f>Saisie!AY61</f>
        <v>0</v>
      </c>
      <c r="BJ61" s="55" t="e">
        <f t="array" ref="BJ61">_xlfn.IFS(Saisie!AZ61="OUI",1,Saisie!AZ61="NON",0)</f>
        <v>#N/A</v>
      </c>
      <c r="BK61" s="55" t="e">
        <f t="array" ref="BK61">_xlfn.IFS(Saisie!BA61="OUI",1,Saisie!BA61="NON",0)</f>
        <v>#N/A</v>
      </c>
      <c r="BL61" s="55">
        <f>Saisie!BB61</f>
        <v>0</v>
      </c>
      <c r="BM61" s="49" t="e">
        <f>Saisie!BC61</f>
        <v>#REF!</v>
      </c>
      <c r="BN61" s="175"/>
    </row>
    <row r="62" spans="1:66" s="176" customFormat="1" x14ac:dyDescent="0.45">
      <c r="A62" s="13">
        <v>56</v>
      </c>
      <c r="B62" s="150">
        <f>Saisie!B62</f>
        <v>0</v>
      </c>
      <c r="C62" s="150">
        <f>Saisie!C62</f>
        <v>0</v>
      </c>
      <c r="D62" s="150">
        <f>Saisie!D62</f>
        <v>0</v>
      </c>
      <c r="E62" s="150">
        <f>Saisie!E62</f>
        <v>0</v>
      </c>
      <c r="F62" s="150">
        <f>Saisie!F62</f>
        <v>0</v>
      </c>
      <c r="G62" s="150">
        <f>Saisie!G62</f>
        <v>0</v>
      </c>
      <c r="H62" s="150">
        <f>Saisie!I62</f>
        <v>0</v>
      </c>
      <c r="I62" s="150">
        <f>Saisie!J62</f>
        <v>0</v>
      </c>
      <c r="J62" s="150">
        <f>Saisie!K62</f>
        <v>0</v>
      </c>
      <c r="K62" s="150">
        <f>Saisie!L62</f>
        <v>0</v>
      </c>
      <c r="L62" s="150" t="e">
        <f>Saisie!#REF!</f>
        <v>#REF!</v>
      </c>
      <c r="M62" s="55" t="e">
        <f t="array" ref="M62">_xlfn.IFS(Saisie!M62="OUI",1,Saisie!M62="NON",0)</f>
        <v>#N/A</v>
      </c>
      <c r="N62" s="64" t="e">
        <f>Saisie!#REF!</f>
        <v>#REF!</v>
      </c>
      <c r="O62" s="63" t="e">
        <f>Saisie!#REF!</f>
        <v>#REF!</v>
      </c>
      <c r="P62" s="63">
        <f>Saisie!N62</f>
        <v>0</v>
      </c>
      <c r="Q62" s="63" t="e">
        <f t="array" ref="Q62">_xlfn.IFS(Saisie!#REF!="OUI",1,Saisie!#REF!="NON",0)</f>
        <v>#REF!</v>
      </c>
      <c r="R62" s="63" t="e">
        <f>Saisie!#REF!</f>
        <v>#REF!</v>
      </c>
      <c r="S62" s="65" t="e">
        <f>Saisie!#REF!</f>
        <v>#REF!</v>
      </c>
      <c r="T62" s="63" t="e">
        <f>Saisie!#REF!</f>
        <v>#REF!</v>
      </c>
      <c r="U62" s="63" t="e">
        <f>Saisie!#REF!</f>
        <v>#REF!</v>
      </c>
      <c r="V62" s="63" t="e">
        <f t="array" ref="V62">_xlfn.IFS(Saisie!#REF!="OUI",1,Saisie!#REF!="NON",0)</f>
        <v>#REF!</v>
      </c>
      <c r="W62" s="63" t="e">
        <f t="array" ref="W62">_xlfn.IFS(Saisie!O62="OUI",1,Saisie!O62="NON",0)</f>
        <v>#N/A</v>
      </c>
      <c r="X62" s="63">
        <f>Saisie!P62</f>
        <v>0</v>
      </c>
      <c r="Y62" s="299">
        <f>Saisie!H62</f>
        <v>0</v>
      </c>
      <c r="Z62" s="58" t="e">
        <f>Saisie!#REF!</f>
        <v>#REF!</v>
      </c>
      <c r="AA62" s="299">
        <f>Saisie!Q62</f>
        <v>0</v>
      </c>
      <c r="AB62" s="63" t="e">
        <f t="array" ref="AB62">_xlfn.IFS(Saisie!R62="OUI",1,Saisie!R62="NON",0)</f>
        <v>#N/A</v>
      </c>
      <c r="AC62" s="63">
        <f>Saisie!S62</f>
        <v>0</v>
      </c>
      <c r="AD62" s="63" t="e">
        <f t="array" ref="AD62">_xlfn.IFS(Saisie!T62="OUI",1,Saisie!T62="NON",0)</f>
        <v>#N/A</v>
      </c>
      <c r="AE62" s="171">
        <f>Saisie!U62</f>
        <v>0</v>
      </c>
      <c r="AF62" s="263">
        <v>3</v>
      </c>
      <c r="AG62" s="129">
        <f>Saisie!W62</f>
        <v>0</v>
      </c>
      <c r="AH62" s="20">
        <f>Saisie!X62</f>
        <v>0</v>
      </c>
      <c r="AI62" s="21">
        <f>Saisie!Y62</f>
        <v>0</v>
      </c>
      <c r="AJ62" s="59">
        <f>Saisie!Z62</f>
        <v>0</v>
      </c>
      <c r="AK62" s="20">
        <f>Saisie!AA62</f>
        <v>0</v>
      </c>
      <c r="AL62" s="21">
        <f>Saisie!AB62</f>
        <v>0</v>
      </c>
      <c r="AM62" s="59">
        <f>Saisie!AC62</f>
        <v>0</v>
      </c>
      <c r="AN62" s="20">
        <f>Saisie!AD62</f>
        <v>0</v>
      </c>
      <c r="AO62" s="21">
        <f>Saisie!AE62</f>
        <v>0</v>
      </c>
      <c r="AP62" s="59">
        <f>Saisie!AF62</f>
        <v>0</v>
      </c>
      <c r="AQ62" s="129" t="e">
        <f t="array" ref="AQ62">_xlfn.IFS(Saisie!AG62="OUI",1,Saisie!AG62="NON",0)</f>
        <v>#N/A</v>
      </c>
      <c r="AR62" s="129" t="e">
        <f t="array" ref="AR62">_xlfn.IFS(Saisie!AH62="OUI",1,Saisie!AH62="NON",0)</f>
        <v>#N/A</v>
      </c>
      <c r="AS62" s="171">
        <f>Saisie!AI62</f>
        <v>0</v>
      </c>
      <c r="AT62" s="263" t="e">
        <f t="array" ref="AT62">_xlfn.IFS(Saisie!AJ62="OUI",1,Saisie!AJ62="NON",0)</f>
        <v>#N/A</v>
      </c>
      <c r="AU62" s="173">
        <f>Saisie!AK62</f>
        <v>0</v>
      </c>
      <c r="AV62" s="263" t="e">
        <f t="array" ref="AV62">_xlfn.IFS(Saisie!AL62="OUI",1,Saisie!AL62="NON",0)</f>
        <v>#N/A</v>
      </c>
      <c r="AW62" s="171">
        <f>Saisie!AM62</f>
        <v>0</v>
      </c>
      <c r="AX62" s="68">
        <f>Saisie!AN62</f>
        <v>0</v>
      </c>
      <c r="AY62" s="20">
        <f>Saisie!AO62</f>
        <v>0</v>
      </c>
      <c r="AZ62" s="21">
        <f>Saisie!AP62</f>
        <v>0</v>
      </c>
      <c r="BA62" s="298">
        <f>Saisie!AQ62</f>
        <v>0</v>
      </c>
      <c r="BB62" s="170">
        <f>Saisie!AR62</f>
        <v>0</v>
      </c>
      <c r="BC62" s="174">
        <f>Saisie!AS62</f>
        <v>0</v>
      </c>
      <c r="BD62" s="61">
        <f>Saisie!AT62</f>
        <v>0</v>
      </c>
      <c r="BE62" s="175" t="e">
        <f t="array" ref="BE62">_xlfn.IFS(Saisie!AU62="OUI",1,Saisie!AU62="NON",0)</f>
        <v>#N/A</v>
      </c>
      <c r="BF62" s="267">
        <f>Saisie!AV62</f>
        <v>0</v>
      </c>
      <c r="BG62" s="55">
        <f>Saisie!AW62</f>
        <v>0</v>
      </c>
      <c r="BH62" s="55" t="e">
        <f t="array" ref="BH62">_xlfn.IFS(Saisie!AX62="OUI",1,Saisie!AX62="NON",0)</f>
        <v>#N/A</v>
      </c>
      <c r="BI62" s="62">
        <f>Saisie!AY62</f>
        <v>0</v>
      </c>
      <c r="BJ62" s="55" t="e">
        <f t="array" ref="BJ62">_xlfn.IFS(Saisie!AZ62="OUI",1,Saisie!AZ62="NON",0)</f>
        <v>#N/A</v>
      </c>
      <c r="BK62" s="55" t="e">
        <f t="array" ref="BK62">_xlfn.IFS(Saisie!BA62="OUI",1,Saisie!BA62="NON",0)</f>
        <v>#N/A</v>
      </c>
      <c r="BL62" s="55">
        <f>Saisie!BB62</f>
        <v>0</v>
      </c>
      <c r="BM62" s="49" t="e">
        <f>Saisie!BC62</f>
        <v>#REF!</v>
      </c>
      <c r="BN62" s="175"/>
    </row>
    <row r="63" spans="1:66" s="176" customFormat="1" x14ac:dyDescent="0.45">
      <c r="A63" s="13">
        <v>57</v>
      </c>
      <c r="B63" s="150">
        <f>Saisie!B63</f>
        <v>0</v>
      </c>
      <c r="C63" s="150">
        <f>Saisie!C63</f>
        <v>0</v>
      </c>
      <c r="D63" s="150">
        <f>Saisie!D63</f>
        <v>0</v>
      </c>
      <c r="E63" s="150">
        <f>Saisie!E63</f>
        <v>0</v>
      </c>
      <c r="F63" s="150">
        <f>Saisie!F63</f>
        <v>0</v>
      </c>
      <c r="G63" s="150">
        <f>Saisie!G63</f>
        <v>0</v>
      </c>
      <c r="H63" s="150">
        <f>Saisie!I63</f>
        <v>0</v>
      </c>
      <c r="I63" s="150">
        <f>Saisie!J63</f>
        <v>0</v>
      </c>
      <c r="J63" s="150">
        <f>Saisie!K63</f>
        <v>0</v>
      </c>
      <c r="K63" s="150">
        <f>Saisie!L63</f>
        <v>0</v>
      </c>
      <c r="L63" s="150" t="e">
        <f>Saisie!#REF!</f>
        <v>#REF!</v>
      </c>
      <c r="M63" s="55" t="e">
        <f t="array" ref="M63">_xlfn.IFS(Saisie!M63="OUI",1,Saisie!M63="NON",0)</f>
        <v>#N/A</v>
      </c>
      <c r="N63" s="64" t="e">
        <f>Saisie!#REF!</f>
        <v>#REF!</v>
      </c>
      <c r="O63" s="63" t="e">
        <f>Saisie!#REF!</f>
        <v>#REF!</v>
      </c>
      <c r="P63" s="63">
        <f>Saisie!N63</f>
        <v>0</v>
      </c>
      <c r="Q63" s="63" t="e">
        <f t="array" ref="Q63">_xlfn.IFS(Saisie!#REF!="OUI",1,Saisie!#REF!="NON",0)</f>
        <v>#REF!</v>
      </c>
      <c r="R63" s="63" t="e">
        <f>Saisie!#REF!</f>
        <v>#REF!</v>
      </c>
      <c r="S63" s="65" t="e">
        <f>Saisie!#REF!</f>
        <v>#REF!</v>
      </c>
      <c r="T63" s="63" t="e">
        <f>Saisie!#REF!</f>
        <v>#REF!</v>
      </c>
      <c r="U63" s="63" t="e">
        <f>Saisie!#REF!</f>
        <v>#REF!</v>
      </c>
      <c r="V63" s="63" t="e">
        <f t="array" ref="V63">_xlfn.IFS(Saisie!#REF!="OUI",1,Saisie!#REF!="NON",0)</f>
        <v>#REF!</v>
      </c>
      <c r="W63" s="63" t="e">
        <f t="array" ref="W63">_xlfn.IFS(Saisie!O63="OUI",1,Saisie!O63="NON",0)</f>
        <v>#N/A</v>
      </c>
      <c r="X63" s="63">
        <f>Saisie!P63</f>
        <v>0</v>
      </c>
      <c r="Y63" s="299">
        <f>Saisie!H63</f>
        <v>0</v>
      </c>
      <c r="Z63" s="58" t="e">
        <f>Saisie!#REF!</f>
        <v>#REF!</v>
      </c>
      <c r="AA63" s="299">
        <f>Saisie!Q63</f>
        <v>0</v>
      </c>
      <c r="AB63" s="63" t="e">
        <f t="array" ref="AB63">_xlfn.IFS(Saisie!R63="OUI",1,Saisie!R63="NON",0)</f>
        <v>#N/A</v>
      </c>
      <c r="AC63" s="63">
        <f>Saisie!S63</f>
        <v>0</v>
      </c>
      <c r="AD63" s="63" t="e">
        <f t="array" ref="AD63">_xlfn.IFS(Saisie!T63="OUI",1,Saisie!T63="NON",0)</f>
        <v>#N/A</v>
      </c>
      <c r="AE63" s="171">
        <f>Saisie!U63</f>
        <v>0</v>
      </c>
      <c r="AF63" s="263">
        <v>3</v>
      </c>
      <c r="AG63" s="129">
        <f>Saisie!W63</f>
        <v>0</v>
      </c>
      <c r="AH63" s="20">
        <f>Saisie!X63</f>
        <v>0</v>
      </c>
      <c r="AI63" s="21">
        <f>Saisie!Y63</f>
        <v>0</v>
      </c>
      <c r="AJ63" s="59">
        <f>Saisie!Z63</f>
        <v>0</v>
      </c>
      <c r="AK63" s="20">
        <f>Saisie!AA63</f>
        <v>0</v>
      </c>
      <c r="AL63" s="21">
        <f>Saisie!AB63</f>
        <v>0</v>
      </c>
      <c r="AM63" s="59">
        <f>Saisie!AC63</f>
        <v>0</v>
      </c>
      <c r="AN63" s="20">
        <f>Saisie!AD63</f>
        <v>0</v>
      </c>
      <c r="AO63" s="21">
        <f>Saisie!AE63</f>
        <v>0</v>
      </c>
      <c r="AP63" s="59">
        <f>Saisie!AF63</f>
        <v>0</v>
      </c>
      <c r="AQ63" s="129" t="e">
        <f t="array" ref="AQ63">_xlfn.IFS(Saisie!AG63="OUI",1,Saisie!AG63="NON",0)</f>
        <v>#N/A</v>
      </c>
      <c r="AR63" s="129" t="e">
        <f t="array" ref="AR63">_xlfn.IFS(Saisie!AH63="OUI",1,Saisie!AH63="NON",0)</f>
        <v>#N/A</v>
      </c>
      <c r="AS63" s="171">
        <f>Saisie!AI63</f>
        <v>0</v>
      </c>
      <c r="AT63" s="263" t="e">
        <f t="array" ref="AT63">_xlfn.IFS(Saisie!AJ63="OUI",1,Saisie!AJ63="NON",0)</f>
        <v>#N/A</v>
      </c>
      <c r="AU63" s="173">
        <f>Saisie!AK63</f>
        <v>0</v>
      </c>
      <c r="AV63" s="263" t="e">
        <f t="array" ref="AV63">_xlfn.IFS(Saisie!AL63="OUI",1,Saisie!AL63="NON",0)</f>
        <v>#N/A</v>
      </c>
      <c r="AW63" s="171">
        <f>Saisie!AM63</f>
        <v>0</v>
      </c>
      <c r="AX63" s="68">
        <f>Saisie!AN63</f>
        <v>0</v>
      </c>
      <c r="AY63" s="20">
        <f>Saisie!AO63</f>
        <v>0</v>
      </c>
      <c r="AZ63" s="21">
        <f>Saisie!AP63</f>
        <v>0</v>
      </c>
      <c r="BA63" s="298">
        <f>Saisie!AQ63</f>
        <v>0</v>
      </c>
      <c r="BB63" s="170">
        <f>Saisie!AR63</f>
        <v>0</v>
      </c>
      <c r="BC63" s="174">
        <f>Saisie!AS63</f>
        <v>0</v>
      </c>
      <c r="BD63" s="61">
        <f>Saisie!AT63</f>
        <v>0</v>
      </c>
      <c r="BE63" s="175" t="e">
        <f t="array" ref="BE63">_xlfn.IFS(Saisie!AU63="OUI",1,Saisie!AU63="NON",0)</f>
        <v>#N/A</v>
      </c>
      <c r="BF63" s="267">
        <f>Saisie!AV63</f>
        <v>0</v>
      </c>
      <c r="BG63" s="55">
        <f>Saisie!AW63</f>
        <v>0</v>
      </c>
      <c r="BH63" s="55" t="e">
        <f t="array" ref="BH63">_xlfn.IFS(Saisie!AX63="OUI",1,Saisie!AX63="NON",0)</f>
        <v>#N/A</v>
      </c>
      <c r="BI63" s="62">
        <f>Saisie!AY63</f>
        <v>0</v>
      </c>
      <c r="BJ63" s="55" t="e">
        <f t="array" ref="BJ63">_xlfn.IFS(Saisie!AZ63="OUI",1,Saisie!AZ63="NON",0)</f>
        <v>#N/A</v>
      </c>
      <c r="BK63" s="55" t="e">
        <f t="array" ref="BK63">_xlfn.IFS(Saisie!BA63="OUI",1,Saisie!BA63="NON",0)</f>
        <v>#N/A</v>
      </c>
      <c r="BL63" s="55">
        <f>Saisie!BB63</f>
        <v>0</v>
      </c>
      <c r="BM63" s="49" t="e">
        <f>Saisie!BC63</f>
        <v>#REF!</v>
      </c>
      <c r="BN63" s="175"/>
    </row>
    <row r="64" spans="1:66" s="176" customFormat="1" x14ac:dyDescent="0.45">
      <c r="A64" s="12">
        <v>58</v>
      </c>
      <c r="B64" s="150">
        <f>Saisie!B64</f>
        <v>0</v>
      </c>
      <c r="C64" s="150">
        <f>Saisie!C64</f>
        <v>0</v>
      </c>
      <c r="D64" s="150">
        <f>Saisie!D64</f>
        <v>0</v>
      </c>
      <c r="E64" s="150">
        <f>Saisie!E64</f>
        <v>0</v>
      </c>
      <c r="F64" s="150">
        <f>Saisie!F64</f>
        <v>0</v>
      </c>
      <c r="G64" s="150">
        <f>Saisie!G64</f>
        <v>0</v>
      </c>
      <c r="H64" s="150">
        <f>Saisie!I64</f>
        <v>0</v>
      </c>
      <c r="I64" s="150">
        <f>Saisie!J64</f>
        <v>0</v>
      </c>
      <c r="J64" s="150">
        <f>Saisie!K64</f>
        <v>0</v>
      </c>
      <c r="K64" s="150">
        <f>Saisie!L64</f>
        <v>0</v>
      </c>
      <c r="L64" s="150" t="e">
        <f>Saisie!#REF!</f>
        <v>#REF!</v>
      </c>
      <c r="M64" s="55" t="e">
        <f t="array" ref="M64">_xlfn.IFS(Saisie!M64="OUI",1,Saisie!M64="NON",0)</f>
        <v>#N/A</v>
      </c>
      <c r="N64" s="64" t="e">
        <f>Saisie!#REF!</f>
        <v>#REF!</v>
      </c>
      <c r="O64" s="63" t="e">
        <f>Saisie!#REF!</f>
        <v>#REF!</v>
      </c>
      <c r="P64" s="63">
        <f>Saisie!N64</f>
        <v>0</v>
      </c>
      <c r="Q64" s="63" t="e">
        <f t="array" ref="Q64">_xlfn.IFS(Saisie!#REF!="OUI",1,Saisie!#REF!="NON",0)</f>
        <v>#REF!</v>
      </c>
      <c r="R64" s="63" t="e">
        <f>Saisie!#REF!</f>
        <v>#REF!</v>
      </c>
      <c r="S64" s="65" t="e">
        <f>Saisie!#REF!</f>
        <v>#REF!</v>
      </c>
      <c r="T64" s="63" t="e">
        <f>Saisie!#REF!</f>
        <v>#REF!</v>
      </c>
      <c r="U64" s="63" t="e">
        <f>Saisie!#REF!</f>
        <v>#REF!</v>
      </c>
      <c r="V64" s="63" t="e">
        <f t="array" ref="V64">_xlfn.IFS(Saisie!#REF!="OUI",1,Saisie!#REF!="NON",0)</f>
        <v>#REF!</v>
      </c>
      <c r="W64" s="63" t="e">
        <f t="array" ref="W64">_xlfn.IFS(Saisie!O64="OUI",1,Saisie!O64="NON",0)</f>
        <v>#N/A</v>
      </c>
      <c r="X64" s="63">
        <f>Saisie!P64</f>
        <v>0</v>
      </c>
      <c r="Y64" s="299">
        <f>Saisie!H64</f>
        <v>0</v>
      </c>
      <c r="Z64" s="58" t="e">
        <f>Saisie!#REF!</f>
        <v>#REF!</v>
      </c>
      <c r="AA64" s="299">
        <f>Saisie!Q64</f>
        <v>0</v>
      </c>
      <c r="AB64" s="63" t="e">
        <f t="array" ref="AB64">_xlfn.IFS(Saisie!R64="OUI",1,Saisie!R64="NON",0)</f>
        <v>#N/A</v>
      </c>
      <c r="AC64" s="63">
        <f>Saisie!S64</f>
        <v>0</v>
      </c>
      <c r="AD64" s="63" t="e">
        <f t="array" ref="AD64">_xlfn.IFS(Saisie!T64="OUI",1,Saisie!T64="NON",0)</f>
        <v>#N/A</v>
      </c>
      <c r="AE64" s="171">
        <f>Saisie!U64</f>
        <v>0</v>
      </c>
      <c r="AF64" s="263">
        <v>3</v>
      </c>
      <c r="AG64" s="129">
        <f>Saisie!W64</f>
        <v>0</v>
      </c>
      <c r="AH64" s="20">
        <f>Saisie!X64</f>
        <v>0</v>
      </c>
      <c r="AI64" s="21">
        <f>Saisie!Y64</f>
        <v>0</v>
      </c>
      <c r="AJ64" s="59">
        <f>Saisie!Z64</f>
        <v>0</v>
      </c>
      <c r="AK64" s="20">
        <f>Saisie!AA64</f>
        <v>0</v>
      </c>
      <c r="AL64" s="21">
        <f>Saisie!AB64</f>
        <v>0</v>
      </c>
      <c r="AM64" s="59">
        <f>Saisie!AC64</f>
        <v>0</v>
      </c>
      <c r="AN64" s="20">
        <f>Saisie!AD64</f>
        <v>0</v>
      </c>
      <c r="AO64" s="21">
        <f>Saisie!AE64</f>
        <v>0</v>
      </c>
      <c r="AP64" s="59">
        <f>Saisie!AF64</f>
        <v>0</v>
      </c>
      <c r="AQ64" s="129" t="e">
        <f t="array" ref="AQ64">_xlfn.IFS(Saisie!AG64="OUI",1,Saisie!AG64="NON",0)</f>
        <v>#N/A</v>
      </c>
      <c r="AR64" s="129" t="e">
        <f t="array" ref="AR64">_xlfn.IFS(Saisie!AH64="OUI",1,Saisie!AH64="NON",0)</f>
        <v>#N/A</v>
      </c>
      <c r="AS64" s="171">
        <f>Saisie!AI64</f>
        <v>0</v>
      </c>
      <c r="AT64" s="263" t="e">
        <f t="array" ref="AT64">_xlfn.IFS(Saisie!AJ64="OUI",1,Saisie!AJ64="NON",0)</f>
        <v>#N/A</v>
      </c>
      <c r="AU64" s="173">
        <f>Saisie!AK64</f>
        <v>0</v>
      </c>
      <c r="AV64" s="263" t="e">
        <f t="array" ref="AV64">_xlfn.IFS(Saisie!AL64="OUI",1,Saisie!AL64="NON",0)</f>
        <v>#N/A</v>
      </c>
      <c r="AW64" s="171">
        <f>Saisie!AM64</f>
        <v>0</v>
      </c>
      <c r="AX64" s="68">
        <f>Saisie!AN64</f>
        <v>0</v>
      </c>
      <c r="AY64" s="20">
        <f>Saisie!AO64</f>
        <v>0</v>
      </c>
      <c r="AZ64" s="21">
        <f>Saisie!AP64</f>
        <v>0</v>
      </c>
      <c r="BA64" s="298">
        <f>Saisie!AQ64</f>
        <v>0</v>
      </c>
      <c r="BB64" s="170">
        <f>Saisie!AR64</f>
        <v>0</v>
      </c>
      <c r="BC64" s="174">
        <f>Saisie!AS64</f>
        <v>0</v>
      </c>
      <c r="BD64" s="61">
        <f>Saisie!AT64</f>
        <v>0</v>
      </c>
      <c r="BE64" s="175" t="e">
        <f t="array" ref="BE64">_xlfn.IFS(Saisie!AU64="OUI",1,Saisie!AU64="NON",0)</f>
        <v>#N/A</v>
      </c>
      <c r="BF64" s="267">
        <f>Saisie!AV64</f>
        <v>0</v>
      </c>
      <c r="BG64" s="55">
        <f>Saisie!AW64</f>
        <v>0</v>
      </c>
      <c r="BH64" s="55" t="e">
        <f t="array" ref="BH64">_xlfn.IFS(Saisie!AX64="OUI",1,Saisie!AX64="NON",0)</f>
        <v>#N/A</v>
      </c>
      <c r="BI64" s="62">
        <f>Saisie!AY64</f>
        <v>0</v>
      </c>
      <c r="BJ64" s="55" t="e">
        <f t="array" ref="BJ64">_xlfn.IFS(Saisie!AZ64="OUI",1,Saisie!AZ64="NON",0)</f>
        <v>#N/A</v>
      </c>
      <c r="BK64" s="55" t="e">
        <f t="array" ref="BK64">_xlfn.IFS(Saisie!BA64="OUI",1,Saisie!BA64="NON",0)</f>
        <v>#N/A</v>
      </c>
      <c r="BL64" s="55">
        <f>Saisie!BB64</f>
        <v>0</v>
      </c>
      <c r="BM64" s="49" t="e">
        <f>Saisie!BC64</f>
        <v>#REF!</v>
      </c>
      <c r="BN64" s="175"/>
    </row>
    <row r="65" spans="1:66" s="176" customFormat="1" x14ac:dyDescent="0.45">
      <c r="A65" s="13">
        <v>59</v>
      </c>
      <c r="B65" s="150">
        <f>Saisie!B65</f>
        <v>0</v>
      </c>
      <c r="C65" s="150">
        <f>Saisie!C65</f>
        <v>0</v>
      </c>
      <c r="D65" s="150">
        <f>Saisie!D65</f>
        <v>0</v>
      </c>
      <c r="E65" s="150">
        <f>Saisie!E65</f>
        <v>0</v>
      </c>
      <c r="F65" s="150">
        <f>Saisie!F65</f>
        <v>0</v>
      </c>
      <c r="G65" s="150">
        <f>Saisie!G65</f>
        <v>0</v>
      </c>
      <c r="H65" s="150">
        <f>Saisie!I65</f>
        <v>0</v>
      </c>
      <c r="I65" s="150">
        <f>Saisie!J65</f>
        <v>0</v>
      </c>
      <c r="J65" s="150">
        <f>Saisie!K65</f>
        <v>0</v>
      </c>
      <c r="K65" s="150">
        <f>Saisie!L65</f>
        <v>0</v>
      </c>
      <c r="L65" s="150" t="e">
        <f>Saisie!#REF!</f>
        <v>#REF!</v>
      </c>
      <c r="M65" s="55" t="e">
        <f t="array" ref="M65">_xlfn.IFS(Saisie!M65="OUI",1,Saisie!M65="NON",0)</f>
        <v>#N/A</v>
      </c>
      <c r="N65" s="64" t="e">
        <f>Saisie!#REF!</f>
        <v>#REF!</v>
      </c>
      <c r="O65" s="63" t="e">
        <f>Saisie!#REF!</f>
        <v>#REF!</v>
      </c>
      <c r="P65" s="63">
        <f>Saisie!N65</f>
        <v>0</v>
      </c>
      <c r="Q65" s="63" t="e">
        <f t="array" ref="Q65">_xlfn.IFS(Saisie!#REF!="OUI",1,Saisie!#REF!="NON",0)</f>
        <v>#REF!</v>
      </c>
      <c r="R65" s="63" t="e">
        <f>Saisie!#REF!</f>
        <v>#REF!</v>
      </c>
      <c r="S65" s="65" t="e">
        <f>Saisie!#REF!</f>
        <v>#REF!</v>
      </c>
      <c r="T65" s="63" t="e">
        <f>Saisie!#REF!</f>
        <v>#REF!</v>
      </c>
      <c r="U65" s="63" t="e">
        <f>Saisie!#REF!</f>
        <v>#REF!</v>
      </c>
      <c r="V65" s="63" t="e">
        <f t="array" ref="V65">_xlfn.IFS(Saisie!#REF!="OUI",1,Saisie!#REF!="NON",0)</f>
        <v>#REF!</v>
      </c>
      <c r="W65" s="63" t="e">
        <f t="array" ref="W65">_xlfn.IFS(Saisie!O65="OUI",1,Saisie!O65="NON",0)</f>
        <v>#N/A</v>
      </c>
      <c r="X65" s="63">
        <f>Saisie!P65</f>
        <v>0</v>
      </c>
      <c r="Y65" s="299">
        <f>Saisie!H65</f>
        <v>0</v>
      </c>
      <c r="Z65" s="58" t="e">
        <f>Saisie!#REF!</f>
        <v>#REF!</v>
      </c>
      <c r="AA65" s="299">
        <f>Saisie!Q65</f>
        <v>0</v>
      </c>
      <c r="AB65" s="63" t="e">
        <f t="array" ref="AB65">_xlfn.IFS(Saisie!R65="OUI",1,Saisie!R65="NON",0)</f>
        <v>#N/A</v>
      </c>
      <c r="AC65" s="63">
        <f>Saisie!S65</f>
        <v>0</v>
      </c>
      <c r="AD65" s="63" t="e">
        <f t="array" ref="AD65">_xlfn.IFS(Saisie!T65="OUI",1,Saisie!T65="NON",0)</f>
        <v>#N/A</v>
      </c>
      <c r="AE65" s="171">
        <f>Saisie!U65</f>
        <v>0</v>
      </c>
      <c r="AF65" s="263">
        <v>3</v>
      </c>
      <c r="AG65" s="129">
        <f>Saisie!W65</f>
        <v>0</v>
      </c>
      <c r="AH65" s="20">
        <f>Saisie!X65</f>
        <v>0</v>
      </c>
      <c r="AI65" s="21">
        <f>Saisie!Y65</f>
        <v>0</v>
      </c>
      <c r="AJ65" s="59">
        <f>Saisie!Z65</f>
        <v>0</v>
      </c>
      <c r="AK65" s="20">
        <f>Saisie!AA65</f>
        <v>0</v>
      </c>
      <c r="AL65" s="21">
        <f>Saisie!AB65</f>
        <v>0</v>
      </c>
      <c r="AM65" s="59">
        <f>Saisie!AC65</f>
        <v>0</v>
      </c>
      <c r="AN65" s="20">
        <f>Saisie!AD65</f>
        <v>0</v>
      </c>
      <c r="AO65" s="21">
        <f>Saisie!AE65</f>
        <v>0</v>
      </c>
      <c r="AP65" s="59">
        <f>Saisie!AF65</f>
        <v>0</v>
      </c>
      <c r="AQ65" s="129" t="e">
        <f t="array" ref="AQ65">_xlfn.IFS(Saisie!AG65="OUI",1,Saisie!AG65="NON",0)</f>
        <v>#N/A</v>
      </c>
      <c r="AR65" s="129" t="e">
        <f t="array" ref="AR65">_xlfn.IFS(Saisie!AH65="OUI",1,Saisie!AH65="NON",0)</f>
        <v>#N/A</v>
      </c>
      <c r="AS65" s="171">
        <f>Saisie!AI65</f>
        <v>0</v>
      </c>
      <c r="AT65" s="263" t="e">
        <f t="array" ref="AT65">_xlfn.IFS(Saisie!AJ65="OUI",1,Saisie!AJ65="NON",0)</f>
        <v>#N/A</v>
      </c>
      <c r="AU65" s="173">
        <f>Saisie!AK65</f>
        <v>0</v>
      </c>
      <c r="AV65" s="263" t="e">
        <f t="array" ref="AV65">_xlfn.IFS(Saisie!AL65="OUI",1,Saisie!AL65="NON",0)</f>
        <v>#N/A</v>
      </c>
      <c r="AW65" s="171">
        <f>Saisie!AM65</f>
        <v>0</v>
      </c>
      <c r="AX65" s="68">
        <f>Saisie!AN65</f>
        <v>0</v>
      </c>
      <c r="AY65" s="20">
        <f>Saisie!AO65</f>
        <v>0</v>
      </c>
      <c r="AZ65" s="21">
        <f>Saisie!AP65</f>
        <v>0</v>
      </c>
      <c r="BA65" s="298">
        <f>Saisie!AQ65</f>
        <v>0</v>
      </c>
      <c r="BB65" s="170">
        <f>Saisie!AR65</f>
        <v>0</v>
      </c>
      <c r="BC65" s="174">
        <f>Saisie!AS65</f>
        <v>0</v>
      </c>
      <c r="BD65" s="61">
        <f>Saisie!AT65</f>
        <v>0</v>
      </c>
      <c r="BE65" s="175" t="e">
        <f t="array" ref="BE65">_xlfn.IFS(Saisie!AU65="OUI",1,Saisie!AU65="NON",0)</f>
        <v>#N/A</v>
      </c>
      <c r="BF65" s="267">
        <f>Saisie!AV65</f>
        <v>0</v>
      </c>
      <c r="BG65" s="55">
        <f>Saisie!AW65</f>
        <v>0</v>
      </c>
      <c r="BH65" s="55" t="e">
        <f t="array" ref="BH65">_xlfn.IFS(Saisie!AX65="OUI",1,Saisie!AX65="NON",0)</f>
        <v>#N/A</v>
      </c>
      <c r="BI65" s="62">
        <f>Saisie!AY65</f>
        <v>0</v>
      </c>
      <c r="BJ65" s="55" t="e">
        <f t="array" ref="BJ65">_xlfn.IFS(Saisie!AZ65="OUI",1,Saisie!AZ65="NON",0)</f>
        <v>#N/A</v>
      </c>
      <c r="BK65" s="55" t="e">
        <f t="array" ref="BK65">_xlfn.IFS(Saisie!BA65="OUI",1,Saisie!BA65="NON",0)</f>
        <v>#N/A</v>
      </c>
      <c r="BL65" s="55">
        <f>Saisie!BB65</f>
        <v>0</v>
      </c>
      <c r="BM65" s="49" t="e">
        <f>Saisie!BC65</f>
        <v>#REF!</v>
      </c>
      <c r="BN65" s="175"/>
    </row>
    <row r="66" spans="1:66" s="176" customFormat="1" x14ac:dyDescent="0.45">
      <c r="A66" s="13">
        <v>60</v>
      </c>
      <c r="B66" s="150">
        <f>Saisie!B66</f>
        <v>0</v>
      </c>
      <c r="C66" s="150">
        <f>Saisie!C66</f>
        <v>0</v>
      </c>
      <c r="D66" s="150">
        <f>Saisie!D66</f>
        <v>0</v>
      </c>
      <c r="E66" s="150">
        <f>Saisie!E66</f>
        <v>0</v>
      </c>
      <c r="F66" s="150">
        <f>Saisie!F66</f>
        <v>0</v>
      </c>
      <c r="G66" s="150">
        <f>Saisie!G66</f>
        <v>0</v>
      </c>
      <c r="H66" s="150">
        <f>Saisie!I66</f>
        <v>0</v>
      </c>
      <c r="I66" s="150">
        <f>Saisie!J66</f>
        <v>0</v>
      </c>
      <c r="J66" s="150">
        <f>Saisie!K66</f>
        <v>0</v>
      </c>
      <c r="K66" s="150">
        <f>Saisie!L66</f>
        <v>0</v>
      </c>
      <c r="L66" s="150" t="e">
        <f>Saisie!#REF!</f>
        <v>#REF!</v>
      </c>
      <c r="M66" s="55" t="e">
        <f t="array" ref="M66">_xlfn.IFS(Saisie!M66="OUI",1,Saisie!M66="NON",0)</f>
        <v>#N/A</v>
      </c>
      <c r="N66" s="64" t="e">
        <f>Saisie!#REF!</f>
        <v>#REF!</v>
      </c>
      <c r="O66" s="63" t="e">
        <f>Saisie!#REF!</f>
        <v>#REF!</v>
      </c>
      <c r="P66" s="63">
        <f>Saisie!N66</f>
        <v>0</v>
      </c>
      <c r="Q66" s="63" t="e">
        <f t="array" ref="Q66">_xlfn.IFS(Saisie!#REF!="OUI",1,Saisie!#REF!="NON",0)</f>
        <v>#REF!</v>
      </c>
      <c r="R66" s="63" t="e">
        <f>Saisie!#REF!</f>
        <v>#REF!</v>
      </c>
      <c r="S66" s="65" t="e">
        <f>Saisie!#REF!</f>
        <v>#REF!</v>
      </c>
      <c r="T66" s="63" t="e">
        <f>Saisie!#REF!</f>
        <v>#REF!</v>
      </c>
      <c r="U66" s="63" t="e">
        <f>Saisie!#REF!</f>
        <v>#REF!</v>
      </c>
      <c r="V66" s="63" t="e">
        <f t="array" ref="V66">_xlfn.IFS(Saisie!#REF!="OUI",1,Saisie!#REF!="NON",0)</f>
        <v>#REF!</v>
      </c>
      <c r="W66" s="63" t="e">
        <f t="array" ref="W66">_xlfn.IFS(Saisie!O66="OUI",1,Saisie!O66="NON",0)</f>
        <v>#N/A</v>
      </c>
      <c r="X66" s="63">
        <f>Saisie!P66</f>
        <v>0</v>
      </c>
      <c r="Y66" s="299">
        <f>Saisie!H66</f>
        <v>0</v>
      </c>
      <c r="Z66" s="58" t="e">
        <f>Saisie!#REF!</f>
        <v>#REF!</v>
      </c>
      <c r="AA66" s="299">
        <f>Saisie!Q66</f>
        <v>0</v>
      </c>
      <c r="AB66" s="63" t="e">
        <f t="array" ref="AB66">_xlfn.IFS(Saisie!R66="OUI",1,Saisie!R66="NON",0)</f>
        <v>#N/A</v>
      </c>
      <c r="AC66" s="63">
        <f>Saisie!S66</f>
        <v>0</v>
      </c>
      <c r="AD66" s="63" t="e">
        <f t="array" ref="AD66">_xlfn.IFS(Saisie!T66="OUI",1,Saisie!T66="NON",0)</f>
        <v>#N/A</v>
      </c>
      <c r="AE66" s="171">
        <f>Saisie!U66</f>
        <v>0</v>
      </c>
      <c r="AF66" s="263">
        <v>3</v>
      </c>
      <c r="AG66" s="129">
        <f>Saisie!W66</f>
        <v>0</v>
      </c>
      <c r="AH66" s="20">
        <f>Saisie!X66</f>
        <v>0</v>
      </c>
      <c r="AI66" s="21">
        <f>Saisie!Y66</f>
        <v>0</v>
      </c>
      <c r="AJ66" s="59">
        <f>Saisie!Z66</f>
        <v>0</v>
      </c>
      <c r="AK66" s="20">
        <f>Saisie!AA66</f>
        <v>0</v>
      </c>
      <c r="AL66" s="21">
        <f>Saisie!AB66</f>
        <v>0</v>
      </c>
      <c r="AM66" s="59">
        <f>Saisie!AC66</f>
        <v>0</v>
      </c>
      <c r="AN66" s="20">
        <f>Saisie!AD66</f>
        <v>0</v>
      </c>
      <c r="AO66" s="21">
        <f>Saisie!AE66</f>
        <v>0</v>
      </c>
      <c r="AP66" s="59">
        <f>Saisie!AF66</f>
        <v>0</v>
      </c>
      <c r="AQ66" s="129" t="e">
        <f t="array" ref="AQ66">_xlfn.IFS(Saisie!AG66="OUI",1,Saisie!AG66="NON",0)</f>
        <v>#N/A</v>
      </c>
      <c r="AR66" s="129" t="e">
        <f t="array" ref="AR66">_xlfn.IFS(Saisie!AH66="OUI",1,Saisie!AH66="NON",0)</f>
        <v>#N/A</v>
      </c>
      <c r="AS66" s="171">
        <f>Saisie!AI66</f>
        <v>0</v>
      </c>
      <c r="AT66" s="263" t="e">
        <f t="array" ref="AT66">_xlfn.IFS(Saisie!AJ66="OUI",1,Saisie!AJ66="NON",0)</f>
        <v>#N/A</v>
      </c>
      <c r="AU66" s="173">
        <f>Saisie!AK66</f>
        <v>0</v>
      </c>
      <c r="AV66" s="263" t="e">
        <f t="array" ref="AV66">_xlfn.IFS(Saisie!AL66="OUI",1,Saisie!AL66="NON",0)</f>
        <v>#N/A</v>
      </c>
      <c r="AW66" s="171">
        <f>Saisie!AM66</f>
        <v>0</v>
      </c>
      <c r="AX66" s="68">
        <f>Saisie!AN66</f>
        <v>0</v>
      </c>
      <c r="AY66" s="20">
        <f>Saisie!AO66</f>
        <v>0</v>
      </c>
      <c r="AZ66" s="21">
        <f>Saisie!AP66</f>
        <v>0</v>
      </c>
      <c r="BA66" s="298">
        <f>Saisie!AQ66</f>
        <v>0</v>
      </c>
      <c r="BB66" s="170">
        <f>Saisie!AR66</f>
        <v>0</v>
      </c>
      <c r="BC66" s="174">
        <f>Saisie!AS66</f>
        <v>0</v>
      </c>
      <c r="BD66" s="61">
        <f>Saisie!AT66</f>
        <v>0</v>
      </c>
      <c r="BE66" s="175" t="e">
        <f t="array" ref="BE66">_xlfn.IFS(Saisie!AU66="OUI",1,Saisie!AU66="NON",0)</f>
        <v>#N/A</v>
      </c>
      <c r="BF66" s="267">
        <f>Saisie!AV66</f>
        <v>0</v>
      </c>
      <c r="BG66" s="55">
        <f>Saisie!AW66</f>
        <v>0</v>
      </c>
      <c r="BH66" s="55" t="e">
        <f t="array" ref="BH66">_xlfn.IFS(Saisie!AX66="OUI",1,Saisie!AX66="NON",0)</f>
        <v>#N/A</v>
      </c>
      <c r="BI66" s="62">
        <f>Saisie!AY66</f>
        <v>0</v>
      </c>
      <c r="BJ66" s="55" t="e">
        <f t="array" ref="BJ66">_xlfn.IFS(Saisie!AZ66="OUI",1,Saisie!AZ66="NON",0)</f>
        <v>#N/A</v>
      </c>
      <c r="BK66" s="55" t="e">
        <f t="array" ref="BK66">_xlfn.IFS(Saisie!BA66="OUI",1,Saisie!BA66="NON",0)</f>
        <v>#N/A</v>
      </c>
      <c r="BL66" s="55">
        <f>Saisie!BB66</f>
        <v>0</v>
      </c>
      <c r="BM66" s="49" t="e">
        <f>Saisie!BC66</f>
        <v>#REF!</v>
      </c>
      <c r="BN66" s="175"/>
    </row>
    <row r="67" spans="1:66" s="176" customFormat="1" x14ac:dyDescent="0.45">
      <c r="A67" s="12">
        <v>61</v>
      </c>
      <c r="B67" s="150">
        <f>Saisie!B67</f>
        <v>0</v>
      </c>
      <c r="C67" s="150">
        <f>Saisie!C67</f>
        <v>0</v>
      </c>
      <c r="D67" s="150">
        <f>Saisie!D67</f>
        <v>0</v>
      </c>
      <c r="E67" s="150">
        <f>Saisie!E67</f>
        <v>0</v>
      </c>
      <c r="F67" s="150">
        <f>Saisie!F67</f>
        <v>0</v>
      </c>
      <c r="G67" s="150">
        <f>Saisie!G67</f>
        <v>0</v>
      </c>
      <c r="H67" s="150">
        <f>Saisie!I67</f>
        <v>0</v>
      </c>
      <c r="I67" s="150">
        <f>Saisie!J67</f>
        <v>0</v>
      </c>
      <c r="J67" s="150">
        <f>Saisie!K67</f>
        <v>0</v>
      </c>
      <c r="K67" s="150">
        <f>Saisie!L67</f>
        <v>0</v>
      </c>
      <c r="L67" s="150" t="e">
        <f>Saisie!#REF!</f>
        <v>#REF!</v>
      </c>
      <c r="M67" s="55" t="e">
        <f t="array" ref="M67">_xlfn.IFS(Saisie!M67="OUI",1,Saisie!M67="NON",0)</f>
        <v>#N/A</v>
      </c>
      <c r="N67" s="64" t="e">
        <f>Saisie!#REF!</f>
        <v>#REF!</v>
      </c>
      <c r="O67" s="63" t="e">
        <f>Saisie!#REF!</f>
        <v>#REF!</v>
      </c>
      <c r="P67" s="63">
        <f>Saisie!N67</f>
        <v>0</v>
      </c>
      <c r="Q67" s="63" t="e">
        <f t="array" ref="Q67">_xlfn.IFS(Saisie!#REF!="OUI",1,Saisie!#REF!="NON",0)</f>
        <v>#REF!</v>
      </c>
      <c r="R67" s="63" t="e">
        <f>Saisie!#REF!</f>
        <v>#REF!</v>
      </c>
      <c r="S67" s="65" t="e">
        <f>Saisie!#REF!</f>
        <v>#REF!</v>
      </c>
      <c r="T67" s="63" t="e">
        <f>Saisie!#REF!</f>
        <v>#REF!</v>
      </c>
      <c r="U67" s="63" t="e">
        <f>Saisie!#REF!</f>
        <v>#REF!</v>
      </c>
      <c r="V67" s="63" t="e">
        <f t="array" ref="V67">_xlfn.IFS(Saisie!#REF!="OUI",1,Saisie!#REF!="NON",0)</f>
        <v>#REF!</v>
      </c>
      <c r="W67" s="63" t="e">
        <f t="array" ref="W67">_xlfn.IFS(Saisie!O67="OUI",1,Saisie!O67="NON",0)</f>
        <v>#N/A</v>
      </c>
      <c r="X67" s="63">
        <f>Saisie!P67</f>
        <v>0</v>
      </c>
      <c r="Y67" s="299">
        <f>Saisie!H67</f>
        <v>0</v>
      </c>
      <c r="Z67" s="58" t="e">
        <f>Saisie!#REF!</f>
        <v>#REF!</v>
      </c>
      <c r="AA67" s="299">
        <f>Saisie!Q67</f>
        <v>0</v>
      </c>
      <c r="AB67" s="63" t="e">
        <f t="array" ref="AB67">_xlfn.IFS(Saisie!R67="OUI",1,Saisie!R67="NON",0)</f>
        <v>#N/A</v>
      </c>
      <c r="AC67" s="63">
        <f>Saisie!S67</f>
        <v>0</v>
      </c>
      <c r="AD67" s="63" t="e">
        <f t="array" ref="AD67">_xlfn.IFS(Saisie!T67="OUI",1,Saisie!T67="NON",0)</f>
        <v>#N/A</v>
      </c>
      <c r="AE67" s="171">
        <f>Saisie!U67</f>
        <v>0</v>
      </c>
      <c r="AF67" s="263">
        <v>3</v>
      </c>
      <c r="AG67" s="129">
        <f>Saisie!W67</f>
        <v>0</v>
      </c>
      <c r="AH67" s="20">
        <f>Saisie!X67</f>
        <v>0</v>
      </c>
      <c r="AI67" s="21">
        <f>Saisie!Y67</f>
        <v>0</v>
      </c>
      <c r="AJ67" s="59">
        <f>Saisie!Z67</f>
        <v>0</v>
      </c>
      <c r="AK67" s="20">
        <f>Saisie!AA67</f>
        <v>0</v>
      </c>
      <c r="AL67" s="21">
        <f>Saisie!AB67</f>
        <v>0</v>
      </c>
      <c r="AM67" s="59">
        <f>Saisie!AC67</f>
        <v>0</v>
      </c>
      <c r="AN67" s="20">
        <f>Saisie!AD67</f>
        <v>0</v>
      </c>
      <c r="AO67" s="21">
        <f>Saisie!AE67</f>
        <v>0</v>
      </c>
      <c r="AP67" s="59">
        <f>Saisie!AF67</f>
        <v>0</v>
      </c>
      <c r="AQ67" s="129" t="e">
        <f t="array" ref="AQ67">_xlfn.IFS(Saisie!AG67="OUI",1,Saisie!AG67="NON",0)</f>
        <v>#N/A</v>
      </c>
      <c r="AR67" s="129" t="e">
        <f t="array" ref="AR67">_xlfn.IFS(Saisie!AH67="OUI",1,Saisie!AH67="NON",0)</f>
        <v>#N/A</v>
      </c>
      <c r="AS67" s="171">
        <f>Saisie!AI67</f>
        <v>0</v>
      </c>
      <c r="AT67" s="263" t="e">
        <f t="array" ref="AT67">_xlfn.IFS(Saisie!AJ67="OUI",1,Saisie!AJ67="NON",0)</f>
        <v>#N/A</v>
      </c>
      <c r="AU67" s="173">
        <f>Saisie!AK67</f>
        <v>0</v>
      </c>
      <c r="AV67" s="263" t="e">
        <f t="array" ref="AV67">_xlfn.IFS(Saisie!AL67="OUI",1,Saisie!AL67="NON",0)</f>
        <v>#N/A</v>
      </c>
      <c r="AW67" s="171">
        <f>Saisie!AM67</f>
        <v>0</v>
      </c>
      <c r="AX67" s="68">
        <f>Saisie!AN67</f>
        <v>0</v>
      </c>
      <c r="AY67" s="20">
        <f>Saisie!AO67</f>
        <v>0</v>
      </c>
      <c r="AZ67" s="21">
        <f>Saisie!AP67</f>
        <v>0</v>
      </c>
      <c r="BA67" s="298">
        <f>Saisie!AQ67</f>
        <v>0</v>
      </c>
      <c r="BB67" s="170">
        <f>Saisie!AR67</f>
        <v>0</v>
      </c>
      <c r="BC67" s="174">
        <f>Saisie!AS67</f>
        <v>0</v>
      </c>
      <c r="BD67" s="61">
        <f>Saisie!AT67</f>
        <v>0</v>
      </c>
      <c r="BE67" s="175" t="e">
        <f t="array" ref="BE67">_xlfn.IFS(Saisie!AU67="OUI",1,Saisie!AU67="NON",0)</f>
        <v>#N/A</v>
      </c>
      <c r="BF67" s="267">
        <f>Saisie!AV67</f>
        <v>0</v>
      </c>
      <c r="BG67" s="55">
        <f>Saisie!AW67</f>
        <v>0</v>
      </c>
      <c r="BH67" s="55" t="e">
        <f t="array" ref="BH67">_xlfn.IFS(Saisie!AX67="OUI",1,Saisie!AX67="NON",0)</f>
        <v>#N/A</v>
      </c>
      <c r="BI67" s="62">
        <f>Saisie!AY67</f>
        <v>0</v>
      </c>
      <c r="BJ67" s="55" t="e">
        <f t="array" ref="BJ67">_xlfn.IFS(Saisie!AZ67="OUI",1,Saisie!AZ67="NON",0)</f>
        <v>#N/A</v>
      </c>
      <c r="BK67" s="55" t="e">
        <f t="array" ref="BK67">_xlfn.IFS(Saisie!BA67="OUI",1,Saisie!BA67="NON",0)</f>
        <v>#N/A</v>
      </c>
      <c r="BL67" s="55">
        <f>Saisie!BB67</f>
        <v>0</v>
      </c>
      <c r="BM67" s="49" t="e">
        <f>Saisie!BC67</f>
        <v>#REF!</v>
      </c>
      <c r="BN67" s="175"/>
    </row>
    <row r="68" spans="1:66" s="176" customFormat="1" x14ac:dyDescent="0.45">
      <c r="A68" s="13">
        <v>62</v>
      </c>
      <c r="B68" s="150">
        <f>Saisie!B68</f>
        <v>0</v>
      </c>
      <c r="C68" s="150">
        <f>Saisie!C68</f>
        <v>0</v>
      </c>
      <c r="D68" s="150">
        <f>Saisie!D68</f>
        <v>0</v>
      </c>
      <c r="E68" s="150">
        <f>Saisie!E68</f>
        <v>0</v>
      </c>
      <c r="F68" s="150">
        <f>Saisie!F68</f>
        <v>0</v>
      </c>
      <c r="G68" s="150">
        <f>Saisie!G68</f>
        <v>0</v>
      </c>
      <c r="H68" s="150">
        <f>Saisie!I68</f>
        <v>0</v>
      </c>
      <c r="I68" s="150">
        <f>Saisie!J68</f>
        <v>0</v>
      </c>
      <c r="J68" s="150">
        <f>Saisie!K68</f>
        <v>0</v>
      </c>
      <c r="K68" s="150">
        <f>Saisie!L68</f>
        <v>0</v>
      </c>
      <c r="L68" s="150" t="e">
        <f>Saisie!#REF!</f>
        <v>#REF!</v>
      </c>
      <c r="M68" s="55" t="e">
        <f t="array" ref="M68">_xlfn.IFS(Saisie!M68="OUI",1,Saisie!M68="NON",0)</f>
        <v>#N/A</v>
      </c>
      <c r="N68" s="64" t="e">
        <f>Saisie!#REF!</f>
        <v>#REF!</v>
      </c>
      <c r="O68" s="63" t="e">
        <f>Saisie!#REF!</f>
        <v>#REF!</v>
      </c>
      <c r="P68" s="63">
        <f>Saisie!N68</f>
        <v>0</v>
      </c>
      <c r="Q68" s="63" t="e">
        <f t="array" ref="Q68">_xlfn.IFS(Saisie!#REF!="OUI",1,Saisie!#REF!="NON",0)</f>
        <v>#REF!</v>
      </c>
      <c r="R68" s="63" t="e">
        <f>Saisie!#REF!</f>
        <v>#REF!</v>
      </c>
      <c r="S68" s="65" t="e">
        <f>Saisie!#REF!</f>
        <v>#REF!</v>
      </c>
      <c r="T68" s="63" t="e">
        <f>Saisie!#REF!</f>
        <v>#REF!</v>
      </c>
      <c r="U68" s="63" t="e">
        <f>Saisie!#REF!</f>
        <v>#REF!</v>
      </c>
      <c r="V68" s="63" t="e">
        <f t="array" ref="V68">_xlfn.IFS(Saisie!#REF!="OUI",1,Saisie!#REF!="NON",0)</f>
        <v>#REF!</v>
      </c>
      <c r="W68" s="63" t="e">
        <f t="array" ref="W68">_xlfn.IFS(Saisie!O68="OUI",1,Saisie!O68="NON",0)</f>
        <v>#N/A</v>
      </c>
      <c r="X68" s="63">
        <f>Saisie!P68</f>
        <v>0</v>
      </c>
      <c r="Y68" s="299">
        <f>Saisie!H68</f>
        <v>0</v>
      </c>
      <c r="Z68" s="58" t="e">
        <f>Saisie!#REF!</f>
        <v>#REF!</v>
      </c>
      <c r="AA68" s="299">
        <f>Saisie!Q68</f>
        <v>0</v>
      </c>
      <c r="AB68" s="63" t="e">
        <f t="array" ref="AB68">_xlfn.IFS(Saisie!R68="OUI",1,Saisie!R68="NON",0)</f>
        <v>#N/A</v>
      </c>
      <c r="AC68" s="63">
        <f>Saisie!S68</f>
        <v>0</v>
      </c>
      <c r="AD68" s="63" t="e">
        <f t="array" ref="AD68">_xlfn.IFS(Saisie!T68="OUI",1,Saisie!T68="NON",0)</f>
        <v>#N/A</v>
      </c>
      <c r="AE68" s="171">
        <f>Saisie!U68</f>
        <v>0</v>
      </c>
      <c r="AF68" s="263">
        <v>3</v>
      </c>
      <c r="AG68" s="129">
        <f>Saisie!W68</f>
        <v>0</v>
      </c>
      <c r="AH68" s="20">
        <f>Saisie!X68</f>
        <v>0</v>
      </c>
      <c r="AI68" s="21">
        <f>Saisie!Y68</f>
        <v>0</v>
      </c>
      <c r="AJ68" s="59">
        <f>Saisie!Z68</f>
        <v>0</v>
      </c>
      <c r="AK68" s="20">
        <f>Saisie!AA68</f>
        <v>0</v>
      </c>
      <c r="AL68" s="21">
        <f>Saisie!AB68</f>
        <v>0</v>
      </c>
      <c r="AM68" s="59">
        <f>Saisie!AC68</f>
        <v>0</v>
      </c>
      <c r="AN68" s="20">
        <f>Saisie!AD68</f>
        <v>0</v>
      </c>
      <c r="AO68" s="21">
        <f>Saisie!AE68</f>
        <v>0</v>
      </c>
      <c r="AP68" s="59">
        <f>Saisie!AF68</f>
        <v>0</v>
      </c>
      <c r="AQ68" s="129" t="e">
        <f t="array" ref="AQ68">_xlfn.IFS(Saisie!AG68="OUI",1,Saisie!AG68="NON",0)</f>
        <v>#N/A</v>
      </c>
      <c r="AR68" s="129" t="e">
        <f t="array" ref="AR68">_xlfn.IFS(Saisie!AH68="OUI",1,Saisie!AH68="NON",0)</f>
        <v>#N/A</v>
      </c>
      <c r="AS68" s="171">
        <f>Saisie!AI68</f>
        <v>0</v>
      </c>
      <c r="AT68" s="263" t="e">
        <f t="array" ref="AT68">_xlfn.IFS(Saisie!AJ68="OUI",1,Saisie!AJ68="NON",0)</f>
        <v>#N/A</v>
      </c>
      <c r="AU68" s="173">
        <f>Saisie!AK68</f>
        <v>0</v>
      </c>
      <c r="AV68" s="263" t="e">
        <f t="array" ref="AV68">_xlfn.IFS(Saisie!AL68="OUI",1,Saisie!AL68="NON",0)</f>
        <v>#N/A</v>
      </c>
      <c r="AW68" s="171">
        <f>Saisie!AM68</f>
        <v>0</v>
      </c>
      <c r="AX68" s="68">
        <f>Saisie!AN68</f>
        <v>0</v>
      </c>
      <c r="AY68" s="20">
        <f>Saisie!AO68</f>
        <v>0</v>
      </c>
      <c r="AZ68" s="21">
        <f>Saisie!AP68</f>
        <v>0</v>
      </c>
      <c r="BA68" s="298">
        <f>Saisie!AQ68</f>
        <v>0</v>
      </c>
      <c r="BB68" s="170">
        <f>Saisie!AR68</f>
        <v>0</v>
      </c>
      <c r="BC68" s="174">
        <f>Saisie!AS68</f>
        <v>0</v>
      </c>
      <c r="BD68" s="61">
        <f>Saisie!AT68</f>
        <v>0</v>
      </c>
      <c r="BE68" s="175" t="e">
        <f t="array" ref="BE68">_xlfn.IFS(Saisie!AU68="OUI",1,Saisie!AU68="NON",0)</f>
        <v>#N/A</v>
      </c>
      <c r="BF68" s="267">
        <f>Saisie!AV68</f>
        <v>0</v>
      </c>
      <c r="BG68" s="55">
        <f>Saisie!AW68</f>
        <v>0</v>
      </c>
      <c r="BH68" s="55" t="e">
        <f t="array" ref="BH68">_xlfn.IFS(Saisie!AX68="OUI",1,Saisie!AX68="NON",0)</f>
        <v>#N/A</v>
      </c>
      <c r="BI68" s="62">
        <f>Saisie!AY68</f>
        <v>0</v>
      </c>
      <c r="BJ68" s="55" t="e">
        <f t="array" ref="BJ68">_xlfn.IFS(Saisie!AZ68="OUI",1,Saisie!AZ68="NON",0)</f>
        <v>#N/A</v>
      </c>
      <c r="BK68" s="55" t="e">
        <f t="array" ref="BK68">_xlfn.IFS(Saisie!BA68="OUI",1,Saisie!BA68="NON",0)</f>
        <v>#N/A</v>
      </c>
      <c r="BL68" s="55">
        <f>Saisie!BB68</f>
        <v>0</v>
      </c>
      <c r="BM68" s="49" t="e">
        <f>Saisie!BC68</f>
        <v>#REF!</v>
      </c>
      <c r="BN68" s="175"/>
    </row>
    <row r="69" spans="1:66" s="176" customFormat="1" x14ac:dyDescent="0.45">
      <c r="A69" s="13">
        <v>63</v>
      </c>
      <c r="B69" s="150">
        <f>Saisie!B69</f>
        <v>0</v>
      </c>
      <c r="C69" s="150">
        <f>Saisie!C69</f>
        <v>0</v>
      </c>
      <c r="D69" s="150">
        <f>Saisie!D69</f>
        <v>0</v>
      </c>
      <c r="E69" s="150">
        <f>Saisie!E69</f>
        <v>0</v>
      </c>
      <c r="F69" s="150">
        <f>Saisie!F69</f>
        <v>0</v>
      </c>
      <c r="G69" s="150">
        <f>Saisie!G69</f>
        <v>0</v>
      </c>
      <c r="H69" s="150">
        <f>Saisie!I69</f>
        <v>0</v>
      </c>
      <c r="I69" s="150">
        <f>Saisie!J69</f>
        <v>0</v>
      </c>
      <c r="J69" s="150">
        <f>Saisie!K69</f>
        <v>0</v>
      </c>
      <c r="K69" s="150">
        <f>Saisie!L69</f>
        <v>0</v>
      </c>
      <c r="L69" s="150" t="e">
        <f>Saisie!#REF!</f>
        <v>#REF!</v>
      </c>
      <c r="M69" s="55" t="e">
        <f t="array" ref="M69">_xlfn.IFS(Saisie!M69="OUI",1,Saisie!M69="NON",0)</f>
        <v>#N/A</v>
      </c>
      <c r="N69" s="64" t="e">
        <f>Saisie!#REF!</f>
        <v>#REF!</v>
      </c>
      <c r="O69" s="63" t="e">
        <f>Saisie!#REF!</f>
        <v>#REF!</v>
      </c>
      <c r="P69" s="63">
        <f>Saisie!N69</f>
        <v>0</v>
      </c>
      <c r="Q69" s="63" t="e">
        <f t="array" ref="Q69">_xlfn.IFS(Saisie!#REF!="OUI",1,Saisie!#REF!="NON",0)</f>
        <v>#REF!</v>
      </c>
      <c r="R69" s="63" t="e">
        <f>Saisie!#REF!</f>
        <v>#REF!</v>
      </c>
      <c r="S69" s="65" t="e">
        <f>Saisie!#REF!</f>
        <v>#REF!</v>
      </c>
      <c r="T69" s="63" t="e">
        <f>Saisie!#REF!</f>
        <v>#REF!</v>
      </c>
      <c r="U69" s="63" t="e">
        <f>Saisie!#REF!</f>
        <v>#REF!</v>
      </c>
      <c r="V69" s="63" t="e">
        <f t="array" ref="V69">_xlfn.IFS(Saisie!#REF!="OUI",1,Saisie!#REF!="NON",0)</f>
        <v>#REF!</v>
      </c>
      <c r="W69" s="63" t="e">
        <f t="array" ref="W69">_xlfn.IFS(Saisie!O69="OUI",1,Saisie!O69="NON",0)</f>
        <v>#N/A</v>
      </c>
      <c r="X69" s="63">
        <f>Saisie!P69</f>
        <v>0</v>
      </c>
      <c r="Y69" s="299">
        <f>Saisie!H69</f>
        <v>0</v>
      </c>
      <c r="Z69" s="58" t="e">
        <f>Saisie!#REF!</f>
        <v>#REF!</v>
      </c>
      <c r="AA69" s="299">
        <f>Saisie!Q69</f>
        <v>0</v>
      </c>
      <c r="AB69" s="63" t="e">
        <f t="array" ref="AB69">_xlfn.IFS(Saisie!R69="OUI",1,Saisie!R69="NON",0)</f>
        <v>#N/A</v>
      </c>
      <c r="AC69" s="63">
        <f>Saisie!S69</f>
        <v>0</v>
      </c>
      <c r="AD69" s="63" t="e">
        <f t="array" ref="AD69">_xlfn.IFS(Saisie!T69="OUI",1,Saisie!T69="NON",0)</f>
        <v>#N/A</v>
      </c>
      <c r="AE69" s="171">
        <f>Saisie!U69</f>
        <v>0</v>
      </c>
      <c r="AF69" s="263">
        <v>3</v>
      </c>
      <c r="AG69" s="129">
        <f>Saisie!W69</f>
        <v>0</v>
      </c>
      <c r="AH69" s="20">
        <f>Saisie!X69</f>
        <v>0</v>
      </c>
      <c r="AI69" s="21">
        <f>Saisie!Y69</f>
        <v>0</v>
      </c>
      <c r="AJ69" s="59">
        <f>Saisie!Z69</f>
        <v>0</v>
      </c>
      <c r="AK69" s="20">
        <f>Saisie!AA69</f>
        <v>0</v>
      </c>
      <c r="AL69" s="21">
        <f>Saisie!AB69</f>
        <v>0</v>
      </c>
      <c r="AM69" s="59">
        <f>Saisie!AC69</f>
        <v>0</v>
      </c>
      <c r="AN69" s="20">
        <f>Saisie!AD69</f>
        <v>0</v>
      </c>
      <c r="AO69" s="21">
        <f>Saisie!AE69</f>
        <v>0</v>
      </c>
      <c r="AP69" s="59">
        <f>Saisie!AF69</f>
        <v>0</v>
      </c>
      <c r="AQ69" s="129" t="e">
        <f t="array" ref="AQ69">_xlfn.IFS(Saisie!AG69="OUI",1,Saisie!AG69="NON",0)</f>
        <v>#N/A</v>
      </c>
      <c r="AR69" s="129" t="e">
        <f t="array" ref="AR69">_xlfn.IFS(Saisie!AH69="OUI",1,Saisie!AH69="NON",0)</f>
        <v>#N/A</v>
      </c>
      <c r="AS69" s="171">
        <f>Saisie!AI69</f>
        <v>0</v>
      </c>
      <c r="AT69" s="263" t="e">
        <f t="array" ref="AT69">_xlfn.IFS(Saisie!AJ69="OUI",1,Saisie!AJ69="NON",0)</f>
        <v>#N/A</v>
      </c>
      <c r="AU69" s="173">
        <f>Saisie!AK69</f>
        <v>0</v>
      </c>
      <c r="AV69" s="263" t="e">
        <f t="array" ref="AV69">_xlfn.IFS(Saisie!AL69="OUI",1,Saisie!AL69="NON",0)</f>
        <v>#N/A</v>
      </c>
      <c r="AW69" s="171">
        <f>Saisie!AM69</f>
        <v>0</v>
      </c>
      <c r="AX69" s="68">
        <f>Saisie!AN69</f>
        <v>0</v>
      </c>
      <c r="AY69" s="20">
        <f>Saisie!AO69</f>
        <v>0</v>
      </c>
      <c r="AZ69" s="21">
        <f>Saisie!AP69</f>
        <v>0</v>
      </c>
      <c r="BA69" s="298">
        <f>Saisie!AQ69</f>
        <v>0</v>
      </c>
      <c r="BB69" s="170">
        <f>Saisie!AR69</f>
        <v>0</v>
      </c>
      <c r="BC69" s="174">
        <f>Saisie!AS69</f>
        <v>0</v>
      </c>
      <c r="BD69" s="61">
        <f>Saisie!AT69</f>
        <v>0</v>
      </c>
      <c r="BE69" s="175" t="e">
        <f t="array" ref="BE69">_xlfn.IFS(Saisie!AU69="OUI",1,Saisie!AU69="NON",0)</f>
        <v>#N/A</v>
      </c>
      <c r="BF69" s="267">
        <f>Saisie!AV69</f>
        <v>0</v>
      </c>
      <c r="BG69" s="55">
        <f>Saisie!AW69</f>
        <v>0</v>
      </c>
      <c r="BH69" s="55" t="e">
        <f t="array" ref="BH69">_xlfn.IFS(Saisie!AX69="OUI",1,Saisie!AX69="NON",0)</f>
        <v>#N/A</v>
      </c>
      <c r="BI69" s="62">
        <f>Saisie!AY69</f>
        <v>0</v>
      </c>
      <c r="BJ69" s="55" t="e">
        <f t="array" ref="BJ69">_xlfn.IFS(Saisie!AZ69="OUI",1,Saisie!AZ69="NON",0)</f>
        <v>#N/A</v>
      </c>
      <c r="BK69" s="55" t="e">
        <f t="array" ref="BK69">_xlfn.IFS(Saisie!BA69="OUI",1,Saisie!BA69="NON",0)</f>
        <v>#N/A</v>
      </c>
      <c r="BL69" s="55">
        <f>Saisie!BB69</f>
        <v>0</v>
      </c>
      <c r="BM69" s="49" t="e">
        <f>Saisie!BC69</f>
        <v>#REF!</v>
      </c>
      <c r="BN69" s="175"/>
    </row>
    <row r="70" spans="1:66" s="176" customFormat="1" x14ac:dyDescent="0.45">
      <c r="A70" s="12">
        <v>64</v>
      </c>
      <c r="B70" s="150">
        <f>Saisie!B70</f>
        <v>0</v>
      </c>
      <c r="C70" s="150">
        <f>Saisie!C70</f>
        <v>0</v>
      </c>
      <c r="D70" s="150">
        <f>Saisie!D70</f>
        <v>0</v>
      </c>
      <c r="E70" s="150">
        <f>Saisie!E70</f>
        <v>0</v>
      </c>
      <c r="F70" s="150">
        <f>Saisie!F70</f>
        <v>0</v>
      </c>
      <c r="G70" s="150">
        <f>Saisie!G70</f>
        <v>0</v>
      </c>
      <c r="H70" s="150">
        <f>Saisie!I70</f>
        <v>0</v>
      </c>
      <c r="I70" s="150">
        <f>Saisie!J70</f>
        <v>0</v>
      </c>
      <c r="J70" s="150">
        <f>Saisie!K70</f>
        <v>0</v>
      </c>
      <c r="K70" s="150">
        <f>Saisie!L70</f>
        <v>0</v>
      </c>
      <c r="L70" s="150" t="e">
        <f>Saisie!#REF!</f>
        <v>#REF!</v>
      </c>
      <c r="M70" s="55" t="e">
        <f t="array" ref="M70">_xlfn.IFS(Saisie!M70="OUI",1,Saisie!M70="NON",0)</f>
        <v>#N/A</v>
      </c>
      <c r="N70" s="64" t="e">
        <f>Saisie!#REF!</f>
        <v>#REF!</v>
      </c>
      <c r="O70" s="63" t="e">
        <f>Saisie!#REF!</f>
        <v>#REF!</v>
      </c>
      <c r="P70" s="63">
        <f>Saisie!N70</f>
        <v>0</v>
      </c>
      <c r="Q70" s="63" t="e">
        <f t="array" ref="Q70">_xlfn.IFS(Saisie!#REF!="OUI",1,Saisie!#REF!="NON",0)</f>
        <v>#REF!</v>
      </c>
      <c r="R70" s="63" t="e">
        <f>Saisie!#REF!</f>
        <v>#REF!</v>
      </c>
      <c r="S70" s="65" t="e">
        <f>Saisie!#REF!</f>
        <v>#REF!</v>
      </c>
      <c r="T70" s="63" t="e">
        <f>Saisie!#REF!</f>
        <v>#REF!</v>
      </c>
      <c r="U70" s="63" t="e">
        <f>Saisie!#REF!</f>
        <v>#REF!</v>
      </c>
      <c r="V70" s="63" t="e">
        <f t="array" ref="V70">_xlfn.IFS(Saisie!#REF!="OUI",1,Saisie!#REF!="NON",0)</f>
        <v>#REF!</v>
      </c>
      <c r="W70" s="63" t="e">
        <f t="array" ref="W70">_xlfn.IFS(Saisie!O70="OUI",1,Saisie!O70="NON",0)</f>
        <v>#N/A</v>
      </c>
      <c r="X70" s="63">
        <f>Saisie!P70</f>
        <v>0</v>
      </c>
      <c r="Y70" s="299">
        <f>Saisie!H70</f>
        <v>0</v>
      </c>
      <c r="Z70" s="58" t="e">
        <f>Saisie!#REF!</f>
        <v>#REF!</v>
      </c>
      <c r="AA70" s="299">
        <f>Saisie!Q70</f>
        <v>0</v>
      </c>
      <c r="AB70" s="63" t="e">
        <f t="array" ref="AB70">_xlfn.IFS(Saisie!R70="OUI",1,Saisie!R70="NON",0)</f>
        <v>#N/A</v>
      </c>
      <c r="AC70" s="63">
        <f>Saisie!S70</f>
        <v>0</v>
      </c>
      <c r="AD70" s="63" t="e">
        <f t="array" ref="AD70">_xlfn.IFS(Saisie!T70="OUI",1,Saisie!T70="NON",0)</f>
        <v>#N/A</v>
      </c>
      <c r="AE70" s="171">
        <f>Saisie!U70</f>
        <v>0</v>
      </c>
      <c r="AF70" s="263">
        <v>3</v>
      </c>
      <c r="AG70" s="129">
        <f>Saisie!W70</f>
        <v>0</v>
      </c>
      <c r="AH70" s="20">
        <f>Saisie!X70</f>
        <v>0</v>
      </c>
      <c r="AI70" s="21">
        <f>Saisie!Y70</f>
        <v>0</v>
      </c>
      <c r="AJ70" s="59">
        <f>Saisie!Z70</f>
        <v>0</v>
      </c>
      <c r="AK70" s="20">
        <f>Saisie!AA70</f>
        <v>0</v>
      </c>
      <c r="AL70" s="21">
        <f>Saisie!AB70</f>
        <v>0</v>
      </c>
      <c r="AM70" s="59">
        <f>Saisie!AC70</f>
        <v>0</v>
      </c>
      <c r="AN70" s="20">
        <f>Saisie!AD70</f>
        <v>0</v>
      </c>
      <c r="AO70" s="21">
        <f>Saisie!AE70</f>
        <v>0</v>
      </c>
      <c r="AP70" s="59">
        <f>Saisie!AF70</f>
        <v>0</v>
      </c>
      <c r="AQ70" s="129" t="e">
        <f t="array" ref="AQ70">_xlfn.IFS(Saisie!AG70="OUI",1,Saisie!AG70="NON",0)</f>
        <v>#N/A</v>
      </c>
      <c r="AR70" s="129" t="e">
        <f t="array" ref="AR70">_xlfn.IFS(Saisie!AH70="OUI",1,Saisie!AH70="NON",0)</f>
        <v>#N/A</v>
      </c>
      <c r="AS70" s="171">
        <f>Saisie!AI70</f>
        <v>0</v>
      </c>
      <c r="AT70" s="263" t="e">
        <f t="array" ref="AT70">_xlfn.IFS(Saisie!AJ70="OUI",1,Saisie!AJ70="NON",0)</f>
        <v>#N/A</v>
      </c>
      <c r="AU70" s="173">
        <f>Saisie!AK70</f>
        <v>0</v>
      </c>
      <c r="AV70" s="263" t="e">
        <f t="array" ref="AV70">_xlfn.IFS(Saisie!AL70="OUI",1,Saisie!AL70="NON",0)</f>
        <v>#N/A</v>
      </c>
      <c r="AW70" s="171">
        <f>Saisie!AM70</f>
        <v>0</v>
      </c>
      <c r="AX70" s="68">
        <f>Saisie!AN70</f>
        <v>0</v>
      </c>
      <c r="AY70" s="20">
        <f>Saisie!AO70</f>
        <v>0</v>
      </c>
      <c r="AZ70" s="21">
        <f>Saisie!AP70</f>
        <v>0</v>
      </c>
      <c r="BA70" s="298">
        <f>Saisie!AQ70</f>
        <v>0</v>
      </c>
      <c r="BB70" s="170">
        <f>Saisie!AR70</f>
        <v>0</v>
      </c>
      <c r="BC70" s="174">
        <f>Saisie!AS70</f>
        <v>0</v>
      </c>
      <c r="BD70" s="61">
        <f>Saisie!AT70</f>
        <v>0</v>
      </c>
      <c r="BE70" s="175" t="e">
        <f t="array" ref="BE70">_xlfn.IFS(Saisie!AU70="OUI",1,Saisie!AU70="NON",0)</f>
        <v>#N/A</v>
      </c>
      <c r="BF70" s="267">
        <f>Saisie!AV70</f>
        <v>0</v>
      </c>
      <c r="BG70" s="55">
        <f>Saisie!AW70</f>
        <v>0</v>
      </c>
      <c r="BH70" s="55" t="e">
        <f t="array" ref="BH70">_xlfn.IFS(Saisie!AX70="OUI",1,Saisie!AX70="NON",0)</f>
        <v>#N/A</v>
      </c>
      <c r="BI70" s="62">
        <f>Saisie!AY70</f>
        <v>0</v>
      </c>
      <c r="BJ70" s="55" t="e">
        <f t="array" ref="BJ70">_xlfn.IFS(Saisie!AZ70="OUI",1,Saisie!AZ70="NON",0)</f>
        <v>#N/A</v>
      </c>
      <c r="BK70" s="55" t="e">
        <f t="array" ref="BK70">_xlfn.IFS(Saisie!BA70="OUI",1,Saisie!BA70="NON",0)</f>
        <v>#N/A</v>
      </c>
      <c r="BL70" s="55">
        <f>Saisie!BB70</f>
        <v>0</v>
      </c>
      <c r="BM70" s="49" t="e">
        <f>Saisie!BC70</f>
        <v>#REF!</v>
      </c>
      <c r="BN70" s="175"/>
    </row>
    <row r="71" spans="1:66" s="176" customFormat="1" x14ac:dyDescent="0.45">
      <c r="A71" s="13">
        <v>65</v>
      </c>
      <c r="B71" s="150">
        <f>Saisie!B71</f>
        <v>0</v>
      </c>
      <c r="C71" s="150">
        <f>Saisie!C71</f>
        <v>0</v>
      </c>
      <c r="D71" s="150">
        <f>Saisie!D71</f>
        <v>0</v>
      </c>
      <c r="E71" s="150">
        <f>Saisie!E71</f>
        <v>0</v>
      </c>
      <c r="F71" s="150">
        <f>Saisie!F71</f>
        <v>0</v>
      </c>
      <c r="G71" s="150">
        <f>Saisie!G71</f>
        <v>0</v>
      </c>
      <c r="H71" s="150">
        <f>Saisie!I71</f>
        <v>0</v>
      </c>
      <c r="I71" s="150">
        <f>Saisie!J71</f>
        <v>0</v>
      </c>
      <c r="J71" s="150">
        <f>Saisie!K71</f>
        <v>0</v>
      </c>
      <c r="K71" s="150">
        <f>Saisie!L71</f>
        <v>0</v>
      </c>
      <c r="L71" s="150" t="e">
        <f>Saisie!#REF!</f>
        <v>#REF!</v>
      </c>
      <c r="M71" s="55" t="e">
        <f t="array" ref="M71">_xlfn.IFS(Saisie!M71="OUI",1,Saisie!M71="NON",0)</f>
        <v>#N/A</v>
      </c>
      <c r="N71" s="64" t="e">
        <f>Saisie!#REF!</f>
        <v>#REF!</v>
      </c>
      <c r="O71" s="63" t="e">
        <f>Saisie!#REF!</f>
        <v>#REF!</v>
      </c>
      <c r="P71" s="63">
        <f>Saisie!N71</f>
        <v>0</v>
      </c>
      <c r="Q71" s="63" t="e">
        <f t="array" ref="Q71">_xlfn.IFS(Saisie!#REF!="OUI",1,Saisie!#REF!="NON",0)</f>
        <v>#REF!</v>
      </c>
      <c r="R71" s="63" t="e">
        <f>Saisie!#REF!</f>
        <v>#REF!</v>
      </c>
      <c r="S71" s="65" t="e">
        <f>Saisie!#REF!</f>
        <v>#REF!</v>
      </c>
      <c r="T71" s="63" t="e">
        <f>Saisie!#REF!</f>
        <v>#REF!</v>
      </c>
      <c r="U71" s="63" t="e">
        <f>Saisie!#REF!</f>
        <v>#REF!</v>
      </c>
      <c r="V71" s="63" t="e">
        <f t="array" ref="V71">_xlfn.IFS(Saisie!#REF!="OUI",1,Saisie!#REF!="NON",0)</f>
        <v>#REF!</v>
      </c>
      <c r="W71" s="63" t="e">
        <f t="array" ref="W71">_xlfn.IFS(Saisie!O71="OUI",1,Saisie!O71="NON",0)</f>
        <v>#N/A</v>
      </c>
      <c r="X71" s="63">
        <f>Saisie!P71</f>
        <v>0</v>
      </c>
      <c r="Y71" s="299">
        <f>Saisie!H71</f>
        <v>0</v>
      </c>
      <c r="Z71" s="58" t="e">
        <f>Saisie!#REF!</f>
        <v>#REF!</v>
      </c>
      <c r="AA71" s="299">
        <f>Saisie!Q71</f>
        <v>0</v>
      </c>
      <c r="AB71" s="63" t="e">
        <f t="array" ref="AB71">_xlfn.IFS(Saisie!R71="OUI",1,Saisie!R71="NON",0)</f>
        <v>#N/A</v>
      </c>
      <c r="AC71" s="63">
        <f>Saisie!S71</f>
        <v>0</v>
      </c>
      <c r="AD71" s="63" t="e">
        <f t="array" ref="AD71">_xlfn.IFS(Saisie!T71="OUI",1,Saisie!T71="NON",0)</f>
        <v>#N/A</v>
      </c>
      <c r="AE71" s="171">
        <f>Saisie!U71</f>
        <v>0</v>
      </c>
      <c r="AF71" s="263">
        <v>3</v>
      </c>
      <c r="AG71" s="129">
        <f>Saisie!W71</f>
        <v>0</v>
      </c>
      <c r="AH71" s="20">
        <f>Saisie!X71</f>
        <v>0</v>
      </c>
      <c r="AI71" s="21">
        <f>Saisie!Y71</f>
        <v>0</v>
      </c>
      <c r="AJ71" s="59">
        <f>Saisie!Z71</f>
        <v>0</v>
      </c>
      <c r="AK71" s="20">
        <f>Saisie!AA71</f>
        <v>0</v>
      </c>
      <c r="AL71" s="21">
        <f>Saisie!AB71</f>
        <v>0</v>
      </c>
      <c r="AM71" s="59">
        <f>Saisie!AC71</f>
        <v>0</v>
      </c>
      <c r="AN71" s="20">
        <f>Saisie!AD71</f>
        <v>0</v>
      </c>
      <c r="AO71" s="21">
        <f>Saisie!AE71</f>
        <v>0</v>
      </c>
      <c r="AP71" s="59">
        <f>Saisie!AF71</f>
        <v>0</v>
      </c>
      <c r="AQ71" s="129" t="e">
        <f t="array" ref="AQ71">_xlfn.IFS(Saisie!AG71="OUI",1,Saisie!AG71="NON",0)</f>
        <v>#N/A</v>
      </c>
      <c r="AR71" s="129" t="e">
        <f t="array" ref="AR71">_xlfn.IFS(Saisie!AH71="OUI",1,Saisie!AH71="NON",0)</f>
        <v>#N/A</v>
      </c>
      <c r="AS71" s="171">
        <f>Saisie!AI71</f>
        <v>0</v>
      </c>
      <c r="AT71" s="263" t="e">
        <f t="array" ref="AT71">_xlfn.IFS(Saisie!AJ71="OUI",1,Saisie!AJ71="NON",0)</f>
        <v>#N/A</v>
      </c>
      <c r="AU71" s="173">
        <f>Saisie!AK71</f>
        <v>0</v>
      </c>
      <c r="AV71" s="263" t="e">
        <f t="array" ref="AV71">_xlfn.IFS(Saisie!AL71="OUI",1,Saisie!AL71="NON",0)</f>
        <v>#N/A</v>
      </c>
      <c r="AW71" s="171">
        <f>Saisie!AM71</f>
        <v>0</v>
      </c>
      <c r="AX71" s="68">
        <f>Saisie!AN71</f>
        <v>0</v>
      </c>
      <c r="AY71" s="20">
        <f>Saisie!AO71</f>
        <v>0</v>
      </c>
      <c r="AZ71" s="21">
        <f>Saisie!AP71</f>
        <v>0</v>
      </c>
      <c r="BA71" s="298">
        <f>Saisie!AQ71</f>
        <v>0</v>
      </c>
      <c r="BB71" s="170">
        <f>Saisie!AR71</f>
        <v>0</v>
      </c>
      <c r="BC71" s="174">
        <f>Saisie!AS71</f>
        <v>0</v>
      </c>
      <c r="BD71" s="61">
        <f>Saisie!AT71</f>
        <v>0</v>
      </c>
      <c r="BE71" s="175" t="e">
        <f t="array" ref="BE71">_xlfn.IFS(Saisie!AU71="OUI",1,Saisie!AU71="NON",0)</f>
        <v>#N/A</v>
      </c>
      <c r="BF71" s="267">
        <f>Saisie!AV71</f>
        <v>0</v>
      </c>
      <c r="BG71" s="55">
        <f>Saisie!AW71</f>
        <v>0</v>
      </c>
      <c r="BH71" s="55" t="e">
        <f t="array" ref="BH71">_xlfn.IFS(Saisie!AX71="OUI",1,Saisie!AX71="NON",0)</f>
        <v>#N/A</v>
      </c>
      <c r="BI71" s="62">
        <f>Saisie!AY71</f>
        <v>0</v>
      </c>
      <c r="BJ71" s="55" t="e">
        <f t="array" ref="BJ71">_xlfn.IFS(Saisie!AZ71="OUI",1,Saisie!AZ71="NON",0)</f>
        <v>#N/A</v>
      </c>
      <c r="BK71" s="55" t="e">
        <f t="array" ref="BK71">_xlfn.IFS(Saisie!BA71="OUI",1,Saisie!BA71="NON",0)</f>
        <v>#N/A</v>
      </c>
      <c r="BL71" s="55">
        <f>Saisie!BB71</f>
        <v>0</v>
      </c>
      <c r="BM71" s="49" t="e">
        <f>Saisie!BC71</f>
        <v>#REF!</v>
      </c>
      <c r="BN71" s="175"/>
    </row>
    <row r="72" spans="1:66" s="176" customFormat="1" x14ac:dyDescent="0.45">
      <c r="A72" s="13">
        <v>66</v>
      </c>
      <c r="B72" s="150">
        <f>Saisie!B72</f>
        <v>0</v>
      </c>
      <c r="C72" s="150">
        <f>Saisie!C72</f>
        <v>0</v>
      </c>
      <c r="D72" s="150">
        <f>Saisie!D72</f>
        <v>0</v>
      </c>
      <c r="E72" s="150">
        <f>Saisie!E72</f>
        <v>0</v>
      </c>
      <c r="F72" s="150">
        <f>Saisie!F72</f>
        <v>0</v>
      </c>
      <c r="G72" s="150">
        <f>Saisie!G72</f>
        <v>0</v>
      </c>
      <c r="H72" s="150">
        <f>Saisie!I72</f>
        <v>0</v>
      </c>
      <c r="I72" s="150">
        <f>Saisie!J72</f>
        <v>0</v>
      </c>
      <c r="J72" s="150">
        <f>Saisie!K72</f>
        <v>0</v>
      </c>
      <c r="K72" s="150">
        <f>Saisie!L72</f>
        <v>0</v>
      </c>
      <c r="L72" s="150" t="e">
        <f>Saisie!#REF!</f>
        <v>#REF!</v>
      </c>
      <c r="M72" s="55" t="e">
        <f t="array" ref="M72">_xlfn.IFS(Saisie!M72="OUI",1,Saisie!M72="NON",0)</f>
        <v>#N/A</v>
      </c>
      <c r="N72" s="64" t="e">
        <f>Saisie!#REF!</f>
        <v>#REF!</v>
      </c>
      <c r="O72" s="63" t="e">
        <f>Saisie!#REF!</f>
        <v>#REF!</v>
      </c>
      <c r="P72" s="63">
        <f>Saisie!N72</f>
        <v>0</v>
      </c>
      <c r="Q72" s="63" t="e">
        <f t="array" ref="Q72">_xlfn.IFS(Saisie!#REF!="OUI",1,Saisie!#REF!="NON",0)</f>
        <v>#REF!</v>
      </c>
      <c r="R72" s="63" t="e">
        <f>Saisie!#REF!</f>
        <v>#REF!</v>
      </c>
      <c r="S72" s="65" t="e">
        <f>Saisie!#REF!</f>
        <v>#REF!</v>
      </c>
      <c r="T72" s="63" t="e">
        <f>Saisie!#REF!</f>
        <v>#REF!</v>
      </c>
      <c r="U72" s="63" t="e">
        <f>Saisie!#REF!</f>
        <v>#REF!</v>
      </c>
      <c r="V72" s="63" t="e">
        <f t="array" ref="V72">_xlfn.IFS(Saisie!#REF!="OUI",1,Saisie!#REF!="NON",0)</f>
        <v>#REF!</v>
      </c>
      <c r="W72" s="63" t="e">
        <f t="array" ref="W72">_xlfn.IFS(Saisie!O72="OUI",1,Saisie!O72="NON",0)</f>
        <v>#N/A</v>
      </c>
      <c r="X72" s="63">
        <f>Saisie!P72</f>
        <v>0</v>
      </c>
      <c r="Y72" s="299">
        <f>Saisie!H72</f>
        <v>0</v>
      </c>
      <c r="Z72" s="58" t="e">
        <f>Saisie!#REF!</f>
        <v>#REF!</v>
      </c>
      <c r="AA72" s="299">
        <f>Saisie!Q72</f>
        <v>0</v>
      </c>
      <c r="AB72" s="63" t="e">
        <f t="array" ref="AB72">_xlfn.IFS(Saisie!R72="OUI",1,Saisie!R72="NON",0)</f>
        <v>#N/A</v>
      </c>
      <c r="AC72" s="63">
        <f>Saisie!S72</f>
        <v>0</v>
      </c>
      <c r="AD72" s="63" t="e">
        <f t="array" ref="AD72">_xlfn.IFS(Saisie!T72="OUI",1,Saisie!T72="NON",0)</f>
        <v>#N/A</v>
      </c>
      <c r="AE72" s="171">
        <f>Saisie!U72</f>
        <v>0</v>
      </c>
      <c r="AF72" s="263">
        <v>3</v>
      </c>
      <c r="AG72" s="129">
        <f>Saisie!W72</f>
        <v>0</v>
      </c>
      <c r="AH72" s="20">
        <f>Saisie!X72</f>
        <v>0</v>
      </c>
      <c r="AI72" s="21">
        <f>Saisie!Y72</f>
        <v>0</v>
      </c>
      <c r="AJ72" s="59">
        <f>Saisie!Z72</f>
        <v>0</v>
      </c>
      <c r="AK72" s="20">
        <f>Saisie!AA72</f>
        <v>0</v>
      </c>
      <c r="AL72" s="21">
        <f>Saisie!AB72</f>
        <v>0</v>
      </c>
      <c r="AM72" s="59">
        <f>Saisie!AC72</f>
        <v>0</v>
      </c>
      <c r="AN72" s="20">
        <f>Saisie!AD72</f>
        <v>0</v>
      </c>
      <c r="AO72" s="21">
        <f>Saisie!AE72</f>
        <v>0</v>
      </c>
      <c r="AP72" s="59">
        <f>Saisie!AF72</f>
        <v>0</v>
      </c>
      <c r="AQ72" s="129" t="e">
        <f t="array" ref="AQ72">_xlfn.IFS(Saisie!AG72="OUI",1,Saisie!AG72="NON",0)</f>
        <v>#N/A</v>
      </c>
      <c r="AR72" s="129" t="e">
        <f t="array" ref="AR72">_xlfn.IFS(Saisie!AH72="OUI",1,Saisie!AH72="NON",0)</f>
        <v>#N/A</v>
      </c>
      <c r="AS72" s="171">
        <f>Saisie!AI72</f>
        <v>0</v>
      </c>
      <c r="AT72" s="263" t="e">
        <f t="array" ref="AT72">_xlfn.IFS(Saisie!AJ72="OUI",1,Saisie!AJ72="NON",0)</f>
        <v>#N/A</v>
      </c>
      <c r="AU72" s="173">
        <f>Saisie!AK72</f>
        <v>0</v>
      </c>
      <c r="AV72" s="263" t="e">
        <f t="array" ref="AV72">_xlfn.IFS(Saisie!AL72="OUI",1,Saisie!AL72="NON",0)</f>
        <v>#N/A</v>
      </c>
      <c r="AW72" s="171">
        <f>Saisie!AM72</f>
        <v>0</v>
      </c>
      <c r="AX72" s="68">
        <f>Saisie!AN72</f>
        <v>0</v>
      </c>
      <c r="AY72" s="20">
        <f>Saisie!AO72</f>
        <v>0</v>
      </c>
      <c r="AZ72" s="21">
        <f>Saisie!AP72</f>
        <v>0</v>
      </c>
      <c r="BA72" s="298">
        <f>Saisie!AQ72</f>
        <v>0</v>
      </c>
      <c r="BB72" s="170">
        <f>Saisie!AR72</f>
        <v>0</v>
      </c>
      <c r="BC72" s="174">
        <f>Saisie!AS72</f>
        <v>0</v>
      </c>
      <c r="BD72" s="61">
        <f>Saisie!AT72</f>
        <v>0</v>
      </c>
      <c r="BE72" s="175" t="e">
        <f t="array" ref="BE72">_xlfn.IFS(Saisie!AU72="OUI",1,Saisie!AU72="NON",0)</f>
        <v>#N/A</v>
      </c>
      <c r="BF72" s="267">
        <f>Saisie!AV72</f>
        <v>0</v>
      </c>
      <c r="BG72" s="55">
        <f>Saisie!AW72</f>
        <v>0</v>
      </c>
      <c r="BH72" s="55" t="e">
        <f t="array" ref="BH72">_xlfn.IFS(Saisie!AX72="OUI",1,Saisie!AX72="NON",0)</f>
        <v>#N/A</v>
      </c>
      <c r="BI72" s="62">
        <f>Saisie!AY72</f>
        <v>0</v>
      </c>
      <c r="BJ72" s="55" t="e">
        <f t="array" ref="BJ72">_xlfn.IFS(Saisie!AZ72="OUI",1,Saisie!AZ72="NON",0)</f>
        <v>#N/A</v>
      </c>
      <c r="BK72" s="55" t="e">
        <f t="array" ref="BK72">_xlfn.IFS(Saisie!BA72="OUI",1,Saisie!BA72="NON",0)</f>
        <v>#N/A</v>
      </c>
      <c r="BL72" s="55">
        <f>Saisie!BB72</f>
        <v>0</v>
      </c>
      <c r="BM72" s="49" t="e">
        <f>Saisie!BC72</f>
        <v>#REF!</v>
      </c>
      <c r="BN72" s="175"/>
    </row>
    <row r="73" spans="1:66" s="176" customFormat="1" x14ac:dyDescent="0.45">
      <c r="A73" s="12">
        <v>67</v>
      </c>
      <c r="B73" s="150">
        <f>Saisie!B73</f>
        <v>0</v>
      </c>
      <c r="C73" s="150">
        <f>Saisie!C73</f>
        <v>0</v>
      </c>
      <c r="D73" s="150">
        <f>Saisie!D73</f>
        <v>0</v>
      </c>
      <c r="E73" s="150">
        <f>Saisie!E73</f>
        <v>0</v>
      </c>
      <c r="F73" s="150">
        <f>Saisie!F73</f>
        <v>0</v>
      </c>
      <c r="G73" s="150">
        <f>Saisie!G73</f>
        <v>0</v>
      </c>
      <c r="H73" s="150">
        <f>Saisie!I73</f>
        <v>0</v>
      </c>
      <c r="I73" s="150">
        <f>Saisie!J73</f>
        <v>0</v>
      </c>
      <c r="J73" s="150">
        <f>Saisie!K73</f>
        <v>0</v>
      </c>
      <c r="K73" s="150">
        <f>Saisie!L73</f>
        <v>0</v>
      </c>
      <c r="L73" s="150" t="e">
        <f>Saisie!#REF!</f>
        <v>#REF!</v>
      </c>
      <c r="M73" s="55" t="e">
        <f t="array" ref="M73">_xlfn.IFS(Saisie!M73="OUI",1,Saisie!M73="NON",0)</f>
        <v>#N/A</v>
      </c>
      <c r="N73" s="64" t="e">
        <f>Saisie!#REF!</f>
        <v>#REF!</v>
      </c>
      <c r="O73" s="63" t="e">
        <f>Saisie!#REF!</f>
        <v>#REF!</v>
      </c>
      <c r="P73" s="63">
        <f>Saisie!N73</f>
        <v>0</v>
      </c>
      <c r="Q73" s="63" t="e">
        <f t="array" ref="Q73">_xlfn.IFS(Saisie!#REF!="OUI",1,Saisie!#REF!="NON",0)</f>
        <v>#REF!</v>
      </c>
      <c r="R73" s="63" t="e">
        <f>Saisie!#REF!</f>
        <v>#REF!</v>
      </c>
      <c r="S73" s="65" t="e">
        <f>Saisie!#REF!</f>
        <v>#REF!</v>
      </c>
      <c r="T73" s="63" t="e">
        <f>Saisie!#REF!</f>
        <v>#REF!</v>
      </c>
      <c r="U73" s="63" t="e">
        <f>Saisie!#REF!</f>
        <v>#REF!</v>
      </c>
      <c r="V73" s="63" t="e">
        <f t="array" ref="V73">_xlfn.IFS(Saisie!#REF!="OUI",1,Saisie!#REF!="NON",0)</f>
        <v>#REF!</v>
      </c>
      <c r="W73" s="63" t="e">
        <f t="array" ref="W73">_xlfn.IFS(Saisie!O73="OUI",1,Saisie!O73="NON",0)</f>
        <v>#N/A</v>
      </c>
      <c r="X73" s="63">
        <f>Saisie!P73</f>
        <v>0</v>
      </c>
      <c r="Y73" s="299">
        <f>Saisie!H73</f>
        <v>0</v>
      </c>
      <c r="Z73" s="58" t="e">
        <f>Saisie!#REF!</f>
        <v>#REF!</v>
      </c>
      <c r="AA73" s="299">
        <f>Saisie!Q73</f>
        <v>0</v>
      </c>
      <c r="AB73" s="63" t="e">
        <f t="array" ref="AB73">_xlfn.IFS(Saisie!R73="OUI",1,Saisie!R73="NON",0)</f>
        <v>#N/A</v>
      </c>
      <c r="AC73" s="63">
        <f>Saisie!S73</f>
        <v>0</v>
      </c>
      <c r="AD73" s="63" t="e">
        <f t="array" ref="AD73">_xlfn.IFS(Saisie!T73="OUI",1,Saisie!T73="NON",0)</f>
        <v>#N/A</v>
      </c>
      <c r="AE73" s="171">
        <f>Saisie!U73</f>
        <v>0</v>
      </c>
      <c r="AF73" s="263">
        <v>3</v>
      </c>
      <c r="AG73" s="129">
        <f>Saisie!W73</f>
        <v>0</v>
      </c>
      <c r="AH73" s="20">
        <f>Saisie!X73</f>
        <v>0</v>
      </c>
      <c r="AI73" s="21">
        <f>Saisie!Y73</f>
        <v>0</v>
      </c>
      <c r="AJ73" s="59">
        <f>Saisie!Z73</f>
        <v>0</v>
      </c>
      <c r="AK73" s="20">
        <f>Saisie!AA73</f>
        <v>0</v>
      </c>
      <c r="AL73" s="21">
        <f>Saisie!AB73</f>
        <v>0</v>
      </c>
      <c r="AM73" s="59">
        <f>Saisie!AC73</f>
        <v>0</v>
      </c>
      <c r="AN73" s="20">
        <f>Saisie!AD73</f>
        <v>0</v>
      </c>
      <c r="AO73" s="21">
        <f>Saisie!AE73</f>
        <v>0</v>
      </c>
      <c r="AP73" s="59">
        <f>Saisie!AF73</f>
        <v>0</v>
      </c>
      <c r="AQ73" s="129" t="e">
        <f t="array" ref="AQ73">_xlfn.IFS(Saisie!AG73="OUI",1,Saisie!AG73="NON",0)</f>
        <v>#N/A</v>
      </c>
      <c r="AR73" s="129" t="e">
        <f t="array" ref="AR73">_xlfn.IFS(Saisie!AH73="OUI",1,Saisie!AH73="NON",0)</f>
        <v>#N/A</v>
      </c>
      <c r="AS73" s="171">
        <f>Saisie!AI73</f>
        <v>0</v>
      </c>
      <c r="AT73" s="263" t="e">
        <f t="array" ref="AT73">_xlfn.IFS(Saisie!AJ73="OUI",1,Saisie!AJ73="NON",0)</f>
        <v>#N/A</v>
      </c>
      <c r="AU73" s="173">
        <f>Saisie!AK73</f>
        <v>0</v>
      </c>
      <c r="AV73" s="263" t="e">
        <f t="array" ref="AV73">_xlfn.IFS(Saisie!AL73="OUI",1,Saisie!AL73="NON",0)</f>
        <v>#N/A</v>
      </c>
      <c r="AW73" s="171">
        <f>Saisie!AM73</f>
        <v>0</v>
      </c>
      <c r="AX73" s="68">
        <f>Saisie!AN73</f>
        <v>0</v>
      </c>
      <c r="AY73" s="20">
        <f>Saisie!AO73</f>
        <v>0</v>
      </c>
      <c r="AZ73" s="21">
        <f>Saisie!AP73</f>
        <v>0</v>
      </c>
      <c r="BA73" s="298">
        <f>Saisie!AQ73</f>
        <v>0</v>
      </c>
      <c r="BB73" s="170">
        <f>Saisie!AR73</f>
        <v>0</v>
      </c>
      <c r="BC73" s="174">
        <f>Saisie!AS73</f>
        <v>0</v>
      </c>
      <c r="BD73" s="61">
        <f>Saisie!AT73</f>
        <v>0</v>
      </c>
      <c r="BE73" s="175" t="e">
        <f t="array" ref="BE73">_xlfn.IFS(Saisie!AU73="OUI",1,Saisie!AU73="NON",0)</f>
        <v>#N/A</v>
      </c>
      <c r="BF73" s="267">
        <f>Saisie!AV73</f>
        <v>0</v>
      </c>
      <c r="BG73" s="55">
        <f>Saisie!AW73</f>
        <v>0</v>
      </c>
      <c r="BH73" s="55" t="e">
        <f t="array" ref="BH73">_xlfn.IFS(Saisie!AX73="OUI",1,Saisie!AX73="NON",0)</f>
        <v>#N/A</v>
      </c>
      <c r="BI73" s="62">
        <f>Saisie!AY73</f>
        <v>0</v>
      </c>
      <c r="BJ73" s="55" t="e">
        <f t="array" ref="BJ73">_xlfn.IFS(Saisie!AZ73="OUI",1,Saisie!AZ73="NON",0)</f>
        <v>#N/A</v>
      </c>
      <c r="BK73" s="55" t="e">
        <f t="array" ref="BK73">_xlfn.IFS(Saisie!BA73="OUI",1,Saisie!BA73="NON",0)</f>
        <v>#N/A</v>
      </c>
      <c r="BL73" s="55">
        <f>Saisie!BB73</f>
        <v>0</v>
      </c>
      <c r="BM73" s="49" t="e">
        <f>Saisie!BC73</f>
        <v>#REF!</v>
      </c>
      <c r="BN73" s="175"/>
    </row>
    <row r="74" spans="1:66" s="176" customFormat="1" x14ac:dyDescent="0.45">
      <c r="A74" s="13">
        <v>68</v>
      </c>
      <c r="B74" s="150">
        <f>Saisie!B74</f>
        <v>0</v>
      </c>
      <c r="C74" s="150">
        <f>Saisie!C74</f>
        <v>0</v>
      </c>
      <c r="D74" s="150">
        <f>Saisie!D74</f>
        <v>0</v>
      </c>
      <c r="E74" s="150">
        <f>Saisie!E74</f>
        <v>0</v>
      </c>
      <c r="F74" s="150">
        <f>Saisie!F74</f>
        <v>0</v>
      </c>
      <c r="G74" s="150">
        <f>Saisie!G74</f>
        <v>0</v>
      </c>
      <c r="H74" s="150">
        <f>Saisie!I74</f>
        <v>0</v>
      </c>
      <c r="I74" s="150">
        <f>Saisie!J74</f>
        <v>0</v>
      </c>
      <c r="J74" s="150">
        <f>Saisie!K74</f>
        <v>0</v>
      </c>
      <c r="K74" s="150">
        <f>Saisie!L74</f>
        <v>0</v>
      </c>
      <c r="L74" s="150" t="e">
        <f>Saisie!#REF!</f>
        <v>#REF!</v>
      </c>
      <c r="M74" s="55" t="e">
        <f t="array" ref="M74">_xlfn.IFS(Saisie!M74="OUI",1,Saisie!M74="NON",0)</f>
        <v>#N/A</v>
      </c>
      <c r="N74" s="64" t="e">
        <f>Saisie!#REF!</f>
        <v>#REF!</v>
      </c>
      <c r="O74" s="63" t="e">
        <f>Saisie!#REF!</f>
        <v>#REF!</v>
      </c>
      <c r="P74" s="63">
        <f>Saisie!N74</f>
        <v>0</v>
      </c>
      <c r="Q74" s="63" t="e">
        <f t="array" ref="Q74">_xlfn.IFS(Saisie!#REF!="OUI",1,Saisie!#REF!="NON",0)</f>
        <v>#REF!</v>
      </c>
      <c r="R74" s="63" t="e">
        <f>Saisie!#REF!</f>
        <v>#REF!</v>
      </c>
      <c r="S74" s="65" t="e">
        <f>Saisie!#REF!</f>
        <v>#REF!</v>
      </c>
      <c r="T74" s="63" t="e">
        <f>Saisie!#REF!</f>
        <v>#REF!</v>
      </c>
      <c r="U74" s="63" t="e">
        <f>Saisie!#REF!</f>
        <v>#REF!</v>
      </c>
      <c r="V74" s="63" t="e">
        <f t="array" ref="V74">_xlfn.IFS(Saisie!#REF!="OUI",1,Saisie!#REF!="NON",0)</f>
        <v>#REF!</v>
      </c>
      <c r="W74" s="63" t="e">
        <f t="array" ref="W74">_xlfn.IFS(Saisie!O74="OUI",1,Saisie!O74="NON",0)</f>
        <v>#N/A</v>
      </c>
      <c r="X74" s="63">
        <f>Saisie!P74</f>
        <v>0</v>
      </c>
      <c r="Y74" s="299">
        <f>Saisie!H74</f>
        <v>0</v>
      </c>
      <c r="Z74" s="58" t="e">
        <f>Saisie!#REF!</f>
        <v>#REF!</v>
      </c>
      <c r="AA74" s="299">
        <f>Saisie!Q74</f>
        <v>0</v>
      </c>
      <c r="AB74" s="63" t="e">
        <f t="array" ref="AB74">_xlfn.IFS(Saisie!R74="OUI",1,Saisie!R74="NON",0)</f>
        <v>#N/A</v>
      </c>
      <c r="AC74" s="63">
        <f>Saisie!S74</f>
        <v>0</v>
      </c>
      <c r="AD74" s="63" t="e">
        <f t="array" ref="AD74">_xlfn.IFS(Saisie!T74="OUI",1,Saisie!T74="NON",0)</f>
        <v>#N/A</v>
      </c>
      <c r="AE74" s="171">
        <f>Saisie!U74</f>
        <v>0</v>
      </c>
      <c r="AF74" s="263">
        <v>3</v>
      </c>
      <c r="AG74" s="129">
        <f>Saisie!W74</f>
        <v>0</v>
      </c>
      <c r="AH74" s="20">
        <f>Saisie!X74</f>
        <v>0</v>
      </c>
      <c r="AI74" s="21">
        <f>Saisie!Y74</f>
        <v>0</v>
      </c>
      <c r="AJ74" s="59">
        <f>Saisie!Z74</f>
        <v>0</v>
      </c>
      <c r="AK74" s="20">
        <f>Saisie!AA74</f>
        <v>0</v>
      </c>
      <c r="AL74" s="21">
        <f>Saisie!AB74</f>
        <v>0</v>
      </c>
      <c r="AM74" s="59">
        <f>Saisie!AC74</f>
        <v>0</v>
      </c>
      <c r="AN74" s="20">
        <f>Saisie!AD74</f>
        <v>0</v>
      </c>
      <c r="AO74" s="21">
        <f>Saisie!AE74</f>
        <v>0</v>
      </c>
      <c r="AP74" s="59">
        <f>Saisie!AF74</f>
        <v>0</v>
      </c>
      <c r="AQ74" s="129" t="e">
        <f t="array" ref="AQ74">_xlfn.IFS(Saisie!AG74="OUI",1,Saisie!AG74="NON",0)</f>
        <v>#N/A</v>
      </c>
      <c r="AR74" s="129" t="e">
        <f t="array" ref="AR74">_xlfn.IFS(Saisie!AH74="OUI",1,Saisie!AH74="NON",0)</f>
        <v>#N/A</v>
      </c>
      <c r="AS74" s="171">
        <f>Saisie!AI74</f>
        <v>0</v>
      </c>
      <c r="AT74" s="263" t="e">
        <f t="array" ref="AT74">_xlfn.IFS(Saisie!AJ74="OUI",1,Saisie!AJ74="NON",0)</f>
        <v>#N/A</v>
      </c>
      <c r="AU74" s="173">
        <f>Saisie!AK74</f>
        <v>0</v>
      </c>
      <c r="AV74" s="263" t="e">
        <f t="array" ref="AV74">_xlfn.IFS(Saisie!AL74="OUI",1,Saisie!AL74="NON",0)</f>
        <v>#N/A</v>
      </c>
      <c r="AW74" s="171">
        <f>Saisie!AM74</f>
        <v>0</v>
      </c>
      <c r="AX74" s="68">
        <f>Saisie!AN74</f>
        <v>0</v>
      </c>
      <c r="AY74" s="20">
        <f>Saisie!AO74</f>
        <v>0</v>
      </c>
      <c r="AZ74" s="21">
        <f>Saisie!AP74</f>
        <v>0</v>
      </c>
      <c r="BA74" s="298">
        <f>Saisie!AQ74</f>
        <v>0</v>
      </c>
      <c r="BB74" s="170">
        <f>Saisie!AR74</f>
        <v>0</v>
      </c>
      <c r="BC74" s="174">
        <f>Saisie!AS74</f>
        <v>0</v>
      </c>
      <c r="BD74" s="61">
        <f>Saisie!AT74</f>
        <v>0</v>
      </c>
      <c r="BE74" s="175" t="e">
        <f t="array" ref="BE74">_xlfn.IFS(Saisie!AU74="OUI",1,Saisie!AU74="NON",0)</f>
        <v>#N/A</v>
      </c>
      <c r="BF74" s="267">
        <f>Saisie!AV74</f>
        <v>0</v>
      </c>
      <c r="BG74" s="55">
        <f>Saisie!AW74</f>
        <v>0</v>
      </c>
      <c r="BH74" s="55" t="e">
        <f t="array" ref="BH74">_xlfn.IFS(Saisie!AX74="OUI",1,Saisie!AX74="NON",0)</f>
        <v>#N/A</v>
      </c>
      <c r="BI74" s="62">
        <f>Saisie!AY74</f>
        <v>0</v>
      </c>
      <c r="BJ74" s="55" t="e">
        <f t="array" ref="BJ74">_xlfn.IFS(Saisie!AZ74="OUI",1,Saisie!AZ74="NON",0)</f>
        <v>#N/A</v>
      </c>
      <c r="BK74" s="55" t="e">
        <f t="array" ref="BK74">_xlfn.IFS(Saisie!BA74="OUI",1,Saisie!BA74="NON",0)</f>
        <v>#N/A</v>
      </c>
      <c r="BL74" s="55">
        <f>Saisie!BB74</f>
        <v>0</v>
      </c>
      <c r="BM74" s="49" t="e">
        <f>Saisie!BC74</f>
        <v>#REF!</v>
      </c>
      <c r="BN74" s="175"/>
    </row>
    <row r="75" spans="1:66" s="176" customFormat="1" x14ac:dyDescent="0.45">
      <c r="A75" s="13">
        <v>69</v>
      </c>
      <c r="B75" s="150">
        <f>Saisie!B75</f>
        <v>0</v>
      </c>
      <c r="C75" s="150">
        <f>Saisie!C75</f>
        <v>0</v>
      </c>
      <c r="D75" s="150">
        <f>Saisie!D75</f>
        <v>0</v>
      </c>
      <c r="E75" s="150">
        <f>Saisie!E75</f>
        <v>0</v>
      </c>
      <c r="F75" s="150">
        <f>Saisie!F75</f>
        <v>0</v>
      </c>
      <c r="G75" s="150">
        <f>Saisie!G75</f>
        <v>0</v>
      </c>
      <c r="H75" s="150">
        <f>Saisie!I75</f>
        <v>0</v>
      </c>
      <c r="I75" s="150">
        <f>Saisie!J75</f>
        <v>0</v>
      </c>
      <c r="J75" s="150">
        <f>Saisie!K75</f>
        <v>0</v>
      </c>
      <c r="K75" s="150">
        <f>Saisie!L75</f>
        <v>0</v>
      </c>
      <c r="L75" s="150" t="e">
        <f>Saisie!#REF!</f>
        <v>#REF!</v>
      </c>
      <c r="M75" s="55" t="e">
        <f t="array" ref="M75">_xlfn.IFS(Saisie!M75="OUI",1,Saisie!M75="NON",0)</f>
        <v>#N/A</v>
      </c>
      <c r="N75" s="64" t="e">
        <f>Saisie!#REF!</f>
        <v>#REF!</v>
      </c>
      <c r="O75" s="63" t="e">
        <f>Saisie!#REF!</f>
        <v>#REF!</v>
      </c>
      <c r="P75" s="63">
        <f>Saisie!N75</f>
        <v>0</v>
      </c>
      <c r="Q75" s="63" t="e">
        <f t="array" ref="Q75">_xlfn.IFS(Saisie!#REF!="OUI",1,Saisie!#REF!="NON",0)</f>
        <v>#REF!</v>
      </c>
      <c r="R75" s="63" t="e">
        <f>Saisie!#REF!</f>
        <v>#REF!</v>
      </c>
      <c r="S75" s="65" t="e">
        <f>Saisie!#REF!</f>
        <v>#REF!</v>
      </c>
      <c r="T75" s="63" t="e">
        <f>Saisie!#REF!</f>
        <v>#REF!</v>
      </c>
      <c r="U75" s="63" t="e">
        <f>Saisie!#REF!</f>
        <v>#REF!</v>
      </c>
      <c r="V75" s="63" t="e">
        <f t="array" ref="V75">_xlfn.IFS(Saisie!#REF!="OUI",1,Saisie!#REF!="NON",0)</f>
        <v>#REF!</v>
      </c>
      <c r="W75" s="63" t="e">
        <f t="array" ref="W75">_xlfn.IFS(Saisie!O75="OUI",1,Saisie!O75="NON",0)</f>
        <v>#N/A</v>
      </c>
      <c r="X75" s="63">
        <f>Saisie!P75</f>
        <v>0</v>
      </c>
      <c r="Y75" s="299">
        <f>Saisie!H75</f>
        <v>0</v>
      </c>
      <c r="Z75" s="58" t="e">
        <f>Saisie!#REF!</f>
        <v>#REF!</v>
      </c>
      <c r="AA75" s="299">
        <f>Saisie!Q75</f>
        <v>0</v>
      </c>
      <c r="AB75" s="63" t="e">
        <f t="array" ref="AB75">_xlfn.IFS(Saisie!R75="OUI",1,Saisie!R75="NON",0)</f>
        <v>#N/A</v>
      </c>
      <c r="AC75" s="63">
        <f>Saisie!S75</f>
        <v>0</v>
      </c>
      <c r="AD75" s="63" t="e">
        <f t="array" ref="AD75">_xlfn.IFS(Saisie!T75="OUI",1,Saisie!T75="NON",0)</f>
        <v>#N/A</v>
      </c>
      <c r="AE75" s="171">
        <f>Saisie!U75</f>
        <v>0</v>
      </c>
      <c r="AF75" s="263">
        <v>3</v>
      </c>
      <c r="AG75" s="129">
        <f>Saisie!W75</f>
        <v>0</v>
      </c>
      <c r="AH75" s="20">
        <f>Saisie!X75</f>
        <v>0</v>
      </c>
      <c r="AI75" s="21">
        <f>Saisie!Y75</f>
        <v>0</v>
      </c>
      <c r="AJ75" s="59">
        <f>Saisie!Z75</f>
        <v>0</v>
      </c>
      <c r="AK75" s="20">
        <f>Saisie!AA75</f>
        <v>0</v>
      </c>
      <c r="AL75" s="21">
        <f>Saisie!AB75</f>
        <v>0</v>
      </c>
      <c r="AM75" s="59">
        <f>Saisie!AC75</f>
        <v>0</v>
      </c>
      <c r="AN75" s="20">
        <f>Saisie!AD75</f>
        <v>0</v>
      </c>
      <c r="AO75" s="21">
        <f>Saisie!AE75</f>
        <v>0</v>
      </c>
      <c r="AP75" s="59">
        <f>Saisie!AF75</f>
        <v>0</v>
      </c>
      <c r="AQ75" s="129" t="e">
        <f t="array" ref="AQ75">_xlfn.IFS(Saisie!AG75="OUI",1,Saisie!AG75="NON",0)</f>
        <v>#N/A</v>
      </c>
      <c r="AR75" s="129" t="e">
        <f t="array" ref="AR75">_xlfn.IFS(Saisie!AH75="OUI",1,Saisie!AH75="NON",0)</f>
        <v>#N/A</v>
      </c>
      <c r="AS75" s="171">
        <f>Saisie!AI75</f>
        <v>0</v>
      </c>
      <c r="AT75" s="263" t="e">
        <f t="array" ref="AT75">_xlfn.IFS(Saisie!AJ75="OUI",1,Saisie!AJ75="NON",0)</f>
        <v>#N/A</v>
      </c>
      <c r="AU75" s="173">
        <f>Saisie!AK75</f>
        <v>0</v>
      </c>
      <c r="AV75" s="263" t="e">
        <f t="array" ref="AV75">_xlfn.IFS(Saisie!AL75="OUI",1,Saisie!AL75="NON",0)</f>
        <v>#N/A</v>
      </c>
      <c r="AW75" s="171">
        <f>Saisie!AM75</f>
        <v>0</v>
      </c>
      <c r="AX75" s="68">
        <f>Saisie!AN75</f>
        <v>0</v>
      </c>
      <c r="AY75" s="20">
        <f>Saisie!AO75</f>
        <v>0</v>
      </c>
      <c r="AZ75" s="21">
        <f>Saisie!AP75</f>
        <v>0</v>
      </c>
      <c r="BA75" s="298">
        <f>Saisie!AQ75</f>
        <v>0</v>
      </c>
      <c r="BB75" s="170">
        <f>Saisie!AR75</f>
        <v>0</v>
      </c>
      <c r="BC75" s="174">
        <f>Saisie!AS75</f>
        <v>0</v>
      </c>
      <c r="BD75" s="61">
        <f>Saisie!AT75</f>
        <v>0</v>
      </c>
      <c r="BE75" s="175" t="e">
        <f t="array" ref="BE75">_xlfn.IFS(Saisie!AU75="OUI",1,Saisie!AU75="NON",0)</f>
        <v>#N/A</v>
      </c>
      <c r="BF75" s="267">
        <f>Saisie!AV75</f>
        <v>0</v>
      </c>
      <c r="BG75" s="55">
        <f>Saisie!AW75</f>
        <v>0</v>
      </c>
      <c r="BH75" s="55" t="e">
        <f t="array" ref="BH75">_xlfn.IFS(Saisie!AX75="OUI",1,Saisie!AX75="NON",0)</f>
        <v>#N/A</v>
      </c>
      <c r="BI75" s="62">
        <f>Saisie!AY75</f>
        <v>0</v>
      </c>
      <c r="BJ75" s="55" t="e">
        <f t="array" ref="BJ75">_xlfn.IFS(Saisie!AZ75="OUI",1,Saisie!AZ75="NON",0)</f>
        <v>#N/A</v>
      </c>
      <c r="BK75" s="55" t="e">
        <f t="array" ref="BK75">_xlfn.IFS(Saisie!BA75="OUI",1,Saisie!BA75="NON",0)</f>
        <v>#N/A</v>
      </c>
      <c r="BL75" s="55">
        <f>Saisie!BB75</f>
        <v>0</v>
      </c>
      <c r="BM75" s="49" t="e">
        <f>Saisie!BC75</f>
        <v>#REF!</v>
      </c>
      <c r="BN75" s="175"/>
    </row>
    <row r="76" spans="1:66" s="176" customFormat="1" x14ac:dyDescent="0.45">
      <c r="A76" s="12">
        <v>70</v>
      </c>
      <c r="B76" s="150">
        <f>Saisie!B76</f>
        <v>0</v>
      </c>
      <c r="C76" s="150">
        <f>Saisie!C76</f>
        <v>0</v>
      </c>
      <c r="D76" s="150">
        <f>Saisie!D76</f>
        <v>0</v>
      </c>
      <c r="E76" s="150">
        <f>Saisie!E76</f>
        <v>0</v>
      </c>
      <c r="F76" s="150">
        <f>Saisie!F76</f>
        <v>0</v>
      </c>
      <c r="G76" s="150">
        <f>Saisie!G76</f>
        <v>0</v>
      </c>
      <c r="H76" s="150">
        <f>Saisie!I76</f>
        <v>0</v>
      </c>
      <c r="I76" s="150">
        <f>Saisie!J76</f>
        <v>0</v>
      </c>
      <c r="J76" s="150">
        <f>Saisie!K76</f>
        <v>0</v>
      </c>
      <c r="K76" s="150">
        <f>Saisie!L76</f>
        <v>0</v>
      </c>
      <c r="L76" s="150" t="e">
        <f>Saisie!#REF!</f>
        <v>#REF!</v>
      </c>
      <c r="M76" s="55" t="e">
        <f t="array" ref="M76">_xlfn.IFS(Saisie!M76="OUI",1,Saisie!M76="NON",0)</f>
        <v>#N/A</v>
      </c>
      <c r="N76" s="64" t="e">
        <f>Saisie!#REF!</f>
        <v>#REF!</v>
      </c>
      <c r="O76" s="63" t="e">
        <f>Saisie!#REF!</f>
        <v>#REF!</v>
      </c>
      <c r="P76" s="63">
        <f>Saisie!N76</f>
        <v>0</v>
      </c>
      <c r="Q76" s="63" t="e">
        <f t="array" ref="Q76">_xlfn.IFS(Saisie!#REF!="OUI",1,Saisie!#REF!="NON",0)</f>
        <v>#REF!</v>
      </c>
      <c r="R76" s="63" t="e">
        <f>Saisie!#REF!</f>
        <v>#REF!</v>
      </c>
      <c r="S76" s="65" t="e">
        <f>Saisie!#REF!</f>
        <v>#REF!</v>
      </c>
      <c r="T76" s="63" t="e">
        <f>Saisie!#REF!</f>
        <v>#REF!</v>
      </c>
      <c r="U76" s="63" t="e">
        <f>Saisie!#REF!</f>
        <v>#REF!</v>
      </c>
      <c r="V76" s="63" t="e">
        <f t="array" ref="V76">_xlfn.IFS(Saisie!#REF!="OUI",1,Saisie!#REF!="NON",0)</f>
        <v>#REF!</v>
      </c>
      <c r="W76" s="63" t="e">
        <f t="array" ref="W76">_xlfn.IFS(Saisie!O76="OUI",1,Saisie!O76="NON",0)</f>
        <v>#N/A</v>
      </c>
      <c r="X76" s="63">
        <f>Saisie!P76</f>
        <v>0</v>
      </c>
      <c r="Y76" s="299">
        <f>Saisie!H76</f>
        <v>0</v>
      </c>
      <c r="Z76" s="58" t="e">
        <f>Saisie!#REF!</f>
        <v>#REF!</v>
      </c>
      <c r="AA76" s="299">
        <f>Saisie!Q76</f>
        <v>0</v>
      </c>
      <c r="AB76" s="63" t="e">
        <f t="array" ref="AB76">_xlfn.IFS(Saisie!R76="OUI",1,Saisie!R76="NON",0)</f>
        <v>#N/A</v>
      </c>
      <c r="AC76" s="63">
        <f>Saisie!S76</f>
        <v>0</v>
      </c>
      <c r="AD76" s="63" t="e">
        <f t="array" ref="AD76">_xlfn.IFS(Saisie!T76="OUI",1,Saisie!T76="NON",0)</f>
        <v>#N/A</v>
      </c>
      <c r="AE76" s="171">
        <f>Saisie!U76</f>
        <v>0</v>
      </c>
      <c r="AF76" s="263">
        <v>3</v>
      </c>
      <c r="AG76" s="129">
        <f>Saisie!W76</f>
        <v>0</v>
      </c>
      <c r="AH76" s="20">
        <f>Saisie!X76</f>
        <v>0</v>
      </c>
      <c r="AI76" s="21">
        <f>Saisie!Y76</f>
        <v>0</v>
      </c>
      <c r="AJ76" s="59">
        <f>Saisie!Z76</f>
        <v>0</v>
      </c>
      <c r="AK76" s="20">
        <f>Saisie!AA76</f>
        <v>0</v>
      </c>
      <c r="AL76" s="21">
        <f>Saisie!AB76</f>
        <v>0</v>
      </c>
      <c r="AM76" s="59">
        <f>Saisie!AC76</f>
        <v>0</v>
      </c>
      <c r="AN76" s="20">
        <f>Saisie!AD76</f>
        <v>0</v>
      </c>
      <c r="AO76" s="21">
        <f>Saisie!AE76</f>
        <v>0</v>
      </c>
      <c r="AP76" s="59">
        <f>Saisie!AF76</f>
        <v>0</v>
      </c>
      <c r="AQ76" s="129" t="e">
        <f t="array" ref="AQ76">_xlfn.IFS(Saisie!AG76="OUI",1,Saisie!AG76="NON",0)</f>
        <v>#N/A</v>
      </c>
      <c r="AR76" s="129" t="e">
        <f t="array" ref="AR76">_xlfn.IFS(Saisie!AH76="OUI",1,Saisie!AH76="NON",0)</f>
        <v>#N/A</v>
      </c>
      <c r="AS76" s="171">
        <f>Saisie!AI76</f>
        <v>0</v>
      </c>
      <c r="AT76" s="263" t="e">
        <f t="array" ref="AT76">_xlfn.IFS(Saisie!AJ76="OUI",1,Saisie!AJ76="NON",0)</f>
        <v>#N/A</v>
      </c>
      <c r="AU76" s="173">
        <f>Saisie!AK76</f>
        <v>0</v>
      </c>
      <c r="AV76" s="263" t="e">
        <f t="array" ref="AV76">_xlfn.IFS(Saisie!AL76="OUI",1,Saisie!AL76="NON",0)</f>
        <v>#N/A</v>
      </c>
      <c r="AW76" s="171">
        <f>Saisie!AM76</f>
        <v>0</v>
      </c>
      <c r="AX76" s="68">
        <f>Saisie!AN76</f>
        <v>0</v>
      </c>
      <c r="AY76" s="20">
        <f>Saisie!AO76</f>
        <v>0</v>
      </c>
      <c r="AZ76" s="21">
        <f>Saisie!AP76</f>
        <v>0</v>
      </c>
      <c r="BA76" s="298">
        <f>Saisie!AQ76</f>
        <v>0</v>
      </c>
      <c r="BB76" s="170">
        <f>Saisie!AR76</f>
        <v>0</v>
      </c>
      <c r="BC76" s="174">
        <f>Saisie!AS76</f>
        <v>0</v>
      </c>
      <c r="BD76" s="61">
        <f>Saisie!AT76</f>
        <v>0</v>
      </c>
      <c r="BE76" s="175" t="e">
        <f t="array" ref="BE76">_xlfn.IFS(Saisie!AU76="OUI",1,Saisie!AU76="NON",0)</f>
        <v>#N/A</v>
      </c>
      <c r="BF76" s="267">
        <f>Saisie!AV76</f>
        <v>0</v>
      </c>
      <c r="BG76" s="55">
        <f>Saisie!AW76</f>
        <v>0</v>
      </c>
      <c r="BH76" s="55" t="e">
        <f t="array" ref="BH76">_xlfn.IFS(Saisie!AX76="OUI",1,Saisie!AX76="NON",0)</f>
        <v>#N/A</v>
      </c>
      <c r="BI76" s="62">
        <f>Saisie!AY76</f>
        <v>0</v>
      </c>
      <c r="BJ76" s="55" t="e">
        <f t="array" ref="BJ76">_xlfn.IFS(Saisie!AZ76="OUI",1,Saisie!AZ76="NON",0)</f>
        <v>#N/A</v>
      </c>
      <c r="BK76" s="55" t="e">
        <f t="array" ref="BK76">_xlfn.IFS(Saisie!BA76="OUI",1,Saisie!BA76="NON",0)</f>
        <v>#N/A</v>
      </c>
      <c r="BL76" s="55">
        <f>Saisie!BB76</f>
        <v>0</v>
      </c>
      <c r="BM76" s="49" t="e">
        <f>Saisie!BC76</f>
        <v>#REF!</v>
      </c>
      <c r="BN76" s="175"/>
    </row>
    <row r="77" spans="1:66" s="176" customFormat="1" x14ac:dyDescent="0.45">
      <c r="A77" s="13">
        <v>71</v>
      </c>
      <c r="B77" s="150">
        <f>Saisie!B77</f>
        <v>0</v>
      </c>
      <c r="C77" s="150">
        <f>Saisie!C77</f>
        <v>0</v>
      </c>
      <c r="D77" s="150">
        <f>Saisie!D77</f>
        <v>0</v>
      </c>
      <c r="E77" s="150">
        <f>Saisie!E77</f>
        <v>0</v>
      </c>
      <c r="F77" s="150">
        <f>Saisie!F77</f>
        <v>0</v>
      </c>
      <c r="G77" s="150">
        <f>Saisie!G77</f>
        <v>0</v>
      </c>
      <c r="H77" s="150">
        <f>Saisie!I77</f>
        <v>0</v>
      </c>
      <c r="I77" s="150">
        <f>Saisie!J77</f>
        <v>0</v>
      </c>
      <c r="J77" s="150">
        <f>Saisie!K77</f>
        <v>0</v>
      </c>
      <c r="K77" s="150">
        <f>Saisie!L77</f>
        <v>0</v>
      </c>
      <c r="L77" s="150" t="e">
        <f>Saisie!#REF!</f>
        <v>#REF!</v>
      </c>
      <c r="M77" s="55" t="e">
        <f t="array" ref="M77">_xlfn.IFS(Saisie!M77="OUI",1,Saisie!M77="NON",0)</f>
        <v>#N/A</v>
      </c>
      <c r="N77" s="64" t="e">
        <f>Saisie!#REF!</f>
        <v>#REF!</v>
      </c>
      <c r="O77" s="63" t="e">
        <f>Saisie!#REF!</f>
        <v>#REF!</v>
      </c>
      <c r="P77" s="63">
        <f>Saisie!N77</f>
        <v>0</v>
      </c>
      <c r="Q77" s="63" t="e">
        <f t="array" ref="Q77">_xlfn.IFS(Saisie!#REF!="OUI",1,Saisie!#REF!="NON",0)</f>
        <v>#REF!</v>
      </c>
      <c r="R77" s="63" t="e">
        <f>Saisie!#REF!</f>
        <v>#REF!</v>
      </c>
      <c r="S77" s="65" t="e">
        <f>Saisie!#REF!</f>
        <v>#REF!</v>
      </c>
      <c r="T77" s="63" t="e">
        <f>Saisie!#REF!</f>
        <v>#REF!</v>
      </c>
      <c r="U77" s="63" t="e">
        <f>Saisie!#REF!</f>
        <v>#REF!</v>
      </c>
      <c r="V77" s="63" t="e">
        <f t="array" ref="V77">_xlfn.IFS(Saisie!#REF!="OUI",1,Saisie!#REF!="NON",0)</f>
        <v>#REF!</v>
      </c>
      <c r="W77" s="63" t="e">
        <f t="array" ref="W77">_xlfn.IFS(Saisie!O77="OUI",1,Saisie!O77="NON",0)</f>
        <v>#N/A</v>
      </c>
      <c r="X77" s="63">
        <f>Saisie!P77</f>
        <v>0</v>
      </c>
      <c r="Y77" s="299">
        <f>Saisie!H77</f>
        <v>0</v>
      </c>
      <c r="Z77" s="58" t="e">
        <f>Saisie!#REF!</f>
        <v>#REF!</v>
      </c>
      <c r="AA77" s="299">
        <f>Saisie!Q77</f>
        <v>0</v>
      </c>
      <c r="AB77" s="63" t="e">
        <f t="array" ref="AB77">_xlfn.IFS(Saisie!R77="OUI",1,Saisie!R77="NON",0)</f>
        <v>#N/A</v>
      </c>
      <c r="AC77" s="63">
        <f>Saisie!S77</f>
        <v>0</v>
      </c>
      <c r="AD77" s="63" t="e">
        <f t="array" ref="AD77">_xlfn.IFS(Saisie!T77="OUI",1,Saisie!T77="NON",0)</f>
        <v>#N/A</v>
      </c>
      <c r="AE77" s="171">
        <f>Saisie!U77</f>
        <v>0</v>
      </c>
      <c r="AF77" s="263">
        <v>3</v>
      </c>
      <c r="AG77" s="129">
        <f>Saisie!W77</f>
        <v>0</v>
      </c>
      <c r="AH77" s="20">
        <f>Saisie!X77</f>
        <v>0</v>
      </c>
      <c r="AI77" s="21">
        <f>Saisie!Y77</f>
        <v>0</v>
      </c>
      <c r="AJ77" s="59">
        <f>Saisie!Z77</f>
        <v>0</v>
      </c>
      <c r="AK77" s="20">
        <f>Saisie!AA77</f>
        <v>0</v>
      </c>
      <c r="AL77" s="21">
        <f>Saisie!AB77</f>
        <v>0</v>
      </c>
      <c r="AM77" s="59">
        <f>Saisie!AC77</f>
        <v>0</v>
      </c>
      <c r="AN77" s="20">
        <f>Saisie!AD77</f>
        <v>0</v>
      </c>
      <c r="AO77" s="21">
        <f>Saisie!AE77</f>
        <v>0</v>
      </c>
      <c r="AP77" s="59">
        <f>Saisie!AF77</f>
        <v>0</v>
      </c>
      <c r="AQ77" s="129" t="e">
        <f t="array" ref="AQ77">_xlfn.IFS(Saisie!AG77="OUI",1,Saisie!AG77="NON",0)</f>
        <v>#N/A</v>
      </c>
      <c r="AR77" s="129" t="e">
        <f t="array" ref="AR77">_xlfn.IFS(Saisie!AH77="OUI",1,Saisie!AH77="NON",0)</f>
        <v>#N/A</v>
      </c>
      <c r="AS77" s="171">
        <f>Saisie!AI77</f>
        <v>0</v>
      </c>
      <c r="AT77" s="263" t="e">
        <f t="array" ref="AT77">_xlfn.IFS(Saisie!AJ77="OUI",1,Saisie!AJ77="NON",0)</f>
        <v>#N/A</v>
      </c>
      <c r="AU77" s="173">
        <f>Saisie!AK77</f>
        <v>0</v>
      </c>
      <c r="AV77" s="263" t="e">
        <f t="array" ref="AV77">_xlfn.IFS(Saisie!AL77="OUI",1,Saisie!AL77="NON",0)</f>
        <v>#N/A</v>
      </c>
      <c r="AW77" s="171">
        <f>Saisie!AM77</f>
        <v>0</v>
      </c>
      <c r="AX77" s="68">
        <f>Saisie!AN77</f>
        <v>0</v>
      </c>
      <c r="AY77" s="20">
        <f>Saisie!AO77</f>
        <v>0</v>
      </c>
      <c r="AZ77" s="21">
        <f>Saisie!AP77</f>
        <v>0</v>
      </c>
      <c r="BA77" s="298">
        <f>Saisie!AQ77</f>
        <v>0</v>
      </c>
      <c r="BB77" s="170">
        <f>Saisie!AR77</f>
        <v>0</v>
      </c>
      <c r="BC77" s="174">
        <f>Saisie!AS77</f>
        <v>0</v>
      </c>
      <c r="BD77" s="61">
        <f>Saisie!AT77</f>
        <v>0</v>
      </c>
      <c r="BE77" s="175" t="e">
        <f t="array" ref="BE77">_xlfn.IFS(Saisie!AU77="OUI",1,Saisie!AU77="NON",0)</f>
        <v>#N/A</v>
      </c>
      <c r="BF77" s="267">
        <f>Saisie!AV77</f>
        <v>0</v>
      </c>
      <c r="BG77" s="55">
        <f>Saisie!AW77</f>
        <v>0</v>
      </c>
      <c r="BH77" s="55" t="e">
        <f t="array" ref="BH77">_xlfn.IFS(Saisie!AX77="OUI",1,Saisie!AX77="NON",0)</f>
        <v>#N/A</v>
      </c>
      <c r="BI77" s="62">
        <f>Saisie!AY77</f>
        <v>0</v>
      </c>
      <c r="BJ77" s="55" t="e">
        <f t="array" ref="BJ77">_xlfn.IFS(Saisie!AZ77="OUI",1,Saisie!AZ77="NON",0)</f>
        <v>#N/A</v>
      </c>
      <c r="BK77" s="55" t="e">
        <f t="array" ref="BK77">_xlfn.IFS(Saisie!BA77="OUI",1,Saisie!BA77="NON",0)</f>
        <v>#N/A</v>
      </c>
      <c r="BL77" s="55">
        <f>Saisie!BB77</f>
        <v>0</v>
      </c>
      <c r="BM77" s="49" t="e">
        <f>Saisie!BC77</f>
        <v>#REF!</v>
      </c>
      <c r="BN77" s="175"/>
    </row>
    <row r="78" spans="1:66" s="176" customFormat="1" x14ac:dyDescent="0.45">
      <c r="A78" s="13">
        <v>72</v>
      </c>
      <c r="B78" s="150">
        <f>Saisie!B78</f>
        <v>0</v>
      </c>
      <c r="C78" s="150">
        <f>Saisie!C78</f>
        <v>0</v>
      </c>
      <c r="D78" s="150">
        <f>Saisie!D78</f>
        <v>0</v>
      </c>
      <c r="E78" s="150">
        <f>Saisie!E78</f>
        <v>0</v>
      </c>
      <c r="F78" s="150">
        <f>Saisie!F78</f>
        <v>0</v>
      </c>
      <c r="G78" s="150">
        <f>Saisie!G78</f>
        <v>0</v>
      </c>
      <c r="H78" s="150">
        <f>Saisie!I78</f>
        <v>0</v>
      </c>
      <c r="I78" s="150">
        <f>Saisie!J78</f>
        <v>0</v>
      </c>
      <c r="J78" s="150">
        <f>Saisie!K78</f>
        <v>0</v>
      </c>
      <c r="K78" s="150">
        <f>Saisie!L78</f>
        <v>0</v>
      </c>
      <c r="L78" s="150" t="e">
        <f>Saisie!#REF!</f>
        <v>#REF!</v>
      </c>
      <c r="M78" s="55" t="e">
        <f t="array" ref="M78">_xlfn.IFS(Saisie!M78="OUI",1,Saisie!M78="NON",0)</f>
        <v>#N/A</v>
      </c>
      <c r="N78" s="64" t="e">
        <f>Saisie!#REF!</f>
        <v>#REF!</v>
      </c>
      <c r="O78" s="63" t="e">
        <f>Saisie!#REF!</f>
        <v>#REF!</v>
      </c>
      <c r="P78" s="63">
        <f>Saisie!N78</f>
        <v>0</v>
      </c>
      <c r="Q78" s="63" t="e">
        <f t="array" ref="Q78">_xlfn.IFS(Saisie!#REF!="OUI",1,Saisie!#REF!="NON",0)</f>
        <v>#REF!</v>
      </c>
      <c r="R78" s="63" t="e">
        <f>Saisie!#REF!</f>
        <v>#REF!</v>
      </c>
      <c r="S78" s="65" t="e">
        <f>Saisie!#REF!</f>
        <v>#REF!</v>
      </c>
      <c r="T78" s="63" t="e">
        <f>Saisie!#REF!</f>
        <v>#REF!</v>
      </c>
      <c r="U78" s="63" t="e">
        <f>Saisie!#REF!</f>
        <v>#REF!</v>
      </c>
      <c r="V78" s="63" t="e">
        <f t="array" ref="V78">_xlfn.IFS(Saisie!#REF!="OUI",1,Saisie!#REF!="NON",0)</f>
        <v>#REF!</v>
      </c>
      <c r="W78" s="63" t="e">
        <f t="array" ref="W78">_xlfn.IFS(Saisie!O78="OUI",1,Saisie!O78="NON",0)</f>
        <v>#N/A</v>
      </c>
      <c r="X78" s="63">
        <f>Saisie!P78</f>
        <v>0</v>
      </c>
      <c r="Y78" s="299">
        <f>Saisie!H78</f>
        <v>0</v>
      </c>
      <c r="Z78" s="58" t="e">
        <f>Saisie!#REF!</f>
        <v>#REF!</v>
      </c>
      <c r="AA78" s="299">
        <f>Saisie!Q78</f>
        <v>0</v>
      </c>
      <c r="AB78" s="63" t="e">
        <f t="array" ref="AB78">_xlfn.IFS(Saisie!R78="OUI",1,Saisie!R78="NON",0)</f>
        <v>#N/A</v>
      </c>
      <c r="AC78" s="63">
        <f>Saisie!S78</f>
        <v>0</v>
      </c>
      <c r="AD78" s="63" t="e">
        <f t="array" ref="AD78">_xlfn.IFS(Saisie!T78="OUI",1,Saisie!T78="NON",0)</f>
        <v>#N/A</v>
      </c>
      <c r="AE78" s="171">
        <f>Saisie!U78</f>
        <v>0</v>
      </c>
      <c r="AF78" s="263">
        <v>3</v>
      </c>
      <c r="AG78" s="129">
        <f>Saisie!W78</f>
        <v>0</v>
      </c>
      <c r="AH78" s="20">
        <f>Saisie!X78</f>
        <v>0</v>
      </c>
      <c r="AI78" s="21">
        <f>Saisie!Y78</f>
        <v>0</v>
      </c>
      <c r="AJ78" s="59">
        <f>Saisie!Z78</f>
        <v>0</v>
      </c>
      <c r="AK78" s="20">
        <f>Saisie!AA78</f>
        <v>0</v>
      </c>
      <c r="AL78" s="21">
        <f>Saisie!AB78</f>
        <v>0</v>
      </c>
      <c r="AM78" s="59">
        <f>Saisie!AC78</f>
        <v>0</v>
      </c>
      <c r="AN78" s="20">
        <f>Saisie!AD78</f>
        <v>0</v>
      </c>
      <c r="AO78" s="21">
        <f>Saisie!AE78</f>
        <v>0</v>
      </c>
      <c r="AP78" s="59">
        <f>Saisie!AF78</f>
        <v>0</v>
      </c>
      <c r="AQ78" s="129" t="e">
        <f t="array" ref="AQ78">_xlfn.IFS(Saisie!AG78="OUI",1,Saisie!AG78="NON",0)</f>
        <v>#N/A</v>
      </c>
      <c r="AR78" s="129" t="e">
        <f t="array" ref="AR78">_xlfn.IFS(Saisie!AH78="OUI",1,Saisie!AH78="NON",0)</f>
        <v>#N/A</v>
      </c>
      <c r="AS78" s="171">
        <f>Saisie!AI78</f>
        <v>0</v>
      </c>
      <c r="AT78" s="263" t="e">
        <f t="array" ref="AT78">_xlfn.IFS(Saisie!AJ78="OUI",1,Saisie!AJ78="NON",0)</f>
        <v>#N/A</v>
      </c>
      <c r="AU78" s="173">
        <f>Saisie!AK78</f>
        <v>0</v>
      </c>
      <c r="AV78" s="263" t="e">
        <f t="array" ref="AV78">_xlfn.IFS(Saisie!AL78="OUI",1,Saisie!AL78="NON",0)</f>
        <v>#N/A</v>
      </c>
      <c r="AW78" s="171">
        <f>Saisie!AM78</f>
        <v>0</v>
      </c>
      <c r="AX78" s="68">
        <f>Saisie!AN78</f>
        <v>0</v>
      </c>
      <c r="AY78" s="20">
        <f>Saisie!AO78</f>
        <v>0</v>
      </c>
      <c r="AZ78" s="21">
        <f>Saisie!AP78</f>
        <v>0</v>
      </c>
      <c r="BA78" s="298">
        <f>Saisie!AQ78</f>
        <v>0</v>
      </c>
      <c r="BB78" s="170">
        <f>Saisie!AR78</f>
        <v>0</v>
      </c>
      <c r="BC78" s="174">
        <f>Saisie!AS78</f>
        <v>0</v>
      </c>
      <c r="BD78" s="61">
        <f>Saisie!AT78</f>
        <v>0</v>
      </c>
      <c r="BE78" s="175" t="e">
        <f t="array" ref="BE78">_xlfn.IFS(Saisie!AU78="OUI",1,Saisie!AU78="NON",0)</f>
        <v>#N/A</v>
      </c>
      <c r="BF78" s="267">
        <f>Saisie!AV78</f>
        <v>0</v>
      </c>
      <c r="BG78" s="55">
        <f>Saisie!AW78</f>
        <v>0</v>
      </c>
      <c r="BH78" s="55" t="e">
        <f t="array" ref="BH78">_xlfn.IFS(Saisie!AX78="OUI",1,Saisie!AX78="NON",0)</f>
        <v>#N/A</v>
      </c>
      <c r="BI78" s="62">
        <f>Saisie!AY78</f>
        <v>0</v>
      </c>
      <c r="BJ78" s="55" t="e">
        <f t="array" ref="BJ78">_xlfn.IFS(Saisie!AZ78="OUI",1,Saisie!AZ78="NON",0)</f>
        <v>#N/A</v>
      </c>
      <c r="BK78" s="55" t="e">
        <f t="array" ref="BK78">_xlfn.IFS(Saisie!BA78="OUI",1,Saisie!BA78="NON",0)</f>
        <v>#N/A</v>
      </c>
      <c r="BL78" s="55">
        <f>Saisie!BB78</f>
        <v>0</v>
      </c>
      <c r="BM78" s="49" t="e">
        <f>Saisie!BC78</f>
        <v>#REF!</v>
      </c>
      <c r="BN78" s="175"/>
    </row>
    <row r="79" spans="1:66" s="176" customFormat="1" x14ac:dyDescent="0.45">
      <c r="A79" s="12">
        <v>73</v>
      </c>
      <c r="B79" s="150">
        <f>Saisie!B79</f>
        <v>0</v>
      </c>
      <c r="C79" s="150">
        <f>Saisie!C79</f>
        <v>0</v>
      </c>
      <c r="D79" s="150">
        <f>Saisie!D79</f>
        <v>0</v>
      </c>
      <c r="E79" s="150">
        <f>Saisie!E79</f>
        <v>0</v>
      </c>
      <c r="F79" s="150">
        <f>Saisie!F79</f>
        <v>0</v>
      </c>
      <c r="G79" s="150">
        <f>Saisie!G79</f>
        <v>0</v>
      </c>
      <c r="H79" s="150">
        <f>Saisie!I79</f>
        <v>0</v>
      </c>
      <c r="I79" s="150">
        <f>Saisie!J79</f>
        <v>0</v>
      </c>
      <c r="J79" s="150">
        <f>Saisie!K79</f>
        <v>0</v>
      </c>
      <c r="K79" s="150">
        <f>Saisie!L79</f>
        <v>0</v>
      </c>
      <c r="L79" s="150" t="e">
        <f>Saisie!#REF!</f>
        <v>#REF!</v>
      </c>
      <c r="M79" s="55" t="e">
        <f t="array" ref="M79">_xlfn.IFS(Saisie!M79="OUI",1,Saisie!M79="NON",0)</f>
        <v>#N/A</v>
      </c>
      <c r="N79" s="64" t="e">
        <f>Saisie!#REF!</f>
        <v>#REF!</v>
      </c>
      <c r="O79" s="63" t="e">
        <f>Saisie!#REF!</f>
        <v>#REF!</v>
      </c>
      <c r="P79" s="63">
        <f>Saisie!N79</f>
        <v>0</v>
      </c>
      <c r="Q79" s="63" t="e">
        <f t="array" ref="Q79">_xlfn.IFS(Saisie!#REF!="OUI",1,Saisie!#REF!="NON",0)</f>
        <v>#REF!</v>
      </c>
      <c r="R79" s="63" t="e">
        <f>Saisie!#REF!</f>
        <v>#REF!</v>
      </c>
      <c r="S79" s="65" t="e">
        <f>Saisie!#REF!</f>
        <v>#REF!</v>
      </c>
      <c r="T79" s="63" t="e">
        <f>Saisie!#REF!</f>
        <v>#REF!</v>
      </c>
      <c r="U79" s="63" t="e">
        <f>Saisie!#REF!</f>
        <v>#REF!</v>
      </c>
      <c r="V79" s="63" t="e">
        <f t="array" ref="V79">_xlfn.IFS(Saisie!#REF!="OUI",1,Saisie!#REF!="NON",0)</f>
        <v>#REF!</v>
      </c>
      <c r="W79" s="63" t="e">
        <f t="array" ref="W79">_xlfn.IFS(Saisie!O79="OUI",1,Saisie!O79="NON",0)</f>
        <v>#N/A</v>
      </c>
      <c r="X79" s="63">
        <f>Saisie!P79</f>
        <v>0</v>
      </c>
      <c r="Y79" s="299">
        <f>Saisie!H79</f>
        <v>0</v>
      </c>
      <c r="Z79" s="58" t="e">
        <f>Saisie!#REF!</f>
        <v>#REF!</v>
      </c>
      <c r="AA79" s="299">
        <f>Saisie!Q79</f>
        <v>0</v>
      </c>
      <c r="AB79" s="63" t="e">
        <f t="array" ref="AB79">_xlfn.IFS(Saisie!R79="OUI",1,Saisie!R79="NON",0)</f>
        <v>#N/A</v>
      </c>
      <c r="AC79" s="63">
        <f>Saisie!S79</f>
        <v>0</v>
      </c>
      <c r="AD79" s="63" t="e">
        <f t="array" ref="AD79">_xlfn.IFS(Saisie!T79="OUI",1,Saisie!T79="NON",0)</f>
        <v>#N/A</v>
      </c>
      <c r="AE79" s="171">
        <f>Saisie!U79</f>
        <v>0</v>
      </c>
      <c r="AF79" s="263">
        <v>3</v>
      </c>
      <c r="AG79" s="129">
        <f>Saisie!W79</f>
        <v>0</v>
      </c>
      <c r="AH79" s="20">
        <f>Saisie!X79</f>
        <v>0</v>
      </c>
      <c r="AI79" s="21">
        <f>Saisie!Y79</f>
        <v>0</v>
      </c>
      <c r="AJ79" s="59">
        <f>Saisie!Z79</f>
        <v>0</v>
      </c>
      <c r="AK79" s="20">
        <f>Saisie!AA79</f>
        <v>0</v>
      </c>
      <c r="AL79" s="21">
        <f>Saisie!AB79</f>
        <v>0</v>
      </c>
      <c r="AM79" s="59">
        <f>Saisie!AC79</f>
        <v>0</v>
      </c>
      <c r="AN79" s="20">
        <f>Saisie!AD79</f>
        <v>0</v>
      </c>
      <c r="AO79" s="21">
        <f>Saisie!AE79</f>
        <v>0</v>
      </c>
      <c r="AP79" s="59">
        <f>Saisie!AF79</f>
        <v>0</v>
      </c>
      <c r="AQ79" s="129" t="e">
        <f t="array" ref="AQ79">_xlfn.IFS(Saisie!AG79="OUI",1,Saisie!AG79="NON",0)</f>
        <v>#N/A</v>
      </c>
      <c r="AR79" s="129" t="e">
        <f t="array" ref="AR79">_xlfn.IFS(Saisie!AH79="OUI",1,Saisie!AH79="NON",0)</f>
        <v>#N/A</v>
      </c>
      <c r="AS79" s="171">
        <f>Saisie!AI79</f>
        <v>0</v>
      </c>
      <c r="AT79" s="263" t="e">
        <f t="array" ref="AT79">_xlfn.IFS(Saisie!AJ79="OUI",1,Saisie!AJ79="NON",0)</f>
        <v>#N/A</v>
      </c>
      <c r="AU79" s="173">
        <f>Saisie!AK79</f>
        <v>0</v>
      </c>
      <c r="AV79" s="263" t="e">
        <f t="array" ref="AV79">_xlfn.IFS(Saisie!AL79="OUI",1,Saisie!AL79="NON",0)</f>
        <v>#N/A</v>
      </c>
      <c r="AW79" s="171">
        <f>Saisie!AM79</f>
        <v>0</v>
      </c>
      <c r="AX79" s="68">
        <f>Saisie!AN79</f>
        <v>0</v>
      </c>
      <c r="AY79" s="20">
        <f>Saisie!AO79</f>
        <v>0</v>
      </c>
      <c r="AZ79" s="21">
        <f>Saisie!AP79</f>
        <v>0</v>
      </c>
      <c r="BA79" s="298">
        <f>Saisie!AQ79</f>
        <v>0</v>
      </c>
      <c r="BB79" s="170">
        <f>Saisie!AR79</f>
        <v>0</v>
      </c>
      <c r="BC79" s="174">
        <f>Saisie!AS79</f>
        <v>0</v>
      </c>
      <c r="BD79" s="61">
        <f>Saisie!AT79</f>
        <v>0</v>
      </c>
      <c r="BE79" s="175" t="e">
        <f t="array" ref="BE79">_xlfn.IFS(Saisie!AU79="OUI",1,Saisie!AU79="NON",0)</f>
        <v>#N/A</v>
      </c>
      <c r="BF79" s="267">
        <f>Saisie!AV79</f>
        <v>0</v>
      </c>
      <c r="BG79" s="55">
        <f>Saisie!AW79</f>
        <v>0</v>
      </c>
      <c r="BH79" s="55" t="e">
        <f t="array" ref="BH79">_xlfn.IFS(Saisie!AX79="OUI",1,Saisie!AX79="NON",0)</f>
        <v>#N/A</v>
      </c>
      <c r="BI79" s="62">
        <f>Saisie!AY79</f>
        <v>0</v>
      </c>
      <c r="BJ79" s="55" t="e">
        <f t="array" ref="BJ79">_xlfn.IFS(Saisie!AZ79="OUI",1,Saisie!AZ79="NON",0)</f>
        <v>#N/A</v>
      </c>
      <c r="BK79" s="55" t="e">
        <f t="array" ref="BK79">_xlfn.IFS(Saisie!BA79="OUI",1,Saisie!BA79="NON",0)</f>
        <v>#N/A</v>
      </c>
      <c r="BL79" s="55">
        <f>Saisie!BB79</f>
        <v>0</v>
      </c>
      <c r="BM79" s="49" t="e">
        <f>Saisie!BC79</f>
        <v>#REF!</v>
      </c>
      <c r="BN79" s="175"/>
    </row>
    <row r="80" spans="1:66" s="176" customFormat="1" x14ac:dyDescent="0.45">
      <c r="A80" s="13">
        <v>74</v>
      </c>
      <c r="B80" s="150">
        <f>Saisie!B80</f>
        <v>0</v>
      </c>
      <c r="C80" s="150">
        <f>Saisie!C80</f>
        <v>0</v>
      </c>
      <c r="D80" s="150">
        <f>Saisie!D80</f>
        <v>0</v>
      </c>
      <c r="E80" s="150">
        <f>Saisie!E80</f>
        <v>0</v>
      </c>
      <c r="F80" s="150">
        <f>Saisie!F80</f>
        <v>0</v>
      </c>
      <c r="G80" s="150">
        <f>Saisie!G80</f>
        <v>0</v>
      </c>
      <c r="H80" s="150">
        <f>Saisie!I80</f>
        <v>0</v>
      </c>
      <c r="I80" s="150">
        <f>Saisie!J80</f>
        <v>0</v>
      </c>
      <c r="J80" s="150">
        <f>Saisie!K80</f>
        <v>0</v>
      </c>
      <c r="K80" s="150">
        <f>Saisie!L80</f>
        <v>0</v>
      </c>
      <c r="L80" s="150" t="e">
        <f>Saisie!#REF!</f>
        <v>#REF!</v>
      </c>
      <c r="M80" s="55" t="e">
        <f t="array" ref="M80">_xlfn.IFS(Saisie!M80="OUI",1,Saisie!M80="NON",0)</f>
        <v>#N/A</v>
      </c>
      <c r="N80" s="64" t="e">
        <f>Saisie!#REF!</f>
        <v>#REF!</v>
      </c>
      <c r="O80" s="63" t="e">
        <f>Saisie!#REF!</f>
        <v>#REF!</v>
      </c>
      <c r="P80" s="63">
        <f>Saisie!N80</f>
        <v>0</v>
      </c>
      <c r="Q80" s="63" t="e">
        <f t="array" ref="Q80">_xlfn.IFS(Saisie!#REF!="OUI",1,Saisie!#REF!="NON",0)</f>
        <v>#REF!</v>
      </c>
      <c r="R80" s="63" t="e">
        <f>Saisie!#REF!</f>
        <v>#REF!</v>
      </c>
      <c r="S80" s="65" t="e">
        <f>Saisie!#REF!</f>
        <v>#REF!</v>
      </c>
      <c r="T80" s="63" t="e">
        <f>Saisie!#REF!</f>
        <v>#REF!</v>
      </c>
      <c r="U80" s="63" t="e">
        <f>Saisie!#REF!</f>
        <v>#REF!</v>
      </c>
      <c r="V80" s="63" t="e">
        <f t="array" ref="V80">_xlfn.IFS(Saisie!#REF!="OUI",1,Saisie!#REF!="NON",0)</f>
        <v>#REF!</v>
      </c>
      <c r="W80" s="63" t="e">
        <f t="array" ref="W80">_xlfn.IFS(Saisie!O80="OUI",1,Saisie!O80="NON",0)</f>
        <v>#N/A</v>
      </c>
      <c r="X80" s="63">
        <f>Saisie!P80</f>
        <v>0</v>
      </c>
      <c r="Y80" s="299">
        <f>Saisie!H80</f>
        <v>0</v>
      </c>
      <c r="Z80" s="58" t="e">
        <f>Saisie!#REF!</f>
        <v>#REF!</v>
      </c>
      <c r="AA80" s="299">
        <f>Saisie!Q80</f>
        <v>0</v>
      </c>
      <c r="AB80" s="63" t="e">
        <f t="array" ref="AB80">_xlfn.IFS(Saisie!R80="OUI",1,Saisie!R80="NON",0)</f>
        <v>#N/A</v>
      </c>
      <c r="AC80" s="63">
        <f>Saisie!S80</f>
        <v>0</v>
      </c>
      <c r="AD80" s="63" t="e">
        <f t="array" ref="AD80">_xlfn.IFS(Saisie!T80="OUI",1,Saisie!T80="NON",0)</f>
        <v>#N/A</v>
      </c>
      <c r="AE80" s="171">
        <f>Saisie!U80</f>
        <v>0</v>
      </c>
      <c r="AF80" s="263">
        <v>3</v>
      </c>
      <c r="AG80" s="129">
        <f>Saisie!W80</f>
        <v>0</v>
      </c>
      <c r="AH80" s="20">
        <f>Saisie!X80</f>
        <v>0</v>
      </c>
      <c r="AI80" s="21">
        <f>Saisie!Y80</f>
        <v>0</v>
      </c>
      <c r="AJ80" s="59">
        <f>Saisie!Z80</f>
        <v>0</v>
      </c>
      <c r="AK80" s="20">
        <f>Saisie!AA80</f>
        <v>0</v>
      </c>
      <c r="AL80" s="21">
        <f>Saisie!AB80</f>
        <v>0</v>
      </c>
      <c r="AM80" s="59">
        <f>Saisie!AC80</f>
        <v>0</v>
      </c>
      <c r="AN80" s="20">
        <f>Saisie!AD80</f>
        <v>0</v>
      </c>
      <c r="AO80" s="21">
        <f>Saisie!AE80</f>
        <v>0</v>
      </c>
      <c r="AP80" s="59">
        <f>Saisie!AF80</f>
        <v>0</v>
      </c>
      <c r="AQ80" s="129" t="e">
        <f t="array" ref="AQ80">_xlfn.IFS(Saisie!AG80="OUI",1,Saisie!AG80="NON",0)</f>
        <v>#N/A</v>
      </c>
      <c r="AR80" s="129" t="e">
        <f t="array" ref="AR80">_xlfn.IFS(Saisie!AH80="OUI",1,Saisie!AH80="NON",0)</f>
        <v>#N/A</v>
      </c>
      <c r="AS80" s="171">
        <f>Saisie!AI80</f>
        <v>0</v>
      </c>
      <c r="AT80" s="263" t="e">
        <f t="array" ref="AT80">_xlfn.IFS(Saisie!AJ80="OUI",1,Saisie!AJ80="NON",0)</f>
        <v>#N/A</v>
      </c>
      <c r="AU80" s="173">
        <f>Saisie!AK80</f>
        <v>0</v>
      </c>
      <c r="AV80" s="263" t="e">
        <f t="array" ref="AV80">_xlfn.IFS(Saisie!AL80="OUI",1,Saisie!AL80="NON",0)</f>
        <v>#N/A</v>
      </c>
      <c r="AW80" s="171">
        <f>Saisie!AM80</f>
        <v>0</v>
      </c>
      <c r="AX80" s="68">
        <f>Saisie!AN80</f>
        <v>0</v>
      </c>
      <c r="AY80" s="20">
        <f>Saisie!AO80</f>
        <v>0</v>
      </c>
      <c r="AZ80" s="21">
        <f>Saisie!AP80</f>
        <v>0</v>
      </c>
      <c r="BA80" s="298">
        <f>Saisie!AQ80</f>
        <v>0</v>
      </c>
      <c r="BB80" s="170">
        <f>Saisie!AR80</f>
        <v>0</v>
      </c>
      <c r="BC80" s="174">
        <f>Saisie!AS80</f>
        <v>0</v>
      </c>
      <c r="BD80" s="61">
        <f>Saisie!AT80</f>
        <v>0</v>
      </c>
      <c r="BE80" s="175" t="e">
        <f t="array" ref="BE80">_xlfn.IFS(Saisie!AU80="OUI",1,Saisie!AU80="NON",0)</f>
        <v>#N/A</v>
      </c>
      <c r="BF80" s="267">
        <f>Saisie!AV80</f>
        <v>0</v>
      </c>
      <c r="BG80" s="55">
        <f>Saisie!AW80</f>
        <v>0</v>
      </c>
      <c r="BH80" s="55" t="e">
        <f t="array" ref="BH80">_xlfn.IFS(Saisie!AX80="OUI",1,Saisie!AX80="NON",0)</f>
        <v>#N/A</v>
      </c>
      <c r="BI80" s="62">
        <f>Saisie!AY80</f>
        <v>0</v>
      </c>
      <c r="BJ80" s="55" t="e">
        <f t="array" ref="BJ80">_xlfn.IFS(Saisie!AZ80="OUI",1,Saisie!AZ80="NON",0)</f>
        <v>#N/A</v>
      </c>
      <c r="BK80" s="55" t="e">
        <f t="array" ref="BK80">_xlfn.IFS(Saisie!BA80="OUI",1,Saisie!BA80="NON",0)</f>
        <v>#N/A</v>
      </c>
      <c r="BL80" s="55">
        <f>Saisie!BB80</f>
        <v>0</v>
      </c>
      <c r="BM80" s="49" t="e">
        <f>Saisie!BC80</f>
        <v>#REF!</v>
      </c>
      <c r="BN80" s="175"/>
    </row>
    <row r="81" spans="1:66" s="176" customFormat="1" x14ac:dyDescent="0.45">
      <c r="A81" s="13">
        <v>75</v>
      </c>
      <c r="B81" s="150">
        <f>Saisie!B81</f>
        <v>0</v>
      </c>
      <c r="C81" s="150">
        <f>Saisie!C81</f>
        <v>0</v>
      </c>
      <c r="D81" s="150">
        <f>Saisie!D81</f>
        <v>0</v>
      </c>
      <c r="E81" s="150">
        <f>Saisie!E81</f>
        <v>0</v>
      </c>
      <c r="F81" s="150">
        <f>Saisie!F81</f>
        <v>0</v>
      </c>
      <c r="G81" s="150">
        <f>Saisie!G81</f>
        <v>0</v>
      </c>
      <c r="H81" s="150">
        <f>Saisie!I81</f>
        <v>0</v>
      </c>
      <c r="I81" s="150">
        <f>Saisie!J81</f>
        <v>0</v>
      </c>
      <c r="J81" s="150">
        <f>Saisie!K81</f>
        <v>0</v>
      </c>
      <c r="K81" s="150">
        <f>Saisie!L81</f>
        <v>0</v>
      </c>
      <c r="L81" s="150" t="e">
        <f>Saisie!#REF!</f>
        <v>#REF!</v>
      </c>
      <c r="M81" s="55" t="e">
        <f t="array" ref="M81">_xlfn.IFS(Saisie!M81="OUI",1,Saisie!M81="NON",0)</f>
        <v>#N/A</v>
      </c>
      <c r="N81" s="64" t="e">
        <f>Saisie!#REF!</f>
        <v>#REF!</v>
      </c>
      <c r="O81" s="63" t="e">
        <f>Saisie!#REF!</f>
        <v>#REF!</v>
      </c>
      <c r="P81" s="63">
        <f>Saisie!N81</f>
        <v>0</v>
      </c>
      <c r="Q81" s="63" t="e">
        <f t="array" ref="Q81">_xlfn.IFS(Saisie!#REF!="OUI",1,Saisie!#REF!="NON",0)</f>
        <v>#REF!</v>
      </c>
      <c r="R81" s="63" t="e">
        <f>Saisie!#REF!</f>
        <v>#REF!</v>
      </c>
      <c r="S81" s="65" t="e">
        <f>Saisie!#REF!</f>
        <v>#REF!</v>
      </c>
      <c r="T81" s="63" t="e">
        <f>Saisie!#REF!</f>
        <v>#REF!</v>
      </c>
      <c r="U81" s="63" t="e">
        <f>Saisie!#REF!</f>
        <v>#REF!</v>
      </c>
      <c r="V81" s="63" t="e">
        <f t="array" ref="V81">_xlfn.IFS(Saisie!#REF!="OUI",1,Saisie!#REF!="NON",0)</f>
        <v>#REF!</v>
      </c>
      <c r="W81" s="63" t="e">
        <f t="array" ref="W81">_xlfn.IFS(Saisie!O81="OUI",1,Saisie!O81="NON",0)</f>
        <v>#N/A</v>
      </c>
      <c r="X81" s="63">
        <f>Saisie!P81</f>
        <v>0</v>
      </c>
      <c r="Y81" s="299">
        <f>Saisie!H81</f>
        <v>0</v>
      </c>
      <c r="Z81" s="58" t="e">
        <f>Saisie!#REF!</f>
        <v>#REF!</v>
      </c>
      <c r="AA81" s="299">
        <f>Saisie!Q81</f>
        <v>0</v>
      </c>
      <c r="AB81" s="63" t="e">
        <f t="array" ref="AB81">_xlfn.IFS(Saisie!R81="OUI",1,Saisie!R81="NON",0)</f>
        <v>#N/A</v>
      </c>
      <c r="AC81" s="63">
        <f>Saisie!S81</f>
        <v>0</v>
      </c>
      <c r="AD81" s="63" t="e">
        <f t="array" ref="AD81">_xlfn.IFS(Saisie!T81="OUI",1,Saisie!T81="NON",0)</f>
        <v>#N/A</v>
      </c>
      <c r="AE81" s="171">
        <f>Saisie!U81</f>
        <v>0</v>
      </c>
      <c r="AF81" s="263">
        <v>3</v>
      </c>
      <c r="AG81" s="129">
        <f>Saisie!W81</f>
        <v>0</v>
      </c>
      <c r="AH81" s="20">
        <f>Saisie!X81</f>
        <v>0</v>
      </c>
      <c r="AI81" s="21">
        <f>Saisie!Y81</f>
        <v>0</v>
      </c>
      <c r="AJ81" s="59">
        <f>Saisie!Z81</f>
        <v>0</v>
      </c>
      <c r="AK81" s="20">
        <f>Saisie!AA81</f>
        <v>0</v>
      </c>
      <c r="AL81" s="21">
        <f>Saisie!AB81</f>
        <v>0</v>
      </c>
      <c r="AM81" s="59">
        <f>Saisie!AC81</f>
        <v>0</v>
      </c>
      <c r="AN81" s="20">
        <f>Saisie!AD81</f>
        <v>0</v>
      </c>
      <c r="AO81" s="21">
        <f>Saisie!AE81</f>
        <v>0</v>
      </c>
      <c r="AP81" s="59">
        <f>Saisie!AF81</f>
        <v>0</v>
      </c>
      <c r="AQ81" s="129" t="e">
        <f t="array" ref="AQ81">_xlfn.IFS(Saisie!AG81="OUI",1,Saisie!AG81="NON",0)</f>
        <v>#N/A</v>
      </c>
      <c r="AR81" s="129" t="e">
        <f t="array" ref="AR81">_xlfn.IFS(Saisie!AH81="OUI",1,Saisie!AH81="NON",0)</f>
        <v>#N/A</v>
      </c>
      <c r="AS81" s="171">
        <f>Saisie!AI81</f>
        <v>0</v>
      </c>
      <c r="AT81" s="263" t="e">
        <f t="array" ref="AT81">_xlfn.IFS(Saisie!AJ81="OUI",1,Saisie!AJ81="NON",0)</f>
        <v>#N/A</v>
      </c>
      <c r="AU81" s="173">
        <f>Saisie!AK81</f>
        <v>0</v>
      </c>
      <c r="AV81" s="263" t="e">
        <f t="array" ref="AV81">_xlfn.IFS(Saisie!AL81="OUI",1,Saisie!AL81="NON",0)</f>
        <v>#N/A</v>
      </c>
      <c r="AW81" s="171">
        <f>Saisie!AM81</f>
        <v>0</v>
      </c>
      <c r="AX81" s="68">
        <f>Saisie!AN81</f>
        <v>0</v>
      </c>
      <c r="AY81" s="20">
        <f>Saisie!AO81</f>
        <v>0</v>
      </c>
      <c r="AZ81" s="21">
        <f>Saisie!AP81</f>
        <v>0</v>
      </c>
      <c r="BA81" s="298">
        <f>Saisie!AQ81</f>
        <v>0</v>
      </c>
      <c r="BB81" s="170">
        <f>Saisie!AR81</f>
        <v>0</v>
      </c>
      <c r="BC81" s="174">
        <f>Saisie!AS81</f>
        <v>0</v>
      </c>
      <c r="BD81" s="61">
        <f>Saisie!AT81</f>
        <v>0</v>
      </c>
      <c r="BE81" s="175" t="e">
        <f t="array" ref="BE81">_xlfn.IFS(Saisie!AU81="OUI",1,Saisie!AU81="NON",0)</f>
        <v>#N/A</v>
      </c>
      <c r="BF81" s="267">
        <f>Saisie!AV81</f>
        <v>0</v>
      </c>
      <c r="BG81" s="55">
        <f>Saisie!AW81</f>
        <v>0</v>
      </c>
      <c r="BH81" s="55" t="e">
        <f t="array" ref="BH81">_xlfn.IFS(Saisie!AX81="OUI",1,Saisie!AX81="NON",0)</f>
        <v>#N/A</v>
      </c>
      <c r="BI81" s="62">
        <f>Saisie!AY81</f>
        <v>0</v>
      </c>
      <c r="BJ81" s="55" t="e">
        <f t="array" ref="BJ81">_xlfn.IFS(Saisie!AZ81="OUI",1,Saisie!AZ81="NON",0)</f>
        <v>#N/A</v>
      </c>
      <c r="BK81" s="55" t="e">
        <f t="array" ref="BK81">_xlfn.IFS(Saisie!BA81="OUI",1,Saisie!BA81="NON",0)</f>
        <v>#N/A</v>
      </c>
      <c r="BL81" s="55">
        <f>Saisie!BB81</f>
        <v>0</v>
      </c>
      <c r="BM81" s="49" t="e">
        <f>Saisie!BC81</f>
        <v>#REF!</v>
      </c>
      <c r="BN81" s="175"/>
    </row>
    <row r="82" spans="1:66" s="176" customFormat="1" x14ac:dyDescent="0.45">
      <c r="A82" s="12">
        <v>76</v>
      </c>
      <c r="B82" s="150">
        <f>Saisie!B82</f>
        <v>0</v>
      </c>
      <c r="C82" s="150">
        <f>Saisie!C82</f>
        <v>0</v>
      </c>
      <c r="D82" s="150">
        <f>Saisie!D82</f>
        <v>0</v>
      </c>
      <c r="E82" s="150">
        <f>Saisie!E82</f>
        <v>0</v>
      </c>
      <c r="F82" s="150">
        <f>Saisie!F82</f>
        <v>0</v>
      </c>
      <c r="G82" s="150">
        <f>Saisie!G82</f>
        <v>0</v>
      </c>
      <c r="H82" s="150">
        <f>Saisie!I82</f>
        <v>0</v>
      </c>
      <c r="I82" s="150">
        <f>Saisie!J82</f>
        <v>0</v>
      </c>
      <c r="J82" s="150">
        <f>Saisie!K82</f>
        <v>0</v>
      </c>
      <c r="K82" s="150">
        <f>Saisie!L82</f>
        <v>0</v>
      </c>
      <c r="L82" s="150" t="e">
        <f>Saisie!#REF!</f>
        <v>#REF!</v>
      </c>
      <c r="M82" s="55" t="e">
        <f t="array" ref="M82">_xlfn.IFS(Saisie!M82="OUI",1,Saisie!M82="NON",0)</f>
        <v>#N/A</v>
      </c>
      <c r="N82" s="64" t="e">
        <f>Saisie!#REF!</f>
        <v>#REF!</v>
      </c>
      <c r="O82" s="63" t="e">
        <f>Saisie!#REF!</f>
        <v>#REF!</v>
      </c>
      <c r="P82" s="63">
        <f>Saisie!N82</f>
        <v>0</v>
      </c>
      <c r="Q82" s="63" t="e">
        <f t="array" ref="Q82">_xlfn.IFS(Saisie!#REF!="OUI",1,Saisie!#REF!="NON",0)</f>
        <v>#REF!</v>
      </c>
      <c r="R82" s="63" t="e">
        <f>Saisie!#REF!</f>
        <v>#REF!</v>
      </c>
      <c r="S82" s="65" t="e">
        <f>Saisie!#REF!</f>
        <v>#REF!</v>
      </c>
      <c r="T82" s="63" t="e">
        <f>Saisie!#REF!</f>
        <v>#REF!</v>
      </c>
      <c r="U82" s="63" t="e">
        <f>Saisie!#REF!</f>
        <v>#REF!</v>
      </c>
      <c r="V82" s="63" t="e">
        <f t="array" ref="V82">_xlfn.IFS(Saisie!#REF!="OUI",1,Saisie!#REF!="NON",0)</f>
        <v>#REF!</v>
      </c>
      <c r="W82" s="63" t="e">
        <f t="array" ref="W82">_xlfn.IFS(Saisie!O82="OUI",1,Saisie!O82="NON",0)</f>
        <v>#N/A</v>
      </c>
      <c r="X82" s="63">
        <f>Saisie!P82</f>
        <v>0</v>
      </c>
      <c r="Y82" s="299">
        <f>Saisie!H82</f>
        <v>0</v>
      </c>
      <c r="Z82" s="58" t="e">
        <f>Saisie!#REF!</f>
        <v>#REF!</v>
      </c>
      <c r="AA82" s="299">
        <f>Saisie!Q82</f>
        <v>0</v>
      </c>
      <c r="AB82" s="63" t="e">
        <f t="array" ref="AB82">_xlfn.IFS(Saisie!R82="OUI",1,Saisie!R82="NON",0)</f>
        <v>#N/A</v>
      </c>
      <c r="AC82" s="63">
        <f>Saisie!S82</f>
        <v>0</v>
      </c>
      <c r="AD82" s="63" t="e">
        <f t="array" ref="AD82">_xlfn.IFS(Saisie!T82="OUI",1,Saisie!T82="NON",0)</f>
        <v>#N/A</v>
      </c>
      <c r="AE82" s="171">
        <f>Saisie!U82</f>
        <v>0</v>
      </c>
      <c r="AF82" s="263">
        <v>3</v>
      </c>
      <c r="AG82" s="129">
        <f>Saisie!W82</f>
        <v>0</v>
      </c>
      <c r="AH82" s="20">
        <f>Saisie!X82</f>
        <v>0</v>
      </c>
      <c r="AI82" s="21">
        <f>Saisie!Y82</f>
        <v>0</v>
      </c>
      <c r="AJ82" s="59">
        <f>Saisie!Z82</f>
        <v>0</v>
      </c>
      <c r="AK82" s="20">
        <f>Saisie!AA82</f>
        <v>0</v>
      </c>
      <c r="AL82" s="21">
        <f>Saisie!AB82</f>
        <v>0</v>
      </c>
      <c r="AM82" s="59">
        <f>Saisie!AC82</f>
        <v>0</v>
      </c>
      <c r="AN82" s="20">
        <f>Saisie!AD82</f>
        <v>0</v>
      </c>
      <c r="AO82" s="21">
        <f>Saisie!AE82</f>
        <v>0</v>
      </c>
      <c r="AP82" s="59">
        <f>Saisie!AF82</f>
        <v>0</v>
      </c>
      <c r="AQ82" s="129" t="e">
        <f t="array" ref="AQ82">_xlfn.IFS(Saisie!AG82="OUI",1,Saisie!AG82="NON",0)</f>
        <v>#N/A</v>
      </c>
      <c r="AR82" s="129" t="e">
        <f t="array" ref="AR82">_xlfn.IFS(Saisie!AH82="OUI",1,Saisie!AH82="NON",0)</f>
        <v>#N/A</v>
      </c>
      <c r="AS82" s="171">
        <f>Saisie!AI82</f>
        <v>0</v>
      </c>
      <c r="AT82" s="263" t="e">
        <f t="array" ref="AT82">_xlfn.IFS(Saisie!AJ82="OUI",1,Saisie!AJ82="NON",0)</f>
        <v>#N/A</v>
      </c>
      <c r="AU82" s="173">
        <f>Saisie!AK82</f>
        <v>0</v>
      </c>
      <c r="AV82" s="263" t="e">
        <f t="array" ref="AV82">_xlfn.IFS(Saisie!AL82="OUI",1,Saisie!AL82="NON",0)</f>
        <v>#N/A</v>
      </c>
      <c r="AW82" s="171">
        <f>Saisie!AM82</f>
        <v>0</v>
      </c>
      <c r="AX82" s="68">
        <f>Saisie!AN82</f>
        <v>0</v>
      </c>
      <c r="AY82" s="20">
        <f>Saisie!AO82</f>
        <v>0</v>
      </c>
      <c r="AZ82" s="21">
        <f>Saisie!AP82</f>
        <v>0</v>
      </c>
      <c r="BA82" s="298">
        <f>Saisie!AQ82</f>
        <v>0</v>
      </c>
      <c r="BB82" s="170">
        <f>Saisie!AR82</f>
        <v>0</v>
      </c>
      <c r="BC82" s="174">
        <f>Saisie!AS82</f>
        <v>0</v>
      </c>
      <c r="BD82" s="61">
        <f>Saisie!AT82</f>
        <v>0</v>
      </c>
      <c r="BE82" s="175" t="e">
        <f t="array" ref="BE82">_xlfn.IFS(Saisie!AU82="OUI",1,Saisie!AU82="NON",0)</f>
        <v>#N/A</v>
      </c>
      <c r="BF82" s="267">
        <f>Saisie!AV82</f>
        <v>0</v>
      </c>
      <c r="BG82" s="55">
        <f>Saisie!AW82</f>
        <v>0</v>
      </c>
      <c r="BH82" s="55" t="e">
        <f t="array" ref="BH82">_xlfn.IFS(Saisie!AX82="OUI",1,Saisie!AX82="NON",0)</f>
        <v>#N/A</v>
      </c>
      <c r="BI82" s="62">
        <f>Saisie!AY82</f>
        <v>0</v>
      </c>
      <c r="BJ82" s="55" t="e">
        <f t="array" ref="BJ82">_xlfn.IFS(Saisie!AZ82="OUI",1,Saisie!AZ82="NON",0)</f>
        <v>#N/A</v>
      </c>
      <c r="BK82" s="55" t="e">
        <f t="array" ref="BK82">_xlfn.IFS(Saisie!BA82="OUI",1,Saisie!BA82="NON",0)</f>
        <v>#N/A</v>
      </c>
      <c r="BL82" s="55">
        <f>Saisie!BB82</f>
        <v>0</v>
      </c>
      <c r="BM82" s="49" t="e">
        <f>Saisie!BC82</f>
        <v>#REF!</v>
      </c>
      <c r="BN82" s="175"/>
    </row>
    <row r="83" spans="1:66" s="176" customFormat="1" x14ac:dyDescent="0.45">
      <c r="A83" s="13">
        <v>77</v>
      </c>
      <c r="B83" s="150">
        <f>Saisie!B83</f>
        <v>0</v>
      </c>
      <c r="C83" s="150">
        <f>Saisie!C83</f>
        <v>0</v>
      </c>
      <c r="D83" s="150">
        <f>Saisie!D83</f>
        <v>0</v>
      </c>
      <c r="E83" s="150">
        <f>Saisie!E83</f>
        <v>0</v>
      </c>
      <c r="F83" s="150">
        <f>Saisie!F83</f>
        <v>0</v>
      </c>
      <c r="G83" s="150">
        <f>Saisie!G83</f>
        <v>0</v>
      </c>
      <c r="H83" s="150">
        <f>Saisie!I83</f>
        <v>0</v>
      </c>
      <c r="I83" s="150">
        <f>Saisie!J83</f>
        <v>0</v>
      </c>
      <c r="J83" s="150">
        <f>Saisie!K83</f>
        <v>0</v>
      </c>
      <c r="K83" s="150">
        <f>Saisie!L83</f>
        <v>0</v>
      </c>
      <c r="L83" s="150" t="e">
        <f>Saisie!#REF!</f>
        <v>#REF!</v>
      </c>
      <c r="M83" s="55" t="e">
        <f t="array" ref="M83">_xlfn.IFS(Saisie!M83="OUI",1,Saisie!M83="NON",0)</f>
        <v>#N/A</v>
      </c>
      <c r="N83" s="64" t="e">
        <f>Saisie!#REF!</f>
        <v>#REF!</v>
      </c>
      <c r="O83" s="63" t="e">
        <f>Saisie!#REF!</f>
        <v>#REF!</v>
      </c>
      <c r="P83" s="63">
        <f>Saisie!N83</f>
        <v>0</v>
      </c>
      <c r="Q83" s="63" t="e">
        <f t="array" ref="Q83">_xlfn.IFS(Saisie!#REF!="OUI",1,Saisie!#REF!="NON",0)</f>
        <v>#REF!</v>
      </c>
      <c r="R83" s="63" t="e">
        <f>Saisie!#REF!</f>
        <v>#REF!</v>
      </c>
      <c r="S83" s="65" t="e">
        <f>Saisie!#REF!</f>
        <v>#REF!</v>
      </c>
      <c r="T83" s="63" t="e">
        <f>Saisie!#REF!</f>
        <v>#REF!</v>
      </c>
      <c r="U83" s="63" t="e">
        <f>Saisie!#REF!</f>
        <v>#REF!</v>
      </c>
      <c r="V83" s="63" t="e">
        <f t="array" ref="V83">_xlfn.IFS(Saisie!#REF!="OUI",1,Saisie!#REF!="NON",0)</f>
        <v>#REF!</v>
      </c>
      <c r="W83" s="63" t="e">
        <f t="array" ref="W83">_xlfn.IFS(Saisie!O83="OUI",1,Saisie!O83="NON",0)</f>
        <v>#N/A</v>
      </c>
      <c r="X83" s="63">
        <f>Saisie!P83</f>
        <v>0</v>
      </c>
      <c r="Y83" s="299">
        <f>Saisie!H83</f>
        <v>0</v>
      </c>
      <c r="Z83" s="58" t="e">
        <f>Saisie!#REF!</f>
        <v>#REF!</v>
      </c>
      <c r="AA83" s="299">
        <f>Saisie!Q83</f>
        <v>0</v>
      </c>
      <c r="AB83" s="63" t="e">
        <f t="array" ref="AB83">_xlfn.IFS(Saisie!R83="OUI",1,Saisie!R83="NON",0)</f>
        <v>#N/A</v>
      </c>
      <c r="AC83" s="63">
        <f>Saisie!S83</f>
        <v>0</v>
      </c>
      <c r="AD83" s="63" t="e">
        <f t="array" ref="AD83">_xlfn.IFS(Saisie!T83="OUI",1,Saisie!T83="NON",0)</f>
        <v>#N/A</v>
      </c>
      <c r="AE83" s="171">
        <f>Saisie!U83</f>
        <v>0</v>
      </c>
      <c r="AF83" s="263">
        <v>3</v>
      </c>
      <c r="AG83" s="129">
        <f>Saisie!W83</f>
        <v>0</v>
      </c>
      <c r="AH83" s="20">
        <f>Saisie!X83</f>
        <v>0</v>
      </c>
      <c r="AI83" s="21">
        <f>Saisie!Y83</f>
        <v>0</v>
      </c>
      <c r="AJ83" s="59">
        <f>Saisie!Z83</f>
        <v>0</v>
      </c>
      <c r="AK83" s="20">
        <f>Saisie!AA83</f>
        <v>0</v>
      </c>
      <c r="AL83" s="21">
        <f>Saisie!AB83</f>
        <v>0</v>
      </c>
      <c r="AM83" s="59">
        <f>Saisie!AC83</f>
        <v>0</v>
      </c>
      <c r="AN83" s="20">
        <f>Saisie!AD83</f>
        <v>0</v>
      </c>
      <c r="AO83" s="21">
        <f>Saisie!AE83</f>
        <v>0</v>
      </c>
      <c r="AP83" s="59">
        <f>Saisie!AF83</f>
        <v>0</v>
      </c>
      <c r="AQ83" s="129" t="e">
        <f t="array" ref="AQ83">_xlfn.IFS(Saisie!AG83="OUI",1,Saisie!AG83="NON",0)</f>
        <v>#N/A</v>
      </c>
      <c r="AR83" s="129" t="e">
        <f t="array" ref="AR83">_xlfn.IFS(Saisie!AH83="OUI",1,Saisie!AH83="NON",0)</f>
        <v>#N/A</v>
      </c>
      <c r="AS83" s="171">
        <f>Saisie!AI83</f>
        <v>0</v>
      </c>
      <c r="AT83" s="263" t="e">
        <f t="array" ref="AT83">_xlfn.IFS(Saisie!AJ83="OUI",1,Saisie!AJ83="NON",0)</f>
        <v>#N/A</v>
      </c>
      <c r="AU83" s="173">
        <f>Saisie!AK83</f>
        <v>0</v>
      </c>
      <c r="AV83" s="263" t="e">
        <f t="array" ref="AV83">_xlfn.IFS(Saisie!AL83="OUI",1,Saisie!AL83="NON",0)</f>
        <v>#N/A</v>
      </c>
      <c r="AW83" s="171">
        <f>Saisie!AM83</f>
        <v>0</v>
      </c>
      <c r="AX83" s="68">
        <f>Saisie!AN83</f>
        <v>0</v>
      </c>
      <c r="AY83" s="20">
        <f>Saisie!AO83</f>
        <v>0</v>
      </c>
      <c r="AZ83" s="21">
        <f>Saisie!AP83</f>
        <v>0</v>
      </c>
      <c r="BA83" s="298">
        <f>Saisie!AQ83</f>
        <v>0</v>
      </c>
      <c r="BB83" s="170">
        <f>Saisie!AR83</f>
        <v>0</v>
      </c>
      <c r="BC83" s="174">
        <f>Saisie!AS83</f>
        <v>0</v>
      </c>
      <c r="BD83" s="61">
        <f>Saisie!AT83</f>
        <v>0</v>
      </c>
      <c r="BE83" s="175" t="e">
        <f t="array" ref="BE83">_xlfn.IFS(Saisie!AU83="OUI",1,Saisie!AU83="NON",0)</f>
        <v>#N/A</v>
      </c>
      <c r="BF83" s="267">
        <f>Saisie!AV83</f>
        <v>0</v>
      </c>
      <c r="BG83" s="55">
        <f>Saisie!AW83</f>
        <v>0</v>
      </c>
      <c r="BH83" s="55" t="e">
        <f t="array" ref="BH83">_xlfn.IFS(Saisie!AX83="OUI",1,Saisie!AX83="NON",0)</f>
        <v>#N/A</v>
      </c>
      <c r="BI83" s="62">
        <f>Saisie!AY83</f>
        <v>0</v>
      </c>
      <c r="BJ83" s="55" t="e">
        <f t="array" ref="BJ83">_xlfn.IFS(Saisie!AZ83="OUI",1,Saisie!AZ83="NON",0)</f>
        <v>#N/A</v>
      </c>
      <c r="BK83" s="55" t="e">
        <f t="array" ref="BK83">_xlfn.IFS(Saisie!BA83="OUI",1,Saisie!BA83="NON",0)</f>
        <v>#N/A</v>
      </c>
      <c r="BL83" s="55">
        <f>Saisie!BB83</f>
        <v>0</v>
      </c>
      <c r="BM83" s="49" t="e">
        <f>Saisie!BC83</f>
        <v>#REF!</v>
      </c>
      <c r="BN83" s="175"/>
    </row>
    <row r="84" spans="1:66" s="176" customFormat="1" x14ac:dyDescent="0.45">
      <c r="A84" s="13">
        <v>78</v>
      </c>
      <c r="B84" s="150">
        <f>Saisie!B84</f>
        <v>0</v>
      </c>
      <c r="C84" s="150">
        <f>Saisie!C84</f>
        <v>0</v>
      </c>
      <c r="D84" s="150">
        <f>Saisie!D84</f>
        <v>0</v>
      </c>
      <c r="E84" s="150">
        <f>Saisie!E84</f>
        <v>0</v>
      </c>
      <c r="F84" s="150">
        <f>Saisie!F84</f>
        <v>0</v>
      </c>
      <c r="G84" s="150">
        <f>Saisie!G84</f>
        <v>0</v>
      </c>
      <c r="H84" s="150">
        <f>Saisie!I84</f>
        <v>0</v>
      </c>
      <c r="I84" s="150">
        <f>Saisie!J84</f>
        <v>0</v>
      </c>
      <c r="J84" s="150">
        <f>Saisie!K84</f>
        <v>0</v>
      </c>
      <c r="K84" s="150">
        <f>Saisie!L84</f>
        <v>0</v>
      </c>
      <c r="L84" s="150" t="e">
        <f>Saisie!#REF!</f>
        <v>#REF!</v>
      </c>
      <c r="M84" s="55" t="e">
        <f t="array" ref="M84">_xlfn.IFS(Saisie!M84="OUI",1,Saisie!M84="NON",0)</f>
        <v>#N/A</v>
      </c>
      <c r="N84" s="64" t="e">
        <f>Saisie!#REF!</f>
        <v>#REF!</v>
      </c>
      <c r="O84" s="63" t="e">
        <f>Saisie!#REF!</f>
        <v>#REF!</v>
      </c>
      <c r="P84" s="63">
        <f>Saisie!N84</f>
        <v>0</v>
      </c>
      <c r="Q84" s="63" t="e">
        <f t="array" ref="Q84">_xlfn.IFS(Saisie!#REF!="OUI",1,Saisie!#REF!="NON",0)</f>
        <v>#REF!</v>
      </c>
      <c r="R84" s="63" t="e">
        <f>Saisie!#REF!</f>
        <v>#REF!</v>
      </c>
      <c r="S84" s="65" t="e">
        <f>Saisie!#REF!</f>
        <v>#REF!</v>
      </c>
      <c r="T84" s="63" t="e">
        <f>Saisie!#REF!</f>
        <v>#REF!</v>
      </c>
      <c r="U84" s="63" t="e">
        <f>Saisie!#REF!</f>
        <v>#REF!</v>
      </c>
      <c r="V84" s="63" t="e">
        <f t="array" ref="V84">_xlfn.IFS(Saisie!#REF!="OUI",1,Saisie!#REF!="NON",0)</f>
        <v>#REF!</v>
      </c>
      <c r="W84" s="63" t="e">
        <f t="array" ref="W84">_xlfn.IFS(Saisie!O84="OUI",1,Saisie!O84="NON",0)</f>
        <v>#N/A</v>
      </c>
      <c r="X84" s="63">
        <f>Saisie!P84</f>
        <v>0</v>
      </c>
      <c r="Y84" s="299">
        <f>Saisie!H84</f>
        <v>0</v>
      </c>
      <c r="Z84" s="58" t="e">
        <f>Saisie!#REF!</f>
        <v>#REF!</v>
      </c>
      <c r="AA84" s="299">
        <f>Saisie!Q84</f>
        <v>0</v>
      </c>
      <c r="AB84" s="63" t="e">
        <f t="array" ref="AB84">_xlfn.IFS(Saisie!R84="OUI",1,Saisie!R84="NON",0)</f>
        <v>#N/A</v>
      </c>
      <c r="AC84" s="63">
        <f>Saisie!S84</f>
        <v>0</v>
      </c>
      <c r="AD84" s="63" t="e">
        <f t="array" ref="AD84">_xlfn.IFS(Saisie!T84="OUI",1,Saisie!T84="NON",0)</f>
        <v>#N/A</v>
      </c>
      <c r="AE84" s="171">
        <f>Saisie!U84</f>
        <v>0</v>
      </c>
      <c r="AF84" s="263">
        <v>3</v>
      </c>
      <c r="AG84" s="129">
        <f>Saisie!W84</f>
        <v>0</v>
      </c>
      <c r="AH84" s="20">
        <f>Saisie!X84</f>
        <v>0</v>
      </c>
      <c r="AI84" s="21">
        <f>Saisie!Y84</f>
        <v>0</v>
      </c>
      <c r="AJ84" s="59">
        <f>Saisie!Z84</f>
        <v>0</v>
      </c>
      <c r="AK84" s="20">
        <f>Saisie!AA84</f>
        <v>0</v>
      </c>
      <c r="AL84" s="21">
        <f>Saisie!AB84</f>
        <v>0</v>
      </c>
      <c r="AM84" s="59">
        <f>Saisie!AC84</f>
        <v>0</v>
      </c>
      <c r="AN84" s="20">
        <f>Saisie!AD84</f>
        <v>0</v>
      </c>
      <c r="AO84" s="21">
        <f>Saisie!AE84</f>
        <v>0</v>
      </c>
      <c r="AP84" s="59">
        <f>Saisie!AF84</f>
        <v>0</v>
      </c>
      <c r="AQ84" s="129" t="e">
        <f t="array" ref="AQ84">_xlfn.IFS(Saisie!AG84="OUI",1,Saisie!AG84="NON",0)</f>
        <v>#N/A</v>
      </c>
      <c r="AR84" s="129" t="e">
        <f t="array" ref="AR84">_xlfn.IFS(Saisie!AH84="OUI",1,Saisie!AH84="NON",0)</f>
        <v>#N/A</v>
      </c>
      <c r="AS84" s="171">
        <f>Saisie!AI84</f>
        <v>0</v>
      </c>
      <c r="AT84" s="263" t="e">
        <f t="array" ref="AT84">_xlfn.IFS(Saisie!AJ84="OUI",1,Saisie!AJ84="NON",0)</f>
        <v>#N/A</v>
      </c>
      <c r="AU84" s="173">
        <f>Saisie!AK84</f>
        <v>0</v>
      </c>
      <c r="AV84" s="263" t="e">
        <f t="array" ref="AV84">_xlfn.IFS(Saisie!AL84="OUI",1,Saisie!AL84="NON",0)</f>
        <v>#N/A</v>
      </c>
      <c r="AW84" s="171">
        <f>Saisie!AM84</f>
        <v>0</v>
      </c>
      <c r="AX84" s="68">
        <f>Saisie!AN84</f>
        <v>0</v>
      </c>
      <c r="AY84" s="20">
        <f>Saisie!AO84</f>
        <v>0</v>
      </c>
      <c r="AZ84" s="21">
        <f>Saisie!AP84</f>
        <v>0</v>
      </c>
      <c r="BA84" s="298">
        <f>Saisie!AQ84</f>
        <v>0</v>
      </c>
      <c r="BB84" s="170">
        <f>Saisie!AR84</f>
        <v>0</v>
      </c>
      <c r="BC84" s="174">
        <f>Saisie!AS84</f>
        <v>0</v>
      </c>
      <c r="BD84" s="61">
        <f>Saisie!AT84</f>
        <v>0</v>
      </c>
      <c r="BE84" s="175" t="e">
        <f t="array" ref="BE84">_xlfn.IFS(Saisie!AU84="OUI",1,Saisie!AU84="NON",0)</f>
        <v>#N/A</v>
      </c>
      <c r="BF84" s="267">
        <f>Saisie!AV84</f>
        <v>0</v>
      </c>
      <c r="BG84" s="55">
        <f>Saisie!AW84</f>
        <v>0</v>
      </c>
      <c r="BH84" s="55" t="e">
        <f t="array" ref="BH84">_xlfn.IFS(Saisie!AX84="OUI",1,Saisie!AX84="NON",0)</f>
        <v>#N/A</v>
      </c>
      <c r="BI84" s="62">
        <f>Saisie!AY84</f>
        <v>0</v>
      </c>
      <c r="BJ84" s="55" t="e">
        <f t="array" ref="BJ84">_xlfn.IFS(Saisie!AZ84="OUI",1,Saisie!AZ84="NON",0)</f>
        <v>#N/A</v>
      </c>
      <c r="BK84" s="55" t="e">
        <f t="array" ref="BK84">_xlfn.IFS(Saisie!BA84="OUI",1,Saisie!BA84="NON",0)</f>
        <v>#N/A</v>
      </c>
      <c r="BL84" s="55">
        <f>Saisie!BB84</f>
        <v>0</v>
      </c>
      <c r="BM84" s="49" t="e">
        <f>Saisie!BC84</f>
        <v>#REF!</v>
      </c>
      <c r="BN84" s="175"/>
    </row>
    <row r="85" spans="1:66" s="176" customFormat="1" x14ac:dyDescent="0.45">
      <c r="A85" s="12">
        <v>79</v>
      </c>
      <c r="B85" s="150">
        <f>Saisie!B85</f>
        <v>0</v>
      </c>
      <c r="C85" s="150">
        <f>Saisie!C85</f>
        <v>0</v>
      </c>
      <c r="D85" s="150">
        <f>Saisie!D85</f>
        <v>0</v>
      </c>
      <c r="E85" s="150">
        <f>Saisie!E85</f>
        <v>0</v>
      </c>
      <c r="F85" s="150">
        <f>Saisie!F85</f>
        <v>0</v>
      </c>
      <c r="G85" s="150">
        <f>Saisie!G85</f>
        <v>0</v>
      </c>
      <c r="H85" s="150">
        <f>Saisie!I85</f>
        <v>0</v>
      </c>
      <c r="I85" s="150">
        <f>Saisie!J85</f>
        <v>0</v>
      </c>
      <c r="J85" s="150">
        <f>Saisie!K85</f>
        <v>0</v>
      </c>
      <c r="K85" s="150">
        <f>Saisie!L85</f>
        <v>0</v>
      </c>
      <c r="L85" s="150" t="e">
        <f>Saisie!#REF!</f>
        <v>#REF!</v>
      </c>
      <c r="M85" s="55" t="e">
        <f t="array" ref="M85">_xlfn.IFS(Saisie!M85="OUI",1,Saisie!M85="NON",0)</f>
        <v>#N/A</v>
      </c>
      <c r="N85" s="64" t="e">
        <f>Saisie!#REF!</f>
        <v>#REF!</v>
      </c>
      <c r="O85" s="63" t="e">
        <f>Saisie!#REF!</f>
        <v>#REF!</v>
      </c>
      <c r="P85" s="63">
        <f>Saisie!N85</f>
        <v>0</v>
      </c>
      <c r="Q85" s="63" t="e">
        <f t="array" ref="Q85">_xlfn.IFS(Saisie!#REF!="OUI",1,Saisie!#REF!="NON",0)</f>
        <v>#REF!</v>
      </c>
      <c r="R85" s="63" t="e">
        <f>Saisie!#REF!</f>
        <v>#REF!</v>
      </c>
      <c r="S85" s="65" t="e">
        <f>Saisie!#REF!</f>
        <v>#REF!</v>
      </c>
      <c r="T85" s="63" t="e">
        <f>Saisie!#REF!</f>
        <v>#REF!</v>
      </c>
      <c r="U85" s="63" t="e">
        <f>Saisie!#REF!</f>
        <v>#REF!</v>
      </c>
      <c r="V85" s="63" t="e">
        <f t="array" ref="V85">_xlfn.IFS(Saisie!#REF!="OUI",1,Saisie!#REF!="NON",0)</f>
        <v>#REF!</v>
      </c>
      <c r="W85" s="63" t="e">
        <f t="array" ref="W85">_xlfn.IFS(Saisie!O85="OUI",1,Saisie!O85="NON",0)</f>
        <v>#N/A</v>
      </c>
      <c r="X85" s="63">
        <f>Saisie!P85</f>
        <v>0</v>
      </c>
      <c r="Y85" s="299">
        <f>Saisie!H85</f>
        <v>0</v>
      </c>
      <c r="Z85" s="58" t="e">
        <f>Saisie!#REF!</f>
        <v>#REF!</v>
      </c>
      <c r="AA85" s="299">
        <f>Saisie!Q85</f>
        <v>0</v>
      </c>
      <c r="AB85" s="63" t="e">
        <f t="array" ref="AB85">_xlfn.IFS(Saisie!R85="OUI",1,Saisie!R85="NON",0)</f>
        <v>#N/A</v>
      </c>
      <c r="AC85" s="63">
        <f>Saisie!S85</f>
        <v>0</v>
      </c>
      <c r="AD85" s="63" t="e">
        <f t="array" ref="AD85">_xlfn.IFS(Saisie!T85="OUI",1,Saisie!T85="NON",0)</f>
        <v>#N/A</v>
      </c>
      <c r="AE85" s="171">
        <f>Saisie!U85</f>
        <v>0</v>
      </c>
      <c r="AF85" s="263">
        <v>3</v>
      </c>
      <c r="AG85" s="129">
        <f>Saisie!W85</f>
        <v>0</v>
      </c>
      <c r="AH85" s="20">
        <f>Saisie!X85</f>
        <v>0</v>
      </c>
      <c r="AI85" s="21">
        <f>Saisie!Y85</f>
        <v>0</v>
      </c>
      <c r="AJ85" s="59">
        <f>Saisie!Z85</f>
        <v>0</v>
      </c>
      <c r="AK85" s="20">
        <f>Saisie!AA85</f>
        <v>0</v>
      </c>
      <c r="AL85" s="21">
        <f>Saisie!AB85</f>
        <v>0</v>
      </c>
      <c r="AM85" s="59">
        <f>Saisie!AC85</f>
        <v>0</v>
      </c>
      <c r="AN85" s="20">
        <f>Saisie!AD85</f>
        <v>0</v>
      </c>
      <c r="AO85" s="21">
        <f>Saisie!AE85</f>
        <v>0</v>
      </c>
      <c r="AP85" s="59">
        <f>Saisie!AF85</f>
        <v>0</v>
      </c>
      <c r="AQ85" s="129" t="e">
        <f t="array" ref="AQ85">_xlfn.IFS(Saisie!AG85="OUI",1,Saisie!AG85="NON",0)</f>
        <v>#N/A</v>
      </c>
      <c r="AR85" s="129" t="e">
        <f t="array" ref="AR85">_xlfn.IFS(Saisie!AH85="OUI",1,Saisie!AH85="NON",0)</f>
        <v>#N/A</v>
      </c>
      <c r="AS85" s="171">
        <f>Saisie!AI85</f>
        <v>0</v>
      </c>
      <c r="AT85" s="263" t="e">
        <f t="array" ref="AT85">_xlfn.IFS(Saisie!AJ85="OUI",1,Saisie!AJ85="NON",0)</f>
        <v>#N/A</v>
      </c>
      <c r="AU85" s="173">
        <f>Saisie!AK85</f>
        <v>0</v>
      </c>
      <c r="AV85" s="263" t="e">
        <f t="array" ref="AV85">_xlfn.IFS(Saisie!AL85="OUI",1,Saisie!AL85="NON",0)</f>
        <v>#N/A</v>
      </c>
      <c r="AW85" s="171">
        <f>Saisie!AM85</f>
        <v>0</v>
      </c>
      <c r="AX85" s="68">
        <f>Saisie!AN85</f>
        <v>0</v>
      </c>
      <c r="AY85" s="20">
        <f>Saisie!AO85</f>
        <v>0</v>
      </c>
      <c r="AZ85" s="21">
        <f>Saisie!AP85</f>
        <v>0</v>
      </c>
      <c r="BA85" s="298">
        <f>Saisie!AQ85</f>
        <v>0</v>
      </c>
      <c r="BB85" s="170">
        <f>Saisie!AR85</f>
        <v>0</v>
      </c>
      <c r="BC85" s="174">
        <f>Saisie!AS85</f>
        <v>0</v>
      </c>
      <c r="BD85" s="61">
        <f>Saisie!AT85</f>
        <v>0</v>
      </c>
      <c r="BE85" s="175" t="e">
        <f t="array" ref="BE85">_xlfn.IFS(Saisie!AU85="OUI",1,Saisie!AU85="NON",0)</f>
        <v>#N/A</v>
      </c>
      <c r="BF85" s="267">
        <f>Saisie!AV85</f>
        <v>0</v>
      </c>
      <c r="BG85" s="55">
        <f>Saisie!AW85</f>
        <v>0</v>
      </c>
      <c r="BH85" s="55" t="e">
        <f t="array" ref="BH85">_xlfn.IFS(Saisie!AX85="OUI",1,Saisie!AX85="NON",0)</f>
        <v>#N/A</v>
      </c>
      <c r="BI85" s="62">
        <f>Saisie!AY85</f>
        <v>0</v>
      </c>
      <c r="BJ85" s="55" t="e">
        <f t="array" ref="BJ85">_xlfn.IFS(Saisie!AZ85="OUI",1,Saisie!AZ85="NON",0)</f>
        <v>#N/A</v>
      </c>
      <c r="BK85" s="55" t="e">
        <f t="array" ref="BK85">_xlfn.IFS(Saisie!BA85="OUI",1,Saisie!BA85="NON",0)</f>
        <v>#N/A</v>
      </c>
      <c r="BL85" s="55">
        <f>Saisie!BB85</f>
        <v>0</v>
      </c>
      <c r="BM85" s="49" t="e">
        <f>Saisie!BC85</f>
        <v>#REF!</v>
      </c>
      <c r="BN85" s="175"/>
    </row>
    <row r="86" spans="1:66" s="176" customFormat="1" x14ac:dyDescent="0.45">
      <c r="A86" s="13">
        <v>80</v>
      </c>
      <c r="B86" s="150">
        <f>Saisie!B86</f>
        <v>0</v>
      </c>
      <c r="C86" s="150">
        <f>Saisie!C86</f>
        <v>0</v>
      </c>
      <c r="D86" s="150">
        <f>Saisie!D86</f>
        <v>0</v>
      </c>
      <c r="E86" s="150">
        <f>Saisie!E86</f>
        <v>0</v>
      </c>
      <c r="F86" s="150">
        <f>Saisie!F86</f>
        <v>0</v>
      </c>
      <c r="G86" s="150">
        <f>Saisie!G86</f>
        <v>0</v>
      </c>
      <c r="H86" s="150">
        <f>Saisie!I86</f>
        <v>0</v>
      </c>
      <c r="I86" s="150">
        <f>Saisie!J86</f>
        <v>0</v>
      </c>
      <c r="J86" s="150">
        <f>Saisie!K86</f>
        <v>0</v>
      </c>
      <c r="K86" s="150">
        <f>Saisie!L86</f>
        <v>0</v>
      </c>
      <c r="L86" s="150" t="e">
        <f>Saisie!#REF!</f>
        <v>#REF!</v>
      </c>
      <c r="M86" s="55" t="e">
        <f t="array" ref="M86">_xlfn.IFS(Saisie!M86="OUI",1,Saisie!M86="NON",0)</f>
        <v>#N/A</v>
      </c>
      <c r="N86" s="64" t="e">
        <f>Saisie!#REF!</f>
        <v>#REF!</v>
      </c>
      <c r="O86" s="63" t="e">
        <f>Saisie!#REF!</f>
        <v>#REF!</v>
      </c>
      <c r="P86" s="63">
        <f>Saisie!N86</f>
        <v>0</v>
      </c>
      <c r="Q86" s="63" t="e">
        <f t="array" ref="Q86">_xlfn.IFS(Saisie!#REF!="OUI",1,Saisie!#REF!="NON",0)</f>
        <v>#REF!</v>
      </c>
      <c r="R86" s="63" t="e">
        <f>Saisie!#REF!</f>
        <v>#REF!</v>
      </c>
      <c r="S86" s="65" t="e">
        <f>Saisie!#REF!</f>
        <v>#REF!</v>
      </c>
      <c r="T86" s="63" t="e">
        <f>Saisie!#REF!</f>
        <v>#REF!</v>
      </c>
      <c r="U86" s="63" t="e">
        <f>Saisie!#REF!</f>
        <v>#REF!</v>
      </c>
      <c r="V86" s="63" t="e">
        <f t="array" ref="V86">_xlfn.IFS(Saisie!#REF!="OUI",1,Saisie!#REF!="NON",0)</f>
        <v>#REF!</v>
      </c>
      <c r="W86" s="63" t="e">
        <f t="array" ref="W86">_xlfn.IFS(Saisie!O86="OUI",1,Saisie!O86="NON",0)</f>
        <v>#N/A</v>
      </c>
      <c r="X86" s="63">
        <f>Saisie!P86</f>
        <v>0</v>
      </c>
      <c r="Y86" s="299">
        <f>Saisie!H86</f>
        <v>0</v>
      </c>
      <c r="Z86" s="58" t="e">
        <f>Saisie!#REF!</f>
        <v>#REF!</v>
      </c>
      <c r="AA86" s="299">
        <f>Saisie!Q86</f>
        <v>0</v>
      </c>
      <c r="AB86" s="63" t="e">
        <f t="array" ref="AB86">_xlfn.IFS(Saisie!R86="OUI",1,Saisie!R86="NON",0)</f>
        <v>#N/A</v>
      </c>
      <c r="AC86" s="63">
        <f>Saisie!S86</f>
        <v>0</v>
      </c>
      <c r="AD86" s="63" t="e">
        <f t="array" ref="AD86">_xlfn.IFS(Saisie!T86="OUI",1,Saisie!T86="NON",0)</f>
        <v>#N/A</v>
      </c>
      <c r="AE86" s="171">
        <f>Saisie!U86</f>
        <v>0</v>
      </c>
      <c r="AF86" s="263">
        <v>3</v>
      </c>
      <c r="AG86" s="129">
        <f>Saisie!W86</f>
        <v>0</v>
      </c>
      <c r="AH86" s="20">
        <f>Saisie!X86</f>
        <v>0</v>
      </c>
      <c r="AI86" s="21">
        <f>Saisie!Y86</f>
        <v>0</v>
      </c>
      <c r="AJ86" s="59">
        <f>Saisie!Z86</f>
        <v>0</v>
      </c>
      <c r="AK86" s="20">
        <f>Saisie!AA86</f>
        <v>0</v>
      </c>
      <c r="AL86" s="21">
        <f>Saisie!AB86</f>
        <v>0</v>
      </c>
      <c r="AM86" s="59">
        <f>Saisie!AC86</f>
        <v>0</v>
      </c>
      <c r="AN86" s="20">
        <f>Saisie!AD86</f>
        <v>0</v>
      </c>
      <c r="AO86" s="21">
        <f>Saisie!AE86</f>
        <v>0</v>
      </c>
      <c r="AP86" s="59">
        <f>Saisie!AF86</f>
        <v>0</v>
      </c>
      <c r="AQ86" s="129" t="e">
        <f t="array" ref="AQ86">_xlfn.IFS(Saisie!AG86="OUI",1,Saisie!AG86="NON",0)</f>
        <v>#N/A</v>
      </c>
      <c r="AR86" s="129" t="e">
        <f t="array" ref="AR86">_xlfn.IFS(Saisie!AH86="OUI",1,Saisie!AH86="NON",0)</f>
        <v>#N/A</v>
      </c>
      <c r="AS86" s="171">
        <f>Saisie!AI86</f>
        <v>0</v>
      </c>
      <c r="AT86" s="263" t="e">
        <f t="array" ref="AT86">_xlfn.IFS(Saisie!AJ86="OUI",1,Saisie!AJ86="NON",0)</f>
        <v>#N/A</v>
      </c>
      <c r="AU86" s="173">
        <f>Saisie!AK86</f>
        <v>0</v>
      </c>
      <c r="AV86" s="263" t="e">
        <f t="array" ref="AV86">_xlfn.IFS(Saisie!AL86="OUI",1,Saisie!AL86="NON",0)</f>
        <v>#N/A</v>
      </c>
      <c r="AW86" s="171">
        <f>Saisie!AM86</f>
        <v>0</v>
      </c>
      <c r="AX86" s="68">
        <f>Saisie!AN86</f>
        <v>0</v>
      </c>
      <c r="AY86" s="20">
        <f>Saisie!AO86</f>
        <v>0</v>
      </c>
      <c r="AZ86" s="21">
        <f>Saisie!AP86</f>
        <v>0</v>
      </c>
      <c r="BA86" s="298">
        <f>Saisie!AQ86</f>
        <v>0</v>
      </c>
      <c r="BB86" s="170">
        <f>Saisie!AR86</f>
        <v>0</v>
      </c>
      <c r="BC86" s="174">
        <f>Saisie!AS86</f>
        <v>0</v>
      </c>
      <c r="BD86" s="61">
        <f>Saisie!AT86</f>
        <v>0</v>
      </c>
      <c r="BE86" s="175" t="e">
        <f t="array" ref="BE86">_xlfn.IFS(Saisie!AU86="OUI",1,Saisie!AU86="NON",0)</f>
        <v>#N/A</v>
      </c>
      <c r="BF86" s="267">
        <f>Saisie!AV86</f>
        <v>0</v>
      </c>
      <c r="BG86" s="55">
        <f>Saisie!AW86</f>
        <v>0</v>
      </c>
      <c r="BH86" s="55" t="e">
        <f t="array" ref="BH86">_xlfn.IFS(Saisie!AX86="OUI",1,Saisie!AX86="NON",0)</f>
        <v>#N/A</v>
      </c>
      <c r="BI86" s="62">
        <f>Saisie!AY86</f>
        <v>0</v>
      </c>
      <c r="BJ86" s="55" t="e">
        <f t="array" ref="BJ86">_xlfn.IFS(Saisie!AZ86="OUI",1,Saisie!AZ86="NON",0)</f>
        <v>#N/A</v>
      </c>
      <c r="BK86" s="55" t="e">
        <f t="array" ref="BK86">_xlfn.IFS(Saisie!BA86="OUI",1,Saisie!BA86="NON",0)</f>
        <v>#N/A</v>
      </c>
      <c r="BL86" s="55">
        <f>Saisie!BB86</f>
        <v>0</v>
      </c>
      <c r="BM86" s="49" t="e">
        <f>Saisie!BC86</f>
        <v>#REF!</v>
      </c>
      <c r="BN86" s="175"/>
    </row>
    <row r="87" spans="1:66" s="176" customFormat="1" x14ac:dyDescent="0.45">
      <c r="A87" s="13">
        <v>81</v>
      </c>
      <c r="B87" s="150">
        <f>Saisie!B87</f>
        <v>0</v>
      </c>
      <c r="C87" s="150">
        <f>Saisie!C87</f>
        <v>0</v>
      </c>
      <c r="D87" s="150">
        <f>Saisie!D87</f>
        <v>0</v>
      </c>
      <c r="E87" s="150">
        <f>Saisie!E87</f>
        <v>0</v>
      </c>
      <c r="F87" s="150">
        <f>Saisie!F87</f>
        <v>0</v>
      </c>
      <c r="G87" s="150">
        <f>Saisie!G87</f>
        <v>0</v>
      </c>
      <c r="H87" s="150">
        <f>Saisie!I87</f>
        <v>0</v>
      </c>
      <c r="I87" s="150">
        <f>Saisie!J87</f>
        <v>0</v>
      </c>
      <c r="J87" s="150">
        <f>Saisie!K87</f>
        <v>0</v>
      </c>
      <c r="K87" s="150">
        <f>Saisie!L87</f>
        <v>0</v>
      </c>
      <c r="L87" s="150" t="e">
        <f>Saisie!#REF!</f>
        <v>#REF!</v>
      </c>
      <c r="M87" s="55" t="e">
        <f t="array" ref="M87">_xlfn.IFS(Saisie!M87="OUI",1,Saisie!M87="NON",0)</f>
        <v>#N/A</v>
      </c>
      <c r="N87" s="64" t="e">
        <f>Saisie!#REF!</f>
        <v>#REF!</v>
      </c>
      <c r="O87" s="63" t="e">
        <f>Saisie!#REF!</f>
        <v>#REF!</v>
      </c>
      <c r="P87" s="63">
        <f>Saisie!N87</f>
        <v>0</v>
      </c>
      <c r="Q87" s="63" t="e">
        <f t="array" ref="Q87">_xlfn.IFS(Saisie!#REF!="OUI",1,Saisie!#REF!="NON",0)</f>
        <v>#REF!</v>
      </c>
      <c r="R87" s="63" t="e">
        <f>Saisie!#REF!</f>
        <v>#REF!</v>
      </c>
      <c r="S87" s="65" t="e">
        <f>Saisie!#REF!</f>
        <v>#REF!</v>
      </c>
      <c r="T87" s="63" t="e">
        <f>Saisie!#REF!</f>
        <v>#REF!</v>
      </c>
      <c r="U87" s="63" t="e">
        <f>Saisie!#REF!</f>
        <v>#REF!</v>
      </c>
      <c r="V87" s="63" t="e">
        <f t="array" ref="V87">_xlfn.IFS(Saisie!#REF!="OUI",1,Saisie!#REF!="NON",0)</f>
        <v>#REF!</v>
      </c>
      <c r="W87" s="63" t="e">
        <f t="array" ref="W87">_xlfn.IFS(Saisie!O87="OUI",1,Saisie!O87="NON",0)</f>
        <v>#N/A</v>
      </c>
      <c r="X87" s="63">
        <f>Saisie!P87</f>
        <v>0</v>
      </c>
      <c r="Y87" s="299">
        <f>Saisie!H87</f>
        <v>0</v>
      </c>
      <c r="Z87" s="58" t="e">
        <f>Saisie!#REF!</f>
        <v>#REF!</v>
      </c>
      <c r="AA87" s="299">
        <f>Saisie!Q87</f>
        <v>0</v>
      </c>
      <c r="AB87" s="63" t="e">
        <f t="array" ref="AB87">_xlfn.IFS(Saisie!R87="OUI",1,Saisie!R87="NON",0)</f>
        <v>#N/A</v>
      </c>
      <c r="AC87" s="63">
        <f>Saisie!S87</f>
        <v>0</v>
      </c>
      <c r="AD87" s="63" t="e">
        <f t="array" ref="AD87">_xlfn.IFS(Saisie!T87="OUI",1,Saisie!T87="NON",0)</f>
        <v>#N/A</v>
      </c>
      <c r="AE87" s="171">
        <f>Saisie!U87</f>
        <v>0</v>
      </c>
      <c r="AF87" s="263">
        <v>3</v>
      </c>
      <c r="AG87" s="129">
        <f>Saisie!W87</f>
        <v>0</v>
      </c>
      <c r="AH87" s="20">
        <f>Saisie!X87</f>
        <v>0</v>
      </c>
      <c r="AI87" s="21">
        <f>Saisie!Y87</f>
        <v>0</v>
      </c>
      <c r="AJ87" s="59">
        <f>Saisie!Z87</f>
        <v>0</v>
      </c>
      <c r="AK87" s="20">
        <f>Saisie!AA87</f>
        <v>0</v>
      </c>
      <c r="AL87" s="21">
        <f>Saisie!AB87</f>
        <v>0</v>
      </c>
      <c r="AM87" s="59">
        <f>Saisie!AC87</f>
        <v>0</v>
      </c>
      <c r="AN87" s="20">
        <f>Saisie!AD87</f>
        <v>0</v>
      </c>
      <c r="AO87" s="21">
        <f>Saisie!AE87</f>
        <v>0</v>
      </c>
      <c r="AP87" s="59">
        <f>Saisie!AF87</f>
        <v>0</v>
      </c>
      <c r="AQ87" s="129" t="e">
        <f t="array" ref="AQ87">_xlfn.IFS(Saisie!AG87="OUI",1,Saisie!AG87="NON",0)</f>
        <v>#N/A</v>
      </c>
      <c r="AR87" s="129" t="e">
        <f t="array" ref="AR87">_xlfn.IFS(Saisie!AH87="OUI",1,Saisie!AH87="NON",0)</f>
        <v>#N/A</v>
      </c>
      <c r="AS87" s="171">
        <f>Saisie!AI87</f>
        <v>0</v>
      </c>
      <c r="AT87" s="263" t="e">
        <f t="array" ref="AT87">_xlfn.IFS(Saisie!AJ87="OUI",1,Saisie!AJ87="NON",0)</f>
        <v>#N/A</v>
      </c>
      <c r="AU87" s="173">
        <f>Saisie!AK87</f>
        <v>0</v>
      </c>
      <c r="AV87" s="263" t="e">
        <f t="array" ref="AV87">_xlfn.IFS(Saisie!AL87="OUI",1,Saisie!AL87="NON",0)</f>
        <v>#N/A</v>
      </c>
      <c r="AW87" s="171">
        <f>Saisie!AM87</f>
        <v>0</v>
      </c>
      <c r="AX87" s="68">
        <f>Saisie!AN87</f>
        <v>0</v>
      </c>
      <c r="AY87" s="20">
        <f>Saisie!AO87</f>
        <v>0</v>
      </c>
      <c r="AZ87" s="21">
        <f>Saisie!AP87</f>
        <v>0</v>
      </c>
      <c r="BA87" s="298">
        <f>Saisie!AQ87</f>
        <v>0</v>
      </c>
      <c r="BB87" s="170">
        <f>Saisie!AR87</f>
        <v>0</v>
      </c>
      <c r="BC87" s="174">
        <f>Saisie!AS87</f>
        <v>0</v>
      </c>
      <c r="BD87" s="61">
        <f>Saisie!AT87</f>
        <v>0</v>
      </c>
      <c r="BE87" s="175" t="e">
        <f t="array" ref="BE87">_xlfn.IFS(Saisie!AU87="OUI",1,Saisie!AU87="NON",0)</f>
        <v>#N/A</v>
      </c>
      <c r="BF87" s="267">
        <f>Saisie!AV87</f>
        <v>0</v>
      </c>
      <c r="BG87" s="55">
        <f>Saisie!AW87</f>
        <v>0</v>
      </c>
      <c r="BH87" s="55" t="e">
        <f t="array" ref="BH87">_xlfn.IFS(Saisie!AX87="OUI",1,Saisie!AX87="NON",0)</f>
        <v>#N/A</v>
      </c>
      <c r="BI87" s="62">
        <f>Saisie!AY87</f>
        <v>0</v>
      </c>
      <c r="BJ87" s="55" t="e">
        <f t="array" ref="BJ87">_xlfn.IFS(Saisie!AZ87="OUI",1,Saisie!AZ87="NON",0)</f>
        <v>#N/A</v>
      </c>
      <c r="BK87" s="55" t="e">
        <f t="array" ref="BK87">_xlfn.IFS(Saisie!BA87="OUI",1,Saisie!BA87="NON",0)</f>
        <v>#N/A</v>
      </c>
      <c r="BL87" s="55">
        <f>Saisie!BB87</f>
        <v>0</v>
      </c>
      <c r="BM87" s="49" t="e">
        <f>Saisie!BC87</f>
        <v>#REF!</v>
      </c>
      <c r="BN87" s="175"/>
    </row>
    <row r="88" spans="1:66" s="176" customFormat="1" x14ac:dyDescent="0.45">
      <c r="A88" s="12">
        <v>82</v>
      </c>
      <c r="B88" s="150">
        <f>Saisie!B88</f>
        <v>0</v>
      </c>
      <c r="C88" s="150">
        <f>Saisie!C88</f>
        <v>0</v>
      </c>
      <c r="D88" s="150">
        <f>Saisie!D88</f>
        <v>0</v>
      </c>
      <c r="E88" s="150">
        <f>Saisie!E88</f>
        <v>0</v>
      </c>
      <c r="F88" s="150">
        <f>Saisie!F88</f>
        <v>0</v>
      </c>
      <c r="G88" s="150">
        <f>Saisie!G88</f>
        <v>0</v>
      </c>
      <c r="H88" s="150">
        <f>Saisie!I88</f>
        <v>0</v>
      </c>
      <c r="I88" s="150">
        <f>Saisie!J88</f>
        <v>0</v>
      </c>
      <c r="J88" s="150">
        <f>Saisie!K88</f>
        <v>0</v>
      </c>
      <c r="K88" s="150">
        <f>Saisie!L88</f>
        <v>0</v>
      </c>
      <c r="L88" s="150" t="e">
        <f>Saisie!#REF!</f>
        <v>#REF!</v>
      </c>
      <c r="M88" s="55" t="e">
        <f t="array" ref="M88">_xlfn.IFS(Saisie!M88="OUI",1,Saisie!M88="NON",0)</f>
        <v>#N/A</v>
      </c>
      <c r="N88" s="64" t="e">
        <f>Saisie!#REF!</f>
        <v>#REF!</v>
      </c>
      <c r="O88" s="63" t="e">
        <f>Saisie!#REF!</f>
        <v>#REF!</v>
      </c>
      <c r="P88" s="63">
        <f>Saisie!N88</f>
        <v>0</v>
      </c>
      <c r="Q88" s="63" t="e">
        <f t="array" ref="Q88">_xlfn.IFS(Saisie!#REF!="OUI",1,Saisie!#REF!="NON",0)</f>
        <v>#REF!</v>
      </c>
      <c r="R88" s="63" t="e">
        <f>Saisie!#REF!</f>
        <v>#REF!</v>
      </c>
      <c r="S88" s="65" t="e">
        <f>Saisie!#REF!</f>
        <v>#REF!</v>
      </c>
      <c r="T88" s="63" t="e">
        <f>Saisie!#REF!</f>
        <v>#REF!</v>
      </c>
      <c r="U88" s="63" t="e">
        <f>Saisie!#REF!</f>
        <v>#REF!</v>
      </c>
      <c r="V88" s="63" t="e">
        <f t="array" ref="V88">_xlfn.IFS(Saisie!#REF!="OUI",1,Saisie!#REF!="NON",0)</f>
        <v>#REF!</v>
      </c>
      <c r="W88" s="63" t="e">
        <f t="array" ref="W88">_xlfn.IFS(Saisie!O88="OUI",1,Saisie!O88="NON",0)</f>
        <v>#N/A</v>
      </c>
      <c r="X88" s="63">
        <f>Saisie!P88</f>
        <v>0</v>
      </c>
      <c r="Y88" s="299">
        <f>Saisie!H88</f>
        <v>0</v>
      </c>
      <c r="Z88" s="58" t="e">
        <f>Saisie!#REF!</f>
        <v>#REF!</v>
      </c>
      <c r="AA88" s="299">
        <f>Saisie!Q88</f>
        <v>0</v>
      </c>
      <c r="AB88" s="63" t="e">
        <f t="array" ref="AB88">_xlfn.IFS(Saisie!R88="OUI",1,Saisie!R88="NON",0)</f>
        <v>#N/A</v>
      </c>
      <c r="AC88" s="63">
        <f>Saisie!S88</f>
        <v>0</v>
      </c>
      <c r="AD88" s="63" t="e">
        <f t="array" ref="AD88">_xlfn.IFS(Saisie!T88="OUI",1,Saisie!T88="NON",0)</f>
        <v>#N/A</v>
      </c>
      <c r="AE88" s="171">
        <f>Saisie!U88</f>
        <v>0</v>
      </c>
      <c r="AF88" s="263">
        <v>3</v>
      </c>
      <c r="AG88" s="129">
        <f>Saisie!W88</f>
        <v>0</v>
      </c>
      <c r="AH88" s="20">
        <f>Saisie!X88</f>
        <v>0</v>
      </c>
      <c r="AI88" s="21">
        <f>Saisie!Y88</f>
        <v>0</v>
      </c>
      <c r="AJ88" s="59">
        <f>Saisie!Z88</f>
        <v>0</v>
      </c>
      <c r="AK88" s="20">
        <f>Saisie!AA88</f>
        <v>0</v>
      </c>
      <c r="AL88" s="21">
        <f>Saisie!AB88</f>
        <v>0</v>
      </c>
      <c r="AM88" s="59">
        <f>Saisie!AC88</f>
        <v>0</v>
      </c>
      <c r="AN88" s="20">
        <f>Saisie!AD88</f>
        <v>0</v>
      </c>
      <c r="AO88" s="21">
        <f>Saisie!AE88</f>
        <v>0</v>
      </c>
      <c r="AP88" s="59">
        <f>Saisie!AF88</f>
        <v>0</v>
      </c>
      <c r="AQ88" s="129" t="e">
        <f t="array" ref="AQ88">_xlfn.IFS(Saisie!AG88="OUI",1,Saisie!AG88="NON",0)</f>
        <v>#N/A</v>
      </c>
      <c r="AR88" s="129" t="e">
        <f t="array" ref="AR88">_xlfn.IFS(Saisie!AH88="OUI",1,Saisie!AH88="NON",0)</f>
        <v>#N/A</v>
      </c>
      <c r="AS88" s="171">
        <f>Saisie!AI88</f>
        <v>0</v>
      </c>
      <c r="AT88" s="263" t="e">
        <f t="array" ref="AT88">_xlfn.IFS(Saisie!AJ88="OUI",1,Saisie!AJ88="NON",0)</f>
        <v>#N/A</v>
      </c>
      <c r="AU88" s="173">
        <f>Saisie!AK88</f>
        <v>0</v>
      </c>
      <c r="AV88" s="263" t="e">
        <f t="array" ref="AV88">_xlfn.IFS(Saisie!AL88="OUI",1,Saisie!AL88="NON",0)</f>
        <v>#N/A</v>
      </c>
      <c r="AW88" s="171">
        <f>Saisie!AM88</f>
        <v>0</v>
      </c>
      <c r="AX88" s="68">
        <f>Saisie!AN88</f>
        <v>0</v>
      </c>
      <c r="AY88" s="20">
        <f>Saisie!AO88</f>
        <v>0</v>
      </c>
      <c r="AZ88" s="21">
        <f>Saisie!AP88</f>
        <v>0</v>
      </c>
      <c r="BA88" s="298">
        <f>Saisie!AQ88</f>
        <v>0</v>
      </c>
      <c r="BB88" s="170">
        <f>Saisie!AR88</f>
        <v>0</v>
      </c>
      <c r="BC88" s="174">
        <f>Saisie!AS88</f>
        <v>0</v>
      </c>
      <c r="BD88" s="61">
        <f>Saisie!AT88</f>
        <v>0</v>
      </c>
      <c r="BE88" s="175" t="e">
        <f t="array" ref="BE88">_xlfn.IFS(Saisie!AU88="OUI",1,Saisie!AU88="NON",0)</f>
        <v>#N/A</v>
      </c>
      <c r="BF88" s="267">
        <f>Saisie!AV88</f>
        <v>0</v>
      </c>
      <c r="BG88" s="55">
        <f>Saisie!AW88</f>
        <v>0</v>
      </c>
      <c r="BH88" s="55" t="e">
        <f t="array" ref="BH88">_xlfn.IFS(Saisie!AX88="OUI",1,Saisie!AX88="NON",0)</f>
        <v>#N/A</v>
      </c>
      <c r="BI88" s="62">
        <f>Saisie!AY88</f>
        <v>0</v>
      </c>
      <c r="BJ88" s="55" t="e">
        <f t="array" ref="BJ88">_xlfn.IFS(Saisie!AZ88="OUI",1,Saisie!AZ88="NON",0)</f>
        <v>#N/A</v>
      </c>
      <c r="BK88" s="55" t="e">
        <f t="array" ref="BK88">_xlfn.IFS(Saisie!BA88="OUI",1,Saisie!BA88="NON",0)</f>
        <v>#N/A</v>
      </c>
      <c r="BL88" s="55">
        <f>Saisie!BB88</f>
        <v>0</v>
      </c>
      <c r="BM88" s="49" t="e">
        <f>Saisie!BC88</f>
        <v>#REF!</v>
      </c>
      <c r="BN88" s="175"/>
    </row>
    <row r="89" spans="1:66" s="176" customFormat="1" x14ac:dyDescent="0.45">
      <c r="A89" s="13">
        <v>83</v>
      </c>
      <c r="B89" s="150">
        <f>Saisie!B89</f>
        <v>0</v>
      </c>
      <c r="C89" s="150">
        <f>Saisie!C89</f>
        <v>0</v>
      </c>
      <c r="D89" s="150">
        <f>Saisie!D89</f>
        <v>0</v>
      </c>
      <c r="E89" s="150">
        <f>Saisie!E89</f>
        <v>0</v>
      </c>
      <c r="F89" s="150">
        <f>Saisie!F89</f>
        <v>0</v>
      </c>
      <c r="G89" s="150">
        <f>Saisie!G89</f>
        <v>0</v>
      </c>
      <c r="H89" s="150">
        <f>Saisie!I89</f>
        <v>0</v>
      </c>
      <c r="I89" s="150">
        <f>Saisie!J89</f>
        <v>0</v>
      </c>
      <c r="J89" s="150">
        <f>Saisie!K89</f>
        <v>0</v>
      </c>
      <c r="K89" s="150">
        <f>Saisie!L89</f>
        <v>0</v>
      </c>
      <c r="L89" s="150" t="e">
        <f>Saisie!#REF!</f>
        <v>#REF!</v>
      </c>
      <c r="M89" s="55" t="e">
        <f t="array" ref="M89">_xlfn.IFS(Saisie!M89="OUI",1,Saisie!M89="NON",0)</f>
        <v>#N/A</v>
      </c>
      <c r="N89" s="64" t="e">
        <f>Saisie!#REF!</f>
        <v>#REF!</v>
      </c>
      <c r="O89" s="63" t="e">
        <f>Saisie!#REF!</f>
        <v>#REF!</v>
      </c>
      <c r="P89" s="63">
        <f>Saisie!N89</f>
        <v>0</v>
      </c>
      <c r="Q89" s="63" t="e">
        <f t="array" ref="Q89">_xlfn.IFS(Saisie!#REF!="OUI",1,Saisie!#REF!="NON",0)</f>
        <v>#REF!</v>
      </c>
      <c r="R89" s="63" t="e">
        <f>Saisie!#REF!</f>
        <v>#REF!</v>
      </c>
      <c r="S89" s="65" t="e">
        <f>Saisie!#REF!</f>
        <v>#REF!</v>
      </c>
      <c r="T89" s="63" t="e">
        <f>Saisie!#REF!</f>
        <v>#REF!</v>
      </c>
      <c r="U89" s="63" t="e">
        <f>Saisie!#REF!</f>
        <v>#REF!</v>
      </c>
      <c r="V89" s="63" t="e">
        <f t="array" ref="V89">_xlfn.IFS(Saisie!#REF!="OUI",1,Saisie!#REF!="NON",0)</f>
        <v>#REF!</v>
      </c>
      <c r="W89" s="63" t="e">
        <f t="array" ref="W89">_xlfn.IFS(Saisie!O89="OUI",1,Saisie!O89="NON",0)</f>
        <v>#N/A</v>
      </c>
      <c r="X89" s="63">
        <f>Saisie!P89</f>
        <v>0</v>
      </c>
      <c r="Y89" s="299">
        <f>Saisie!H89</f>
        <v>0</v>
      </c>
      <c r="Z89" s="58" t="e">
        <f>Saisie!#REF!</f>
        <v>#REF!</v>
      </c>
      <c r="AA89" s="299">
        <f>Saisie!Q89</f>
        <v>0</v>
      </c>
      <c r="AB89" s="63" t="e">
        <f t="array" ref="AB89">_xlfn.IFS(Saisie!R89="OUI",1,Saisie!R89="NON",0)</f>
        <v>#N/A</v>
      </c>
      <c r="AC89" s="63">
        <f>Saisie!S89</f>
        <v>0</v>
      </c>
      <c r="AD89" s="63" t="e">
        <f t="array" ref="AD89">_xlfn.IFS(Saisie!T89="OUI",1,Saisie!T89="NON",0)</f>
        <v>#N/A</v>
      </c>
      <c r="AE89" s="171">
        <f>Saisie!U89</f>
        <v>0</v>
      </c>
      <c r="AF89" s="263">
        <v>3</v>
      </c>
      <c r="AG89" s="129">
        <f>Saisie!W89</f>
        <v>0</v>
      </c>
      <c r="AH89" s="20">
        <f>Saisie!X89</f>
        <v>0</v>
      </c>
      <c r="AI89" s="21">
        <f>Saisie!Y89</f>
        <v>0</v>
      </c>
      <c r="AJ89" s="59">
        <f>Saisie!Z89</f>
        <v>0</v>
      </c>
      <c r="AK89" s="20">
        <f>Saisie!AA89</f>
        <v>0</v>
      </c>
      <c r="AL89" s="21">
        <f>Saisie!AB89</f>
        <v>0</v>
      </c>
      <c r="AM89" s="59">
        <f>Saisie!AC89</f>
        <v>0</v>
      </c>
      <c r="AN89" s="20">
        <f>Saisie!AD89</f>
        <v>0</v>
      </c>
      <c r="AO89" s="21">
        <f>Saisie!AE89</f>
        <v>0</v>
      </c>
      <c r="AP89" s="59">
        <f>Saisie!AF89</f>
        <v>0</v>
      </c>
      <c r="AQ89" s="129" t="e">
        <f t="array" ref="AQ89">_xlfn.IFS(Saisie!AG89="OUI",1,Saisie!AG89="NON",0)</f>
        <v>#N/A</v>
      </c>
      <c r="AR89" s="129" t="e">
        <f t="array" ref="AR89">_xlfn.IFS(Saisie!AH89="OUI",1,Saisie!AH89="NON",0)</f>
        <v>#N/A</v>
      </c>
      <c r="AS89" s="171">
        <f>Saisie!AI89</f>
        <v>0</v>
      </c>
      <c r="AT89" s="263" t="e">
        <f t="array" ref="AT89">_xlfn.IFS(Saisie!AJ89="OUI",1,Saisie!AJ89="NON",0)</f>
        <v>#N/A</v>
      </c>
      <c r="AU89" s="173">
        <f>Saisie!AK89</f>
        <v>0</v>
      </c>
      <c r="AV89" s="263" t="e">
        <f t="array" ref="AV89">_xlfn.IFS(Saisie!AL89="OUI",1,Saisie!AL89="NON",0)</f>
        <v>#N/A</v>
      </c>
      <c r="AW89" s="171">
        <f>Saisie!AM89</f>
        <v>0</v>
      </c>
      <c r="AX89" s="68">
        <f>Saisie!AN89</f>
        <v>0</v>
      </c>
      <c r="AY89" s="20">
        <f>Saisie!AO89</f>
        <v>0</v>
      </c>
      <c r="AZ89" s="21">
        <f>Saisie!AP89</f>
        <v>0</v>
      </c>
      <c r="BA89" s="298">
        <f>Saisie!AQ89</f>
        <v>0</v>
      </c>
      <c r="BB89" s="170">
        <f>Saisie!AR89</f>
        <v>0</v>
      </c>
      <c r="BC89" s="174">
        <f>Saisie!AS89</f>
        <v>0</v>
      </c>
      <c r="BD89" s="61">
        <f>Saisie!AT89</f>
        <v>0</v>
      </c>
      <c r="BE89" s="175" t="e">
        <f t="array" ref="BE89">_xlfn.IFS(Saisie!AU89="OUI",1,Saisie!AU89="NON",0)</f>
        <v>#N/A</v>
      </c>
      <c r="BF89" s="267">
        <f>Saisie!AV89</f>
        <v>0</v>
      </c>
      <c r="BG89" s="55">
        <f>Saisie!AW89</f>
        <v>0</v>
      </c>
      <c r="BH89" s="55" t="e">
        <f t="array" ref="BH89">_xlfn.IFS(Saisie!AX89="OUI",1,Saisie!AX89="NON",0)</f>
        <v>#N/A</v>
      </c>
      <c r="BI89" s="62">
        <f>Saisie!AY89</f>
        <v>0</v>
      </c>
      <c r="BJ89" s="55" t="e">
        <f t="array" ref="BJ89">_xlfn.IFS(Saisie!AZ89="OUI",1,Saisie!AZ89="NON",0)</f>
        <v>#N/A</v>
      </c>
      <c r="BK89" s="55" t="e">
        <f t="array" ref="BK89">_xlfn.IFS(Saisie!BA89="OUI",1,Saisie!BA89="NON",0)</f>
        <v>#N/A</v>
      </c>
      <c r="BL89" s="55">
        <f>Saisie!BB89</f>
        <v>0</v>
      </c>
      <c r="BM89" s="49" t="e">
        <f>Saisie!BC89</f>
        <v>#REF!</v>
      </c>
      <c r="BN89" s="175"/>
    </row>
    <row r="90" spans="1:66" s="176" customFormat="1" x14ac:dyDescent="0.45">
      <c r="A90" s="13">
        <v>84</v>
      </c>
      <c r="B90" s="150">
        <f>Saisie!B90</f>
        <v>0</v>
      </c>
      <c r="C90" s="150">
        <f>Saisie!C90</f>
        <v>0</v>
      </c>
      <c r="D90" s="150">
        <f>Saisie!D90</f>
        <v>0</v>
      </c>
      <c r="E90" s="150">
        <f>Saisie!E90</f>
        <v>0</v>
      </c>
      <c r="F90" s="150">
        <f>Saisie!F90</f>
        <v>0</v>
      </c>
      <c r="G90" s="150">
        <f>Saisie!G90</f>
        <v>0</v>
      </c>
      <c r="H90" s="150">
        <f>Saisie!I90</f>
        <v>0</v>
      </c>
      <c r="I90" s="150">
        <f>Saisie!J90</f>
        <v>0</v>
      </c>
      <c r="J90" s="150">
        <f>Saisie!K90</f>
        <v>0</v>
      </c>
      <c r="K90" s="150">
        <f>Saisie!L90</f>
        <v>0</v>
      </c>
      <c r="L90" s="150" t="e">
        <f>Saisie!#REF!</f>
        <v>#REF!</v>
      </c>
      <c r="M90" s="55" t="e">
        <f t="array" ref="M90">_xlfn.IFS(Saisie!M90="OUI",1,Saisie!M90="NON",0)</f>
        <v>#N/A</v>
      </c>
      <c r="N90" s="64" t="e">
        <f>Saisie!#REF!</f>
        <v>#REF!</v>
      </c>
      <c r="O90" s="63" t="e">
        <f>Saisie!#REF!</f>
        <v>#REF!</v>
      </c>
      <c r="P90" s="63">
        <f>Saisie!N90</f>
        <v>0</v>
      </c>
      <c r="Q90" s="63" t="e">
        <f t="array" ref="Q90">_xlfn.IFS(Saisie!#REF!="OUI",1,Saisie!#REF!="NON",0)</f>
        <v>#REF!</v>
      </c>
      <c r="R90" s="63" t="e">
        <f>Saisie!#REF!</f>
        <v>#REF!</v>
      </c>
      <c r="S90" s="65" t="e">
        <f>Saisie!#REF!</f>
        <v>#REF!</v>
      </c>
      <c r="T90" s="63" t="e">
        <f>Saisie!#REF!</f>
        <v>#REF!</v>
      </c>
      <c r="U90" s="63" t="e">
        <f>Saisie!#REF!</f>
        <v>#REF!</v>
      </c>
      <c r="V90" s="63" t="e">
        <f t="array" ref="V90">_xlfn.IFS(Saisie!#REF!="OUI",1,Saisie!#REF!="NON",0)</f>
        <v>#REF!</v>
      </c>
      <c r="W90" s="63" t="e">
        <f t="array" ref="W90">_xlfn.IFS(Saisie!O90="OUI",1,Saisie!O90="NON",0)</f>
        <v>#N/A</v>
      </c>
      <c r="X90" s="63">
        <f>Saisie!P90</f>
        <v>0</v>
      </c>
      <c r="Y90" s="299">
        <f>Saisie!H90</f>
        <v>0</v>
      </c>
      <c r="Z90" s="58" t="e">
        <f>Saisie!#REF!</f>
        <v>#REF!</v>
      </c>
      <c r="AA90" s="299">
        <f>Saisie!Q90</f>
        <v>0</v>
      </c>
      <c r="AB90" s="63" t="e">
        <f t="array" ref="AB90">_xlfn.IFS(Saisie!R90="OUI",1,Saisie!R90="NON",0)</f>
        <v>#N/A</v>
      </c>
      <c r="AC90" s="63">
        <f>Saisie!S90</f>
        <v>0</v>
      </c>
      <c r="AD90" s="63" t="e">
        <f t="array" ref="AD90">_xlfn.IFS(Saisie!T90="OUI",1,Saisie!T90="NON",0)</f>
        <v>#N/A</v>
      </c>
      <c r="AE90" s="171">
        <f>Saisie!U90</f>
        <v>0</v>
      </c>
      <c r="AF90" s="263">
        <v>3</v>
      </c>
      <c r="AG90" s="129">
        <f>Saisie!W90</f>
        <v>0</v>
      </c>
      <c r="AH90" s="20">
        <f>Saisie!X90</f>
        <v>0</v>
      </c>
      <c r="AI90" s="21">
        <f>Saisie!Y90</f>
        <v>0</v>
      </c>
      <c r="AJ90" s="59">
        <f>Saisie!Z90</f>
        <v>0</v>
      </c>
      <c r="AK90" s="20">
        <f>Saisie!AA90</f>
        <v>0</v>
      </c>
      <c r="AL90" s="21">
        <f>Saisie!AB90</f>
        <v>0</v>
      </c>
      <c r="AM90" s="59">
        <f>Saisie!AC90</f>
        <v>0</v>
      </c>
      <c r="AN90" s="20">
        <f>Saisie!AD90</f>
        <v>0</v>
      </c>
      <c r="AO90" s="21">
        <f>Saisie!AE90</f>
        <v>0</v>
      </c>
      <c r="AP90" s="59">
        <f>Saisie!AF90</f>
        <v>0</v>
      </c>
      <c r="AQ90" s="129" t="e">
        <f t="array" ref="AQ90">_xlfn.IFS(Saisie!AG90="OUI",1,Saisie!AG90="NON",0)</f>
        <v>#N/A</v>
      </c>
      <c r="AR90" s="129" t="e">
        <f t="array" ref="AR90">_xlfn.IFS(Saisie!AH90="OUI",1,Saisie!AH90="NON",0)</f>
        <v>#N/A</v>
      </c>
      <c r="AS90" s="171">
        <f>Saisie!AI90</f>
        <v>0</v>
      </c>
      <c r="AT90" s="263" t="e">
        <f t="array" ref="AT90">_xlfn.IFS(Saisie!AJ90="OUI",1,Saisie!AJ90="NON",0)</f>
        <v>#N/A</v>
      </c>
      <c r="AU90" s="173">
        <f>Saisie!AK90</f>
        <v>0</v>
      </c>
      <c r="AV90" s="263" t="e">
        <f t="array" ref="AV90">_xlfn.IFS(Saisie!AL90="OUI",1,Saisie!AL90="NON",0)</f>
        <v>#N/A</v>
      </c>
      <c r="AW90" s="171">
        <f>Saisie!AM90</f>
        <v>0</v>
      </c>
      <c r="AX90" s="68">
        <f>Saisie!AN90</f>
        <v>0</v>
      </c>
      <c r="AY90" s="20">
        <f>Saisie!AO90</f>
        <v>0</v>
      </c>
      <c r="AZ90" s="21">
        <f>Saisie!AP90</f>
        <v>0</v>
      </c>
      <c r="BA90" s="298">
        <f>Saisie!AQ90</f>
        <v>0</v>
      </c>
      <c r="BB90" s="170">
        <f>Saisie!AR90</f>
        <v>0</v>
      </c>
      <c r="BC90" s="174">
        <f>Saisie!AS90</f>
        <v>0</v>
      </c>
      <c r="BD90" s="61">
        <f>Saisie!AT90</f>
        <v>0</v>
      </c>
      <c r="BE90" s="175" t="e">
        <f t="array" ref="BE90">_xlfn.IFS(Saisie!AU90="OUI",1,Saisie!AU90="NON",0)</f>
        <v>#N/A</v>
      </c>
      <c r="BF90" s="267">
        <f>Saisie!AV90</f>
        <v>0</v>
      </c>
      <c r="BG90" s="55">
        <f>Saisie!AW90</f>
        <v>0</v>
      </c>
      <c r="BH90" s="55" t="e">
        <f t="array" ref="BH90">_xlfn.IFS(Saisie!AX90="OUI",1,Saisie!AX90="NON",0)</f>
        <v>#N/A</v>
      </c>
      <c r="BI90" s="62">
        <f>Saisie!AY90</f>
        <v>0</v>
      </c>
      <c r="BJ90" s="55" t="e">
        <f t="array" ref="BJ90">_xlfn.IFS(Saisie!AZ90="OUI",1,Saisie!AZ90="NON",0)</f>
        <v>#N/A</v>
      </c>
      <c r="BK90" s="55" t="e">
        <f t="array" ref="BK90">_xlfn.IFS(Saisie!BA90="OUI",1,Saisie!BA90="NON",0)</f>
        <v>#N/A</v>
      </c>
      <c r="BL90" s="55">
        <f>Saisie!BB90</f>
        <v>0</v>
      </c>
      <c r="BM90" s="49" t="e">
        <f>Saisie!BC90</f>
        <v>#REF!</v>
      </c>
      <c r="BN90" s="175"/>
    </row>
    <row r="91" spans="1:66" s="176" customFormat="1" x14ac:dyDescent="0.45">
      <c r="A91" s="12">
        <v>85</v>
      </c>
      <c r="B91" s="150">
        <f>Saisie!B91</f>
        <v>0</v>
      </c>
      <c r="C91" s="150">
        <f>Saisie!C91</f>
        <v>0</v>
      </c>
      <c r="D91" s="150">
        <f>Saisie!D91</f>
        <v>0</v>
      </c>
      <c r="E91" s="150">
        <f>Saisie!E91</f>
        <v>0</v>
      </c>
      <c r="F91" s="150">
        <f>Saisie!F91</f>
        <v>0</v>
      </c>
      <c r="G91" s="150">
        <f>Saisie!G91</f>
        <v>0</v>
      </c>
      <c r="H91" s="150">
        <f>Saisie!I91</f>
        <v>0</v>
      </c>
      <c r="I91" s="150">
        <f>Saisie!J91</f>
        <v>0</v>
      </c>
      <c r="J91" s="150">
        <f>Saisie!K91</f>
        <v>0</v>
      </c>
      <c r="K91" s="150">
        <f>Saisie!L91</f>
        <v>0</v>
      </c>
      <c r="L91" s="150" t="e">
        <f>Saisie!#REF!</f>
        <v>#REF!</v>
      </c>
      <c r="M91" s="55" t="e">
        <f t="array" ref="M91">_xlfn.IFS(Saisie!M91="OUI",1,Saisie!M91="NON",0)</f>
        <v>#N/A</v>
      </c>
      <c r="N91" s="64" t="e">
        <f>Saisie!#REF!</f>
        <v>#REF!</v>
      </c>
      <c r="O91" s="63" t="e">
        <f>Saisie!#REF!</f>
        <v>#REF!</v>
      </c>
      <c r="P91" s="63">
        <f>Saisie!N91</f>
        <v>0</v>
      </c>
      <c r="Q91" s="63" t="e">
        <f t="array" ref="Q91">_xlfn.IFS(Saisie!#REF!="OUI",1,Saisie!#REF!="NON",0)</f>
        <v>#REF!</v>
      </c>
      <c r="R91" s="63" t="e">
        <f>Saisie!#REF!</f>
        <v>#REF!</v>
      </c>
      <c r="S91" s="65" t="e">
        <f>Saisie!#REF!</f>
        <v>#REF!</v>
      </c>
      <c r="T91" s="63" t="e">
        <f>Saisie!#REF!</f>
        <v>#REF!</v>
      </c>
      <c r="U91" s="63" t="e">
        <f>Saisie!#REF!</f>
        <v>#REF!</v>
      </c>
      <c r="V91" s="63" t="e">
        <f t="array" ref="V91">_xlfn.IFS(Saisie!#REF!="OUI",1,Saisie!#REF!="NON",0)</f>
        <v>#REF!</v>
      </c>
      <c r="W91" s="63" t="e">
        <f t="array" ref="W91">_xlfn.IFS(Saisie!O91="OUI",1,Saisie!O91="NON",0)</f>
        <v>#N/A</v>
      </c>
      <c r="X91" s="63">
        <f>Saisie!P91</f>
        <v>0</v>
      </c>
      <c r="Y91" s="299">
        <f>Saisie!H91</f>
        <v>0</v>
      </c>
      <c r="Z91" s="58" t="e">
        <f>Saisie!#REF!</f>
        <v>#REF!</v>
      </c>
      <c r="AA91" s="299">
        <f>Saisie!Q91</f>
        <v>0</v>
      </c>
      <c r="AB91" s="63" t="e">
        <f t="array" ref="AB91">_xlfn.IFS(Saisie!R91="OUI",1,Saisie!R91="NON",0)</f>
        <v>#N/A</v>
      </c>
      <c r="AC91" s="63">
        <f>Saisie!S91</f>
        <v>0</v>
      </c>
      <c r="AD91" s="63" t="e">
        <f t="array" ref="AD91">_xlfn.IFS(Saisie!T91="OUI",1,Saisie!T91="NON",0)</f>
        <v>#N/A</v>
      </c>
      <c r="AE91" s="171">
        <f>Saisie!U91</f>
        <v>0</v>
      </c>
      <c r="AF91" s="263">
        <v>3</v>
      </c>
      <c r="AG91" s="129">
        <f>Saisie!W91</f>
        <v>0</v>
      </c>
      <c r="AH91" s="20">
        <f>Saisie!X91</f>
        <v>0</v>
      </c>
      <c r="AI91" s="21">
        <f>Saisie!Y91</f>
        <v>0</v>
      </c>
      <c r="AJ91" s="59">
        <f>Saisie!Z91</f>
        <v>0</v>
      </c>
      <c r="AK91" s="20">
        <f>Saisie!AA91</f>
        <v>0</v>
      </c>
      <c r="AL91" s="21">
        <f>Saisie!AB91</f>
        <v>0</v>
      </c>
      <c r="AM91" s="59">
        <f>Saisie!AC91</f>
        <v>0</v>
      </c>
      <c r="AN91" s="20">
        <f>Saisie!AD91</f>
        <v>0</v>
      </c>
      <c r="AO91" s="21">
        <f>Saisie!AE91</f>
        <v>0</v>
      </c>
      <c r="AP91" s="59">
        <f>Saisie!AF91</f>
        <v>0</v>
      </c>
      <c r="AQ91" s="129" t="e">
        <f t="array" ref="AQ91">_xlfn.IFS(Saisie!AG91="OUI",1,Saisie!AG91="NON",0)</f>
        <v>#N/A</v>
      </c>
      <c r="AR91" s="129" t="e">
        <f t="array" ref="AR91">_xlfn.IFS(Saisie!AH91="OUI",1,Saisie!AH91="NON",0)</f>
        <v>#N/A</v>
      </c>
      <c r="AS91" s="171">
        <f>Saisie!AI91</f>
        <v>0</v>
      </c>
      <c r="AT91" s="263" t="e">
        <f t="array" ref="AT91">_xlfn.IFS(Saisie!AJ91="OUI",1,Saisie!AJ91="NON",0)</f>
        <v>#N/A</v>
      </c>
      <c r="AU91" s="173">
        <f>Saisie!AK91</f>
        <v>0</v>
      </c>
      <c r="AV91" s="263" t="e">
        <f t="array" ref="AV91">_xlfn.IFS(Saisie!AL91="OUI",1,Saisie!AL91="NON",0)</f>
        <v>#N/A</v>
      </c>
      <c r="AW91" s="171">
        <f>Saisie!AM91</f>
        <v>0</v>
      </c>
      <c r="AX91" s="68">
        <f>Saisie!AN91</f>
        <v>0</v>
      </c>
      <c r="AY91" s="20">
        <f>Saisie!AO91</f>
        <v>0</v>
      </c>
      <c r="AZ91" s="21">
        <f>Saisie!AP91</f>
        <v>0</v>
      </c>
      <c r="BA91" s="298">
        <f>Saisie!AQ91</f>
        <v>0</v>
      </c>
      <c r="BB91" s="170">
        <f>Saisie!AR91</f>
        <v>0</v>
      </c>
      <c r="BC91" s="174">
        <f>Saisie!AS91</f>
        <v>0</v>
      </c>
      <c r="BD91" s="61">
        <f>Saisie!AT91</f>
        <v>0</v>
      </c>
      <c r="BE91" s="175" t="e">
        <f t="array" ref="BE91">_xlfn.IFS(Saisie!AU91="OUI",1,Saisie!AU91="NON",0)</f>
        <v>#N/A</v>
      </c>
      <c r="BF91" s="267">
        <f>Saisie!AV91</f>
        <v>0</v>
      </c>
      <c r="BG91" s="55">
        <f>Saisie!AW91</f>
        <v>0</v>
      </c>
      <c r="BH91" s="55" t="e">
        <f t="array" ref="BH91">_xlfn.IFS(Saisie!AX91="OUI",1,Saisie!AX91="NON",0)</f>
        <v>#N/A</v>
      </c>
      <c r="BI91" s="62">
        <f>Saisie!AY91</f>
        <v>0</v>
      </c>
      <c r="BJ91" s="55" t="e">
        <f t="array" ref="BJ91">_xlfn.IFS(Saisie!AZ91="OUI",1,Saisie!AZ91="NON",0)</f>
        <v>#N/A</v>
      </c>
      <c r="BK91" s="55" t="e">
        <f t="array" ref="BK91">_xlfn.IFS(Saisie!BA91="OUI",1,Saisie!BA91="NON",0)</f>
        <v>#N/A</v>
      </c>
      <c r="BL91" s="55">
        <f>Saisie!BB91</f>
        <v>0</v>
      </c>
      <c r="BM91" s="49" t="e">
        <f>Saisie!BC91</f>
        <v>#REF!</v>
      </c>
      <c r="BN91" s="175"/>
    </row>
    <row r="92" spans="1:66" s="176" customFormat="1" x14ac:dyDescent="0.45">
      <c r="A92" s="13">
        <v>86</v>
      </c>
      <c r="B92" s="150">
        <f>Saisie!B92</f>
        <v>0</v>
      </c>
      <c r="C92" s="150">
        <f>Saisie!C92</f>
        <v>0</v>
      </c>
      <c r="D92" s="150">
        <f>Saisie!D92</f>
        <v>0</v>
      </c>
      <c r="E92" s="150">
        <f>Saisie!E92</f>
        <v>0</v>
      </c>
      <c r="F92" s="150">
        <f>Saisie!F92</f>
        <v>0</v>
      </c>
      <c r="G92" s="150">
        <f>Saisie!G92</f>
        <v>0</v>
      </c>
      <c r="H92" s="150">
        <f>Saisie!I92</f>
        <v>0</v>
      </c>
      <c r="I92" s="150">
        <f>Saisie!J92</f>
        <v>0</v>
      </c>
      <c r="J92" s="150">
        <f>Saisie!K92</f>
        <v>0</v>
      </c>
      <c r="K92" s="150">
        <f>Saisie!L92</f>
        <v>0</v>
      </c>
      <c r="L92" s="150" t="e">
        <f>Saisie!#REF!</f>
        <v>#REF!</v>
      </c>
      <c r="M92" s="55" t="e">
        <f t="array" ref="M92">_xlfn.IFS(Saisie!M92="OUI",1,Saisie!M92="NON",0)</f>
        <v>#N/A</v>
      </c>
      <c r="N92" s="64" t="e">
        <f>Saisie!#REF!</f>
        <v>#REF!</v>
      </c>
      <c r="O92" s="63" t="e">
        <f>Saisie!#REF!</f>
        <v>#REF!</v>
      </c>
      <c r="P92" s="63">
        <f>Saisie!N92</f>
        <v>0</v>
      </c>
      <c r="Q92" s="63" t="e">
        <f t="array" ref="Q92">_xlfn.IFS(Saisie!#REF!="OUI",1,Saisie!#REF!="NON",0)</f>
        <v>#REF!</v>
      </c>
      <c r="R92" s="63" t="e">
        <f>Saisie!#REF!</f>
        <v>#REF!</v>
      </c>
      <c r="S92" s="65" t="e">
        <f>Saisie!#REF!</f>
        <v>#REF!</v>
      </c>
      <c r="T92" s="63" t="e">
        <f>Saisie!#REF!</f>
        <v>#REF!</v>
      </c>
      <c r="U92" s="63" t="e">
        <f>Saisie!#REF!</f>
        <v>#REF!</v>
      </c>
      <c r="V92" s="63" t="e">
        <f t="array" ref="V92">_xlfn.IFS(Saisie!#REF!="OUI",1,Saisie!#REF!="NON",0)</f>
        <v>#REF!</v>
      </c>
      <c r="W92" s="63" t="e">
        <f t="array" ref="W92">_xlfn.IFS(Saisie!O92="OUI",1,Saisie!O92="NON",0)</f>
        <v>#N/A</v>
      </c>
      <c r="X92" s="63">
        <f>Saisie!P92</f>
        <v>0</v>
      </c>
      <c r="Y92" s="299">
        <f>Saisie!H92</f>
        <v>0</v>
      </c>
      <c r="Z92" s="58" t="e">
        <f>Saisie!#REF!</f>
        <v>#REF!</v>
      </c>
      <c r="AA92" s="299">
        <f>Saisie!Q92</f>
        <v>0</v>
      </c>
      <c r="AB92" s="63" t="e">
        <f t="array" ref="AB92">_xlfn.IFS(Saisie!R92="OUI",1,Saisie!R92="NON",0)</f>
        <v>#N/A</v>
      </c>
      <c r="AC92" s="63">
        <f>Saisie!S92</f>
        <v>0</v>
      </c>
      <c r="AD92" s="63" t="e">
        <f t="array" ref="AD92">_xlfn.IFS(Saisie!T92="OUI",1,Saisie!T92="NON",0)</f>
        <v>#N/A</v>
      </c>
      <c r="AE92" s="171">
        <f>Saisie!U92</f>
        <v>0</v>
      </c>
      <c r="AF92" s="263">
        <v>3</v>
      </c>
      <c r="AG92" s="129">
        <f>Saisie!W92</f>
        <v>0</v>
      </c>
      <c r="AH92" s="20">
        <f>Saisie!X92</f>
        <v>0</v>
      </c>
      <c r="AI92" s="21">
        <f>Saisie!Y92</f>
        <v>0</v>
      </c>
      <c r="AJ92" s="59">
        <f>Saisie!Z92</f>
        <v>0</v>
      </c>
      <c r="AK92" s="20">
        <f>Saisie!AA92</f>
        <v>0</v>
      </c>
      <c r="AL92" s="21">
        <f>Saisie!AB92</f>
        <v>0</v>
      </c>
      <c r="AM92" s="59">
        <f>Saisie!AC92</f>
        <v>0</v>
      </c>
      <c r="AN92" s="20">
        <f>Saisie!AD92</f>
        <v>0</v>
      </c>
      <c r="AO92" s="21">
        <f>Saisie!AE92</f>
        <v>0</v>
      </c>
      <c r="AP92" s="59">
        <f>Saisie!AF92</f>
        <v>0</v>
      </c>
      <c r="AQ92" s="129" t="e">
        <f t="array" ref="AQ92">_xlfn.IFS(Saisie!AG92="OUI",1,Saisie!AG92="NON",0)</f>
        <v>#N/A</v>
      </c>
      <c r="AR92" s="129" t="e">
        <f t="array" ref="AR92">_xlfn.IFS(Saisie!AH92="OUI",1,Saisie!AH92="NON",0)</f>
        <v>#N/A</v>
      </c>
      <c r="AS92" s="171">
        <f>Saisie!AI92</f>
        <v>0</v>
      </c>
      <c r="AT92" s="263" t="e">
        <f t="array" ref="AT92">_xlfn.IFS(Saisie!AJ92="OUI",1,Saisie!AJ92="NON",0)</f>
        <v>#N/A</v>
      </c>
      <c r="AU92" s="173">
        <f>Saisie!AK92</f>
        <v>0</v>
      </c>
      <c r="AV92" s="263" t="e">
        <f t="array" ref="AV92">_xlfn.IFS(Saisie!AL92="OUI",1,Saisie!AL92="NON",0)</f>
        <v>#N/A</v>
      </c>
      <c r="AW92" s="171">
        <f>Saisie!AM92</f>
        <v>0</v>
      </c>
      <c r="AX92" s="68">
        <f>Saisie!AN92</f>
        <v>0</v>
      </c>
      <c r="AY92" s="20">
        <f>Saisie!AO92</f>
        <v>0</v>
      </c>
      <c r="AZ92" s="21">
        <f>Saisie!AP92</f>
        <v>0</v>
      </c>
      <c r="BA92" s="298">
        <f>Saisie!AQ92</f>
        <v>0</v>
      </c>
      <c r="BB92" s="170">
        <f>Saisie!AR92</f>
        <v>0</v>
      </c>
      <c r="BC92" s="174">
        <f>Saisie!AS92</f>
        <v>0</v>
      </c>
      <c r="BD92" s="61">
        <f>Saisie!AT92</f>
        <v>0</v>
      </c>
      <c r="BE92" s="175" t="e">
        <f t="array" ref="BE92">_xlfn.IFS(Saisie!AU92="OUI",1,Saisie!AU92="NON",0)</f>
        <v>#N/A</v>
      </c>
      <c r="BF92" s="267">
        <f>Saisie!AV92</f>
        <v>0</v>
      </c>
      <c r="BG92" s="55">
        <f>Saisie!AW92</f>
        <v>0</v>
      </c>
      <c r="BH92" s="55" t="e">
        <f t="array" ref="BH92">_xlfn.IFS(Saisie!AX92="OUI",1,Saisie!AX92="NON",0)</f>
        <v>#N/A</v>
      </c>
      <c r="BI92" s="62">
        <f>Saisie!AY92</f>
        <v>0</v>
      </c>
      <c r="BJ92" s="55" t="e">
        <f t="array" ref="BJ92">_xlfn.IFS(Saisie!AZ92="OUI",1,Saisie!AZ92="NON",0)</f>
        <v>#N/A</v>
      </c>
      <c r="BK92" s="55" t="e">
        <f t="array" ref="BK92">_xlfn.IFS(Saisie!BA92="OUI",1,Saisie!BA92="NON",0)</f>
        <v>#N/A</v>
      </c>
      <c r="BL92" s="55">
        <f>Saisie!BB92</f>
        <v>0</v>
      </c>
      <c r="BM92" s="49" t="e">
        <f>Saisie!BC92</f>
        <v>#REF!</v>
      </c>
      <c r="BN92" s="175"/>
    </row>
    <row r="93" spans="1:66" s="176" customFormat="1" x14ac:dyDescent="0.45">
      <c r="A93" s="13">
        <v>87</v>
      </c>
      <c r="B93" s="150">
        <f>Saisie!B93</f>
        <v>0</v>
      </c>
      <c r="C93" s="150">
        <f>Saisie!C93</f>
        <v>0</v>
      </c>
      <c r="D93" s="150">
        <f>Saisie!D93</f>
        <v>0</v>
      </c>
      <c r="E93" s="150">
        <f>Saisie!E93</f>
        <v>0</v>
      </c>
      <c r="F93" s="150">
        <f>Saisie!F93</f>
        <v>0</v>
      </c>
      <c r="G93" s="150">
        <f>Saisie!G93</f>
        <v>0</v>
      </c>
      <c r="H93" s="150">
        <f>Saisie!I93</f>
        <v>0</v>
      </c>
      <c r="I93" s="150">
        <f>Saisie!J93</f>
        <v>0</v>
      </c>
      <c r="J93" s="150">
        <f>Saisie!K93</f>
        <v>0</v>
      </c>
      <c r="K93" s="150">
        <f>Saisie!L93</f>
        <v>0</v>
      </c>
      <c r="L93" s="150" t="e">
        <f>Saisie!#REF!</f>
        <v>#REF!</v>
      </c>
      <c r="M93" s="55" t="e">
        <f t="array" ref="M93">_xlfn.IFS(Saisie!M93="OUI",1,Saisie!M93="NON",0)</f>
        <v>#N/A</v>
      </c>
      <c r="N93" s="64" t="e">
        <f>Saisie!#REF!</f>
        <v>#REF!</v>
      </c>
      <c r="O93" s="63" t="e">
        <f>Saisie!#REF!</f>
        <v>#REF!</v>
      </c>
      <c r="P93" s="63">
        <f>Saisie!N93</f>
        <v>0</v>
      </c>
      <c r="Q93" s="63" t="e">
        <f t="array" ref="Q93">_xlfn.IFS(Saisie!#REF!="OUI",1,Saisie!#REF!="NON",0)</f>
        <v>#REF!</v>
      </c>
      <c r="R93" s="63" t="e">
        <f>Saisie!#REF!</f>
        <v>#REF!</v>
      </c>
      <c r="S93" s="65" t="e">
        <f>Saisie!#REF!</f>
        <v>#REF!</v>
      </c>
      <c r="T93" s="63" t="e">
        <f>Saisie!#REF!</f>
        <v>#REF!</v>
      </c>
      <c r="U93" s="63" t="e">
        <f>Saisie!#REF!</f>
        <v>#REF!</v>
      </c>
      <c r="V93" s="63" t="e">
        <f t="array" ref="V93">_xlfn.IFS(Saisie!#REF!="OUI",1,Saisie!#REF!="NON",0)</f>
        <v>#REF!</v>
      </c>
      <c r="W93" s="63" t="e">
        <f t="array" ref="W93">_xlfn.IFS(Saisie!O93="OUI",1,Saisie!O93="NON",0)</f>
        <v>#N/A</v>
      </c>
      <c r="X93" s="63">
        <f>Saisie!P93</f>
        <v>0</v>
      </c>
      <c r="Y93" s="299">
        <f>Saisie!H93</f>
        <v>0</v>
      </c>
      <c r="Z93" s="58" t="e">
        <f>Saisie!#REF!</f>
        <v>#REF!</v>
      </c>
      <c r="AA93" s="299">
        <f>Saisie!Q93</f>
        <v>0</v>
      </c>
      <c r="AB93" s="63" t="e">
        <f t="array" ref="AB93">_xlfn.IFS(Saisie!R93="OUI",1,Saisie!R93="NON",0)</f>
        <v>#N/A</v>
      </c>
      <c r="AC93" s="63">
        <f>Saisie!S93</f>
        <v>0</v>
      </c>
      <c r="AD93" s="63" t="e">
        <f t="array" ref="AD93">_xlfn.IFS(Saisie!T93="OUI",1,Saisie!T93="NON",0)</f>
        <v>#N/A</v>
      </c>
      <c r="AE93" s="171">
        <f>Saisie!U93</f>
        <v>0</v>
      </c>
      <c r="AF93" s="263">
        <v>3</v>
      </c>
      <c r="AG93" s="129">
        <f>Saisie!W93</f>
        <v>0</v>
      </c>
      <c r="AH93" s="20">
        <f>Saisie!X93</f>
        <v>0</v>
      </c>
      <c r="AI93" s="21">
        <f>Saisie!Y93</f>
        <v>0</v>
      </c>
      <c r="AJ93" s="59">
        <f>Saisie!Z93</f>
        <v>0</v>
      </c>
      <c r="AK93" s="20">
        <f>Saisie!AA93</f>
        <v>0</v>
      </c>
      <c r="AL93" s="21">
        <f>Saisie!AB93</f>
        <v>0</v>
      </c>
      <c r="AM93" s="59">
        <f>Saisie!AC93</f>
        <v>0</v>
      </c>
      <c r="AN93" s="20">
        <f>Saisie!AD93</f>
        <v>0</v>
      </c>
      <c r="AO93" s="21">
        <f>Saisie!AE93</f>
        <v>0</v>
      </c>
      <c r="AP93" s="59">
        <f>Saisie!AF93</f>
        <v>0</v>
      </c>
      <c r="AQ93" s="129" t="e">
        <f t="array" ref="AQ93">_xlfn.IFS(Saisie!AG93="OUI",1,Saisie!AG93="NON",0)</f>
        <v>#N/A</v>
      </c>
      <c r="AR93" s="129" t="e">
        <f t="array" ref="AR93">_xlfn.IFS(Saisie!AH93="OUI",1,Saisie!AH93="NON",0)</f>
        <v>#N/A</v>
      </c>
      <c r="AS93" s="171">
        <f>Saisie!AI93</f>
        <v>0</v>
      </c>
      <c r="AT93" s="263" t="e">
        <f t="array" ref="AT93">_xlfn.IFS(Saisie!AJ93="OUI",1,Saisie!AJ93="NON",0)</f>
        <v>#N/A</v>
      </c>
      <c r="AU93" s="173">
        <f>Saisie!AK93</f>
        <v>0</v>
      </c>
      <c r="AV93" s="263" t="e">
        <f t="array" ref="AV93">_xlfn.IFS(Saisie!AL93="OUI",1,Saisie!AL93="NON",0)</f>
        <v>#N/A</v>
      </c>
      <c r="AW93" s="171">
        <f>Saisie!AM93</f>
        <v>0</v>
      </c>
      <c r="AX93" s="68">
        <f>Saisie!AN93</f>
        <v>0</v>
      </c>
      <c r="AY93" s="20">
        <f>Saisie!AO93</f>
        <v>0</v>
      </c>
      <c r="AZ93" s="21">
        <f>Saisie!AP93</f>
        <v>0</v>
      </c>
      <c r="BA93" s="298">
        <f>Saisie!AQ93</f>
        <v>0</v>
      </c>
      <c r="BB93" s="170">
        <f>Saisie!AR93</f>
        <v>0</v>
      </c>
      <c r="BC93" s="174">
        <f>Saisie!AS93</f>
        <v>0</v>
      </c>
      <c r="BD93" s="61">
        <f>Saisie!AT93</f>
        <v>0</v>
      </c>
      <c r="BE93" s="175" t="e">
        <f t="array" ref="BE93">_xlfn.IFS(Saisie!AU93="OUI",1,Saisie!AU93="NON",0)</f>
        <v>#N/A</v>
      </c>
      <c r="BF93" s="267">
        <f>Saisie!AV93</f>
        <v>0</v>
      </c>
      <c r="BG93" s="55">
        <f>Saisie!AW93</f>
        <v>0</v>
      </c>
      <c r="BH93" s="55" t="e">
        <f t="array" ref="BH93">_xlfn.IFS(Saisie!AX93="OUI",1,Saisie!AX93="NON",0)</f>
        <v>#N/A</v>
      </c>
      <c r="BI93" s="62">
        <f>Saisie!AY93</f>
        <v>0</v>
      </c>
      <c r="BJ93" s="55" t="e">
        <f t="array" ref="BJ93">_xlfn.IFS(Saisie!AZ93="OUI",1,Saisie!AZ93="NON",0)</f>
        <v>#N/A</v>
      </c>
      <c r="BK93" s="55" t="e">
        <f t="array" ref="BK93">_xlfn.IFS(Saisie!BA93="OUI",1,Saisie!BA93="NON",0)</f>
        <v>#N/A</v>
      </c>
      <c r="BL93" s="55">
        <f>Saisie!BB93</f>
        <v>0</v>
      </c>
      <c r="BM93" s="49" t="e">
        <f>Saisie!BC93</f>
        <v>#REF!</v>
      </c>
      <c r="BN93" s="175"/>
    </row>
    <row r="94" spans="1:66" s="176" customFormat="1" x14ac:dyDescent="0.45">
      <c r="A94" s="12">
        <v>88</v>
      </c>
      <c r="B94" s="150">
        <f>Saisie!B94</f>
        <v>0</v>
      </c>
      <c r="C94" s="150">
        <f>Saisie!C94</f>
        <v>0</v>
      </c>
      <c r="D94" s="150">
        <f>Saisie!D94</f>
        <v>0</v>
      </c>
      <c r="E94" s="150">
        <f>Saisie!E94</f>
        <v>0</v>
      </c>
      <c r="F94" s="150">
        <f>Saisie!F94</f>
        <v>0</v>
      </c>
      <c r="G94" s="150">
        <f>Saisie!G94</f>
        <v>0</v>
      </c>
      <c r="H94" s="150">
        <f>Saisie!I94</f>
        <v>0</v>
      </c>
      <c r="I94" s="150">
        <f>Saisie!J94</f>
        <v>0</v>
      </c>
      <c r="J94" s="150">
        <f>Saisie!K94</f>
        <v>0</v>
      </c>
      <c r="K94" s="150">
        <f>Saisie!L94</f>
        <v>0</v>
      </c>
      <c r="L94" s="150" t="e">
        <f>Saisie!#REF!</f>
        <v>#REF!</v>
      </c>
      <c r="M94" s="55" t="e">
        <f t="array" ref="M94">_xlfn.IFS(Saisie!M94="OUI",1,Saisie!M94="NON",0)</f>
        <v>#N/A</v>
      </c>
      <c r="N94" s="64" t="e">
        <f>Saisie!#REF!</f>
        <v>#REF!</v>
      </c>
      <c r="O94" s="63" t="e">
        <f>Saisie!#REF!</f>
        <v>#REF!</v>
      </c>
      <c r="P94" s="63">
        <f>Saisie!N94</f>
        <v>0</v>
      </c>
      <c r="Q94" s="63" t="e">
        <f t="array" ref="Q94">_xlfn.IFS(Saisie!#REF!="OUI",1,Saisie!#REF!="NON",0)</f>
        <v>#REF!</v>
      </c>
      <c r="R94" s="63" t="e">
        <f>Saisie!#REF!</f>
        <v>#REF!</v>
      </c>
      <c r="S94" s="65" t="e">
        <f>Saisie!#REF!</f>
        <v>#REF!</v>
      </c>
      <c r="T94" s="63" t="e">
        <f>Saisie!#REF!</f>
        <v>#REF!</v>
      </c>
      <c r="U94" s="63" t="e">
        <f>Saisie!#REF!</f>
        <v>#REF!</v>
      </c>
      <c r="V94" s="63" t="e">
        <f t="array" ref="V94">_xlfn.IFS(Saisie!#REF!="OUI",1,Saisie!#REF!="NON",0)</f>
        <v>#REF!</v>
      </c>
      <c r="W94" s="63" t="e">
        <f t="array" ref="W94">_xlfn.IFS(Saisie!O94="OUI",1,Saisie!O94="NON",0)</f>
        <v>#N/A</v>
      </c>
      <c r="X94" s="63">
        <f>Saisie!P94</f>
        <v>0</v>
      </c>
      <c r="Y94" s="299">
        <f>Saisie!H94</f>
        <v>0</v>
      </c>
      <c r="Z94" s="58" t="e">
        <f>Saisie!#REF!</f>
        <v>#REF!</v>
      </c>
      <c r="AA94" s="299">
        <f>Saisie!Q94</f>
        <v>0</v>
      </c>
      <c r="AB94" s="63" t="e">
        <f t="array" ref="AB94">_xlfn.IFS(Saisie!R94="OUI",1,Saisie!R94="NON",0)</f>
        <v>#N/A</v>
      </c>
      <c r="AC94" s="63">
        <f>Saisie!S94</f>
        <v>0</v>
      </c>
      <c r="AD94" s="63" t="e">
        <f t="array" ref="AD94">_xlfn.IFS(Saisie!T94="OUI",1,Saisie!T94="NON",0)</f>
        <v>#N/A</v>
      </c>
      <c r="AE94" s="171">
        <f>Saisie!U94</f>
        <v>0</v>
      </c>
      <c r="AF94" s="263">
        <v>3</v>
      </c>
      <c r="AG94" s="129">
        <f>Saisie!W94</f>
        <v>0</v>
      </c>
      <c r="AH94" s="20">
        <f>Saisie!X94</f>
        <v>0</v>
      </c>
      <c r="AI94" s="21">
        <f>Saisie!Y94</f>
        <v>0</v>
      </c>
      <c r="AJ94" s="59">
        <f>Saisie!Z94</f>
        <v>0</v>
      </c>
      <c r="AK94" s="20">
        <f>Saisie!AA94</f>
        <v>0</v>
      </c>
      <c r="AL94" s="21">
        <f>Saisie!AB94</f>
        <v>0</v>
      </c>
      <c r="AM94" s="59">
        <f>Saisie!AC94</f>
        <v>0</v>
      </c>
      <c r="AN94" s="20">
        <f>Saisie!AD94</f>
        <v>0</v>
      </c>
      <c r="AO94" s="21">
        <f>Saisie!AE94</f>
        <v>0</v>
      </c>
      <c r="AP94" s="59">
        <f>Saisie!AF94</f>
        <v>0</v>
      </c>
      <c r="AQ94" s="129" t="e">
        <f t="array" ref="AQ94">_xlfn.IFS(Saisie!AG94="OUI",1,Saisie!AG94="NON",0)</f>
        <v>#N/A</v>
      </c>
      <c r="AR94" s="129" t="e">
        <f t="array" ref="AR94">_xlfn.IFS(Saisie!AH94="OUI",1,Saisie!AH94="NON",0)</f>
        <v>#N/A</v>
      </c>
      <c r="AS94" s="171">
        <f>Saisie!AI94</f>
        <v>0</v>
      </c>
      <c r="AT94" s="263" t="e">
        <f t="array" ref="AT94">_xlfn.IFS(Saisie!AJ94="OUI",1,Saisie!AJ94="NON",0)</f>
        <v>#N/A</v>
      </c>
      <c r="AU94" s="173">
        <f>Saisie!AK94</f>
        <v>0</v>
      </c>
      <c r="AV94" s="263" t="e">
        <f t="array" ref="AV94">_xlfn.IFS(Saisie!AL94="OUI",1,Saisie!AL94="NON",0)</f>
        <v>#N/A</v>
      </c>
      <c r="AW94" s="171">
        <f>Saisie!AM94</f>
        <v>0</v>
      </c>
      <c r="AX94" s="68">
        <f>Saisie!AN94</f>
        <v>0</v>
      </c>
      <c r="AY94" s="20">
        <f>Saisie!AO94</f>
        <v>0</v>
      </c>
      <c r="AZ94" s="21">
        <f>Saisie!AP94</f>
        <v>0</v>
      </c>
      <c r="BA94" s="298">
        <f>Saisie!AQ94</f>
        <v>0</v>
      </c>
      <c r="BB94" s="170">
        <f>Saisie!AR94</f>
        <v>0</v>
      </c>
      <c r="BC94" s="174">
        <f>Saisie!AS94</f>
        <v>0</v>
      </c>
      <c r="BD94" s="61">
        <f>Saisie!AT94</f>
        <v>0</v>
      </c>
      <c r="BE94" s="175" t="e">
        <f t="array" ref="BE94">_xlfn.IFS(Saisie!AU94="OUI",1,Saisie!AU94="NON",0)</f>
        <v>#N/A</v>
      </c>
      <c r="BF94" s="267">
        <f>Saisie!AV94</f>
        <v>0</v>
      </c>
      <c r="BG94" s="55">
        <f>Saisie!AW94</f>
        <v>0</v>
      </c>
      <c r="BH94" s="55" t="e">
        <f t="array" ref="BH94">_xlfn.IFS(Saisie!AX94="OUI",1,Saisie!AX94="NON",0)</f>
        <v>#N/A</v>
      </c>
      <c r="BI94" s="62">
        <f>Saisie!AY94</f>
        <v>0</v>
      </c>
      <c r="BJ94" s="55" t="e">
        <f t="array" ref="BJ94">_xlfn.IFS(Saisie!AZ94="OUI",1,Saisie!AZ94="NON",0)</f>
        <v>#N/A</v>
      </c>
      <c r="BK94" s="55" t="e">
        <f t="array" ref="BK94">_xlfn.IFS(Saisie!BA94="OUI",1,Saisie!BA94="NON",0)</f>
        <v>#N/A</v>
      </c>
      <c r="BL94" s="55">
        <f>Saisie!BB94</f>
        <v>0</v>
      </c>
      <c r="BM94" s="49" t="e">
        <f>Saisie!BC94</f>
        <v>#REF!</v>
      </c>
      <c r="BN94" s="175"/>
    </row>
    <row r="95" spans="1:66" s="176" customFormat="1" x14ac:dyDescent="0.45">
      <c r="A95" s="13">
        <v>89</v>
      </c>
      <c r="B95" s="150">
        <f>Saisie!B95</f>
        <v>0</v>
      </c>
      <c r="C95" s="150">
        <f>Saisie!C95</f>
        <v>0</v>
      </c>
      <c r="D95" s="150">
        <f>Saisie!D95</f>
        <v>0</v>
      </c>
      <c r="E95" s="150">
        <f>Saisie!E95</f>
        <v>0</v>
      </c>
      <c r="F95" s="150">
        <f>Saisie!F95</f>
        <v>0</v>
      </c>
      <c r="G95" s="150">
        <f>Saisie!G95</f>
        <v>0</v>
      </c>
      <c r="H95" s="150">
        <f>Saisie!I95</f>
        <v>0</v>
      </c>
      <c r="I95" s="150">
        <f>Saisie!J95</f>
        <v>0</v>
      </c>
      <c r="J95" s="150">
        <f>Saisie!K95</f>
        <v>0</v>
      </c>
      <c r="K95" s="150">
        <f>Saisie!L95</f>
        <v>0</v>
      </c>
      <c r="L95" s="150" t="e">
        <f>Saisie!#REF!</f>
        <v>#REF!</v>
      </c>
      <c r="M95" s="55" t="e">
        <f t="array" ref="M95">_xlfn.IFS(Saisie!M95="OUI",1,Saisie!M95="NON",0)</f>
        <v>#N/A</v>
      </c>
      <c r="N95" s="64" t="e">
        <f>Saisie!#REF!</f>
        <v>#REF!</v>
      </c>
      <c r="O95" s="63" t="e">
        <f>Saisie!#REF!</f>
        <v>#REF!</v>
      </c>
      <c r="P95" s="63">
        <f>Saisie!N95</f>
        <v>0</v>
      </c>
      <c r="Q95" s="63" t="e">
        <f t="array" ref="Q95">_xlfn.IFS(Saisie!#REF!="OUI",1,Saisie!#REF!="NON",0)</f>
        <v>#REF!</v>
      </c>
      <c r="R95" s="63" t="e">
        <f>Saisie!#REF!</f>
        <v>#REF!</v>
      </c>
      <c r="S95" s="65" t="e">
        <f>Saisie!#REF!</f>
        <v>#REF!</v>
      </c>
      <c r="T95" s="63" t="e">
        <f>Saisie!#REF!</f>
        <v>#REF!</v>
      </c>
      <c r="U95" s="63" t="e">
        <f>Saisie!#REF!</f>
        <v>#REF!</v>
      </c>
      <c r="V95" s="63" t="e">
        <f t="array" ref="V95">_xlfn.IFS(Saisie!#REF!="OUI",1,Saisie!#REF!="NON",0)</f>
        <v>#REF!</v>
      </c>
      <c r="W95" s="63" t="e">
        <f t="array" ref="W95">_xlfn.IFS(Saisie!O95="OUI",1,Saisie!O95="NON",0)</f>
        <v>#N/A</v>
      </c>
      <c r="X95" s="63">
        <f>Saisie!P95</f>
        <v>0</v>
      </c>
      <c r="Y95" s="299">
        <f>Saisie!H95</f>
        <v>0</v>
      </c>
      <c r="Z95" s="58" t="e">
        <f>Saisie!#REF!</f>
        <v>#REF!</v>
      </c>
      <c r="AA95" s="299">
        <f>Saisie!Q95</f>
        <v>0</v>
      </c>
      <c r="AB95" s="63" t="e">
        <f t="array" ref="AB95">_xlfn.IFS(Saisie!R95="OUI",1,Saisie!R95="NON",0)</f>
        <v>#N/A</v>
      </c>
      <c r="AC95" s="63">
        <f>Saisie!S95</f>
        <v>0</v>
      </c>
      <c r="AD95" s="63" t="e">
        <f t="array" ref="AD95">_xlfn.IFS(Saisie!T95="OUI",1,Saisie!T95="NON",0)</f>
        <v>#N/A</v>
      </c>
      <c r="AE95" s="171">
        <f>Saisie!U95</f>
        <v>0</v>
      </c>
      <c r="AF95" s="263">
        <v>3</v>
      </c>
      <c r="AG95" s="129">
        <f>Saisie!W95</f>
        <v>0</v>
      </c>
      <c r="AH95" s="20">
        <f>Saisie!X95</f>
        <v>0</v>
      </c>
      <c r="AI95" s="21">
        <f>Saisie!Y95</f>
        <v>0</v>
      </c>
      <c r="AJ95" s="59">
        <f>Saisie!Z95</f>
        <v>0</v>
      </c>
      <c r="AK95" s="20">
        <f>Saisie!AA95</f>
        <v>0</v>
      </c>
      <c r="AL95" s="21">
        <f>Saisie!AB95</f>
        <v>0</v>
      </c>
      <c r="AM95" s="59">
        <f>Saisie!AC95</f>
        <v>0</v>
      </c>
      <c r="AN95" s="20">
        <f>Saisie!AD95</f>
        <v>0</v>
      </c>
      <c r="AO95" s="21">
        <f>Saisie!AE95</f>
        <v>0</v>
      </c>
      <c r="AP95" s="59">
        <f>Saisie!AF95</f>
        <v>0</v>
      </c>
      <c r="AQ95" s="129" t="e">
        <f t="array" ref="AQ95">_xlfn.IFS(Saisie!AG95="OUI",1,Saisie!AG95="NON",0)</f>
        <v>#N/A</v>
      </c>
      <c r="AR95" s="129" t="e">
        <f t="array" ref="AR95">_xlfn.IFS(Saisie!AH95="OUI",1,Saisie!AH95="NON",0)</f>
        <v>#N/A</v>
      </c>
      <c r="AS95" s="171">
        <f>Saisie!AI95</f>
        <v>0</v>
      </c>
      <c r="AT95" s="263" t="e">
        <f t="array" ref="AT95">_xlfn.IFS(Saisie!AJ95="OUI",1,Saisie!AJ95="NON",0)</f>
        <v>#N/A</v>
      </c>
      <c r="AU95" s="173">
        <f>Saisie!AK95</f>
        <v>0</v>
      </c>
      <c r="AV95" s="263" t="e">
        <f t="array" ref="AV95">_xlfn.IFS(Saisie!AL95="OUI",1,Saisie!AL95="NON",0)</f>
        <v>#N/A</v>
      </c>
      <c r="AW95" s="171">
        <f>Saisie!AM95</f>
        <v>0</v>
      </c>
      <c r="AX95" s="68">
        <f>Saisie!AN95</f>
        <v>0</v>
      </c>
      <c r="AY95" s="20">
        <f>Saisie!AO95</f>
        <v>0</v>
      </c>
      <c r="AZ95" s="21">
        <f>Saisie!AP95</f>
        <v>0</v>
      </c>
      <c r="BA95" s="298">
        <f>Saisie!AQ95</f>
        <v>0</v>
      </c>
      <c r="BB95" s="170">
        <f>Saisie!AR95</f>
        <v>0</v>
      </c>
      <c r="BC95" s="174">
        <f>Saisie!AS95</f>
        <v>0</v>
      </c>
      <c r="BD95" s="61">
        <f>Saisie!AT95</f>
        <v>0</v>
      </c>
      <c r="BE95" s="175" t="e">
        <f t="array" ref="BE95">_xlfn.IFS(Saisie!AU95="OUI",1,Saisie!AU95="NON",0)</f>
        <v>#N/A</v>
      </c>
      <c r="BF95" s="267">
        <f>Saisie!AV95</f>
        <v>0</v>
      </c>
      <c r="BG95" s="55">
        <f>Saisie!AW95</f>
        <v>0</v>
      </c>
      <c r="BH95" s="55" t="e">
        <f t="array" ref="BH95">_xlfn.IFS(Saisie!AX95="OUI",1,Saisie!AX95="NON",0)</f>
        <v>#N/A</v>
      </c>
      <c r="BI95" s="62">
        <f>Saisie!AY95</f>
        <v>0</v>
      </c>
      <c r="BJ95" s="55" t="e">
        <f t="array" ref="BJ95">_xlfn.IFS(Saisie!AZ95="OUI",1,Saisie!AZ95="NON",0)</f>
        <v>#N/A</v>
      </c>
      <c r="BK95" s="55" t="e">
        <f t="array" ref="BK95">_xlfn.IFS(Saisie!BA95="OUI",1,Saisie!BA95="NON",0)</f>
        <v>#N/A</v>
      </c>
      <c r="BL95" s="55">
        <f>Saisie!BB95</f>
        <v>0</v>
      </c>
      <c r="BM95" s="49" t="e">
        <f>Saisie!BC95</f>
        <v>#REF!</v>
      </c>
      <c r="BN95" s="175"/>
    </row>
    <row r="96" spans="1:66" s="176" customFormat="1" x14ac:dyDescent="0.45">
      <c r="A96" s="13">
        <v>90</v>
      </c>
      <c r="B96" s="150">
        <f>Saisie!B96</f>
        <v>0</v>
      </c>
      <c r="C96" s="150">
        <f>Saisie!C96</f>
        <v>0</v>
      </c>
      <c r="D96" s="150">
        <f>Saisie!D96</f>
        <v>0</v>
      </c>
      <c r="E96" s="150">
        <f>Saisie!E96</f>
        <v>0</v>
      </c>
      <c r="F96" s="150">
        <f>Saisie!F96</f>
        <v>0</v>
      </c>
      <c r="G96" s="150">
        <f>Saisie!G96</f>
        <v>0</v>
      </c>
      <c r="H96" s="150">
        <f>Saisie!I96</f>
        <v>0</v>
      </c>
      <c r="I96" s="150">
        <f>Saisie!J96</f>
        <v>0</v>
      </c>
      <c r="J96" s="150">
        <f>Saisie!K96</f>
        <v>0</v>
      </c>
      <c r="K96" s="150">
        <f>Saisie!L96</f>
        <v>0</v>
      </c>
      <c r="L96" s="150" t="e">
        <f>Saisie!#REF!</f>
        <v>#REF!</v>
      </c>
      <c r="M96" s="55" t="e">
        <f t="array" ref="M96">_xlfn.IFS(Saisie!M96="OUI",1,Saisie!M96="NON",0)</f>
        <v>#N/A</v>
      </c>
      <c r="N96" s="64" t="e">
        <f>Saisie!#REF!</f>
        <v>#REF!</v>
      </c>
      <c r="O96" s="63" t="e">
        <f>Saisie!#REF!</f>
        <v>#REF!</v>
      </c>
      <c r="P96" s="63">
        <f>Saisie!N96</f>
        <v>0</v>
      </c>
      <c r="Q96" s="63" t="e">
        <f t="array" ref="Q96">_xlfn.IFS(Saisie!#REF!="OUI",1,Saisie!#REF!="NON",0)</f>
        <v>#REF!</v>
      </c>
      <c r="R96" s="63" t="e">
        <f>Saisie!#REF!</f>
        <v>#REF!</v>
      </c>
      <c r="S96" s="65" t="e">
        <f>Saisie!#REF!</f>
        <v>#REF!</v>
      </c>
      <c r="T96" s="63" t="e">
        <f>Saisie!#REF!</f>
        <v>#REF!</v>
      </c>
      <c r="U96" s="63" t="e">
        <f>Saisie!#REF!</f>
        <v>#REF!</v>
      </c>
      <c r="V96" s="63" t="e">
        <f t="array" ref="V96">_xlfn.IFS(Saisie!#REF!="OUI",1,Saisie!#REF!="NON",0)</f>
        <v>#REF!</v>
      </c>
      <c r="W96" s="63" t="e">
        <f t="array" ref="W96">_xlfn.IFS(Saisie!O96="OUI",1,Saisie!O96="NON",0)</f>
        <v>#N/A</v>
      </c>
      <c r="X96" s="63">
        <f>Saisie!P96</f>
        <v>0</v>
      </c>
      <c r="Y96" s="299">
        <f>Saisie!H96</f>
        <v>0</v>
      </c>
      <c r="Z96" s="58" t="e">
        <f>Saisie!#REF!</f>
        <v>#REF!</v>
      </c>
      <c r="AA96" s="299">
        <f>Saisie!Q96</f>
        <v>0</v>
      </c>
      <c r="AB96" s="63" t="e">
        <f t="array" ref="AB96">_xlfn.IFS(Saisie!R96="OUI",1,Saisie!R96="NON",0)</f>
        <v>#N/A</v>
      </c>
      <c r="AC96" s="63">
        <f>Saisie!S96</f>
        <v>0</v>
      </c>
      <c r="AD96" s="63" t="e">
        <f t="array" ref="AD96">_xlfn.IFS(Saisie!T96="OUI",1,Saisie!T96="NON",0)</f>
        <v>#N/A</v>
      </c>
      <c r="AE96" s="171">
        <f>Saisie!U96</f>
        <v>0</v>
      </c>
      <c r="AF96" s="263">
        <v>3</v>
      </c>
      <c r="AG96" s="129">
        <f>Saisie!W96</f>
        <v>0</v>
      </c>
      <c r="AH96" s="20">
        <f>Saisie!X96</f>
        <v>0</v>
      </c>
      <c r="AI96" s="21">
        <f>Saisie!Y96</f>
        <v>0</v>
      </c>
      <c r="AJ96" s="59">
        <f>Saisie!Z96</f>
        <v>0</v>
      </c>
      <c r="AK96" s="20">
        <f>Saisie!AA96</f>
        <v>0</v>
      </c>
      <c r="AL96" s="21">
        <f>Saisie!AB96</f>
        <v>0</v>
      </c>
      <c r="AM96" s="59">
        <f>Saisie!AC96</f>
        <v>0</v>
      </c>
      <c r="AN96" s="20">
        <f>Saisie!AD96</f>
        <v>0</v>
      </c>
      <c r="AO96" s="21">
        <f>Saisie!AE96</f>
        <v>0</v>
      </c>
      <c r="AP96" s="59">
        <f>Saisie!AF96</f>
        <v>0</v>
      </c>
      <c r="AQ96" s="129" t="e">
        <f t="array" ref="AQ96">_xlfn.IFS(Saisie!AG96="OUI",1,Saisie!AG96="NON",0)</f>
        <v>#N/A</v>
      </c>
      <c r="AR96" s="129" t="e">
        <f t="array" ref="AR96">_xlfn.IFS(Saisie!AH96="OUI",1,Saisie!AH96="NON",0)</f>
        <v>#N/A</v>
      </c>
      <c r="AS96" s="171">
        <f>Saisie!AI96</f>
        <v>0</v>
      </c>
      <c r="AT96" s="263" t="e">
        <f t="array" ref="AT96">_xlfn.IFS(Saisie!AJ96="OUI",1,Saisie!AJ96="NON",0)</f>
        <v>#N/A</v>
      </c>
      <c r="AU96" s="173">
        <f>Saisie!AK96</f>
        <v>0</v>
      </c>
      <c r="AV96" s="263" t="e">
        <f t="array" ref="AV96">_xlfn.IFS(Saisie!AL96="OUI",1,Saisie!AL96="NON",0)</f>
        <v>#N/A</v>
      </c>
      <c r="AW96" s="171">
        <f>Saisie!AM96</f>
        <v>0</v>
      </c>
      <c r="AX96" s="68">
        <f>Saisie!AN96</f>
        <v>0</v>
      </c>
      <c r="AY96" s="20">
        <f>Saisie!AO96</f>
        <v>0</v>
      </c>
      <c r="AZ96" s="21">
        <f>Saisie!AP96</f>
        <v>0</v>
      </c>
      <c r="BA96" s="298">
        <f>Saisie!AQ96</f>
        <v>0</v>
      </c>
      <c r="BB96" s="170">
        <f>Saisie!AR96</f>
        <v>0</v>
      </c>
      <c r="BC96" s="174">
        <f>Saisie!AS96</f>
        <v>0</v>
      </c>
      <c r="BD96" s="61">
        <f>Saisie!AT96</f>
        <v>0</v>
      </c>
      <c r="BE96" s="175" t="e">
        <f t="array" ref="BE96">_xlfn.IFS(Saisie!AU96="OUI",1,Saisie!AU96="NON",0)</f>
        <v>#N/A</v>
      </c>
      <c r="BF96" s="267">
        <f>Saisie!AV96</f>
        <v>0</v>
      </c>
      <c r="BG96" s="55">
        <f>Saisie!AW96</f>
        <v>0</v>
      </c>
      <c r="BH96" s="55" t="e">
        <f t="array" ref="BH96">_xlfn.IFS(Saisie!AX96="OUI",1,Saisie!AX96="NON",0)</f>
        <v>#N/A</v>
      </c>
      <c r="BI96" s="62">
        <f>Saisie!AY96</f>
        <v>0</v>
      </c>
      <c r="BJ96" s="55" t="e">
        <f t="array" ref="BJ96">_xlfn.IFS(Saisie!AZ96="OUI",1,Saisie!AZ96="NON",0)</f>
        <v>#N/A</v>
      </c>
      <c r="BK96" s="55" t="e">
        <f t="array" ref="BK96">_xlfn.IFS(Saisie!BA96="OUI",1,Saisie!BA96="NON",0)</f>
        <v>#N/A</v>
      </c>
      <c r="BL96" s="55">
        <f>Saisie!BB96</f>
        <v>0</v>
      </c>
      <c r="BM96" s="49" t="e">
        <f>Saisie!BC96</f>
        <v>#REF!</v>
      </c>
      <c r="BN96" s="175"/>
    </row>
    <row r="97" spans="1:66" s="176" customFormat="1" x14ac:dyDescent="0.45">
      <c r="A97" s="12">
        <v>91</v>
      </c>
      <c r="B97" s="150">
        <f>Saisie!B97</f>
        <v>0</v>
      </c>
      <c r="C97" s="150">
        <f>Saisie!C97</f>
        <v>0</v>
      </c>
      <c r="D97" s="150">
        <f>Saisie!D97</f>
        <v>0</v>
      </c>
      <c r="E97" s="150">
        <f>Saisie!E97</f>
        <v>0</v>
      </c>
      <c r="F97" s="150">
        <f>Saisie!F97</f>
        <v>0</v>
      </c>
      <c r="G97" s="150">
        <f>Saisie!G97</f>
        <v>0</v>
      </c>
      <c r="H97" s="150">
        <f>Saisie!I97</f>
        <v>0</v>
      </c>
      <c r="I97" s="150">
        <f>Saisie!J97</f>
        <v>0</v>
      </c>
      <c r="J97" s="150">
        <f>Saisie!K97</f>
        <v>0</v>
      </c>
      <c r="K97" s="150">
        <f>Saisie!L97</f>
        <v>0</v>
      </c>
      <c r="L97" s="150" t="e">
        <f>Saisie!#REF!</f>
        <v>#REF!</v>
      </c>
      <c r="M97" s="55" t="e">
        <f t="array" ref="M97">_xlfn.IFS(Saisie!M97="OUI",1,Saisie!M97="NON",0)</f>
        <v>#N/A</v>
      </c>
      <c r="N97" s="64" t="e">
        <f>Saisie!#REF!</f>
        <v>#REF!</v>
      </c>
      <c r="O97" s="63" t="e">
        <f>Saisie!#REF!</f>
        <v>#REF!</v>
      </c>
      <c r="P97" s="63">
        <f>Saisie!N97</f>
        <v>0</v>
      </c>
      <c r="Q97" s="63" t="e">
        <f t="array" ref="Q97">_xlfn.IFS(Saisie!#REF!="OUI",1,Saisie!#REF!="NON",0)</f>
        <v>#REF!</v>
      </c>
      <c r="R97" s="63" t="e">
        <f>Saisie!#REF!</f>
        <v>#REF!</v>
      </c>
      <c r="S97" s="65" t="e">
        <f>Saisie!#REF!</f>
        <v>#REF!</v>
      </c>
      <c r="T97" s="63" t="e">
        <f>Saisie!#REF!</f>
        <v>#REF!</v>
      </c>
      <c r="U97" s="63" t="e">
        <f>Saisie!#REF!</f>
        <v>#REF!</v>
      </c>
      <c r="V97" s="63" t="e">
        <f t="array" ref="V97">_xlfn.IFS(Saisie!#REF!="OUI",1,Saisie!#REF!="NON",0)</f>
        <v>#REF!</v>
      </c>
      <c r="W97" s="63" t="e">
        <f t="array" ref="W97">_xlfn.IFS(Saisie!O97="OUI",1,Saisie!O97="NON",0)</f>
        <v>#N/A</v>
      </c>
      <c r="X97" s="63">
        <f>Saisie!P97</f>
        <v>0</v>
      </c>
      <c r="Y97" s="299">
        <f>Saisie!H97</f>
        <v>0</v>
      </c>
      <c r="Z97" s="58" t="e">
        <f>Saisie!#REF!</f>
        <v>#REF!</v>
      </c>
      <c r="AA97" s="299">
        <f>Saisie!Q97</f>
        <v>0</v>
      </c>
      <c r="AB97" s="63" t="e">
        <f t="array" ref="AB97">_xlfn.IFS(Saisie!R97="OUI",1,Saisie!R97="NON",0)</f>
        <v>#N/A</v>
      </c>
      <c r="AC97" s="63">
        <f>Saisie!S97</f>
        <v>0</v>
      </c>
      <c r="AD97" s="63" t="e">
        <f t="array" ref="AD97">_xlfn.IFS(Saisie!T97="OUI",1,Saisie!T97="NON",0)</f>
        <v>#N/A</v>
      </c>
      <c r="AE97" s="171">
        <f>Saisie!U97</f>
        <v>0</v>
      </c>
      <c r="AF97" s="263">
        <v>3</v>
      </c>
      <c r="AG97" s="129">
        <f>Saisie!W97</f>
        <v>0</v>
      </c>
      <c r="AH97" s="20">
        <f>Saisie!X97</f>
        <v>0</v>
      </c>
      <c r="AI97" s="21">
        <f>Saisie!Y97</f>
        <v>0</v>
      </c>
      <c r="AJ97" s="59">
        <f>Saisie!Z97</f>
        <v>0</v>
      </c>
      <c r="AK97" s="20">
        <f>Saisie!AA97</f>
        <v>0</v>
      </c>
      <c r="AL97" s="21">
        <f>Saisie!AB97</f>
        <v>0</v>
      </c>
      <c r="AM97" s="59">
        <f>Saisie!AC97</f>
        <v>0</v>
      </c>
      <c r="AN97" s="20">
        <f>Saisie!AD97</f>
        <v>0</v>
      </c>
      <c r="AO97" s="21">
        <f>Saisie!AE97</f>
        <v>0</v>
      </c>
      <c r="AP97" s="59">
        <f>Saisie!AF97</f>
        <v>0</v>
      </c>
      <c r="AQ97" s="129" t="e">
        <f t="array" ref="AQ97">_xlfn.IFS(Saisie!AG97="OUI",1,Saisie!AG97="NON",0)</f>
        <v>#N/A</v>
      </c>
      <c r="AR97" s="129" t="e">
        <f t="array" ref="AR97">_xlfn.IFS(Saisie!AH97="OUI",1,Saisie!AH97="NON",0)</f>
        <v>#N/A</v>
      </c>
      <c r="AS97" s="171">
        <f>Saisie!AI97</f>
        <v>0</v>
      </c>
      <c r="AT97" s="263" t="e">
        <f t="array" ref="AT97">_xlfn.IFS(Saisie!AJ97="OUI",1,Saisie!AJ97="NON",0)</f>
        <v>#N/A</v>
      </c>
      <c r="AU97" s="173">
        <f>Saisie!AK97</f>
        <v>0</v>
      </c>
      <c r="AV97" s="263" t="e">
        <f t="array" ref="AV97">_xlfn.IFS(Saisie!AL97="OUI",1,Saisie!AL97="NON",0)</f>
        <v>#N/A</v>
      </c>
      <c r="AW97" s="171">
        <f>Saisie!AM97</f>
        <v>0</v>
      </c>
      <c r="AX97" s="68">
        <f>Saisie!AN97</f>
        <v>0</v>
      </c>
      <c r="AY97" s="20">
        <f>Saisie!AO97</f>
        <v>0</v>
      </c>
      <c r="AZ97" s="21">
        <f>Saisie!AP97</f>
        <v>0</v>
      </c>
      <c r="BA97" s="298">
        <f>Saisie!AQ97</f>
        <v>0</v>
      </c>
      <c r="BB97" s="170">
        <f>Saisie!AR97</f>
        <v>0</v>
      </c>
      <c r="BC97" s="174">
        <f>Saisie!AS97</f>
        <v>0</v>
      </c>
      <c r="BD97" s="61">
        <f>Saisie!AT97</f>
        <v>0</v>
      </c>
      <c r="BE97" s="175" t="e">
        <f t="array" ref="BE97">_xlfn.IFS(Saisie!AU97="OUI",1,Saisie!AU97="NON",0)</f>
        <v>#N/A</v>
      </c>
      <c r="BF97" s="267">
        <f>Saisie!AV97</f>
        <v>0</v>
      </c>
      <c r="BG97" s="55">
        <f>Saisie!AW97</f>
        <v>0</v>
      </c>
      <c r="BH97" s="55" t="e">
        <f t="array" ref="BH97">_xlfn.IFS(Saisie!AX97="OUI",1,Saisie!AX97="NON",0)</f>
        <v>#N/A</v>
      </c>
      <c r="BI97" s="62">
        <f>Saisie!AY97</f>
        <v>0</v>
      </c>
      <c r="BJ97" s="55" t="e">
        <f t="array" ref="BJ97">_xlfn.IFS(Saisie!AZ97="OUI",1,Saisie!AZ97="NON",0)</f>
        <v>#N/A</v>
      </c>
      <c r="BK97" s="55" t="e">
        <f t="array" ref="BK97">_xlfn.IFS(Saisie!BA97="OUI",1,Saisie!BA97="NON",0)</f>
        <v>#N/A</v>
      </c>
      <c r="BL97" s="55">
        <f>Saisie!BB97</f>
        <v>0</v>
      </c>
      <c r="BM97" s="49" t="e">
        <f>Saisie!BC97</f>
        <v>#REF!</v>
      </c>
      <c r="BN97" s="175"/>
    </row>
    <row r="98" spans="1:66" s="176" customFormat="1" x14ac:dyDescent="0.45">
      <c r="A98" s="13">
        <v>92</v>
      </c>
      <c r="B98" s="150">
        <f>Saisie!B98</f>
        <v>0</v>
      </c>
      <c r="C98" s="150">
        <f>Saisie!C98</f>
        <v>0</v>
      </c>
      <c r="D98" s="150">
        <f>Saisie!D98</f>
        <v>0</v>
      </c>
      <c r="E98" s="150">
        <f>Saisie!E98</f>
        <v>0</v>
      </c>
      <c r="F98" s="150">
        <f>Saisie!F98</f>
        <v>0</v>
      </c>
      <c r="G98" s="150">
        <f>Saisie!G98</f>
        <v>0</v>
      </c>
      <c r="H98" s="150">
        <f>Saisie!I98</f>
        <v>0</v>
      </c>
      <c r="I98" s="150">
        <f>Saisie!J98</f>
        <v>0</v>
      </c>
      <c r="J98" s="150">
        <f>Saisie!K98</f>
        <v>0</v>
      </c>
      <c r="K98" s="150">
        <f>Saisie!L98</f>
        <v>0</v>
      </c>
      <c r="L98" s="150" t="e">
        <f>Saisie!#REF!</f>
        <v>#REF!</v>
      </c>
      <c r="M98" s="55" t="e">
        <f t="array" ref="M98">_xlfn.IFS(Saisie!M98="OUI",1,Saisie!M98="NON",0)</f>
        <v>#N/A</v>
      </c>
      <c r="N98" s="64" t="e">
        <f>Saisie!#REF!</f>
        <v>#REF!</v>
      </c>
      <c r="O98" s="63" t="e">
        <f>Saisie!#REF!</f>
        <v>#REF!</v>
      </c>
      <c r="P98" s="63">
        <f>Saisie!N98</f>
        <v>0</v>
      </c>
      <c r="Q98" s="63" t="e">
        <f t="array" ref="Q98">_xlfn.IFS(Saisie!#REF!="OUI",1,Saisie!#REF!="NON",0)</f>
        <v>#REF!</v>
      </c>
      <c r="R98" s="63" t="e">
        <f>Saisie!#REF!</f>
        <v>#REF!</v>
      </c>
      <c r="S98" s="65" t="e">
        <f>Saisie!#REF!</f>
        <v>#REF!</v>
      </c>
      <c r="T98" s="63" t="e">
        <f>Saisie!#REF!</f>
        <v>#REF!</v>
      </c>
      <c r="U98" s="63" t="e">
        <f>Saisie!#REF!</f>
        <v>#REF!</v>
      </c>
      <c r="V98" s="63" t="e">
        <f t="array" ref="V98">_xlfn.IFS(Saisie!#REF!="OUI",1,Saisie!#REF!="NON",0)</f>
        <v>#REF!</v>
      </c>
      <c r="W98" s="63" t="e">
        <f t="array" ref="W98">_xlfn.IFS(Saisie!O98="OUI",1,Saisie!O98="NON",0)</f>
        <v>#N/A</v>
      </c>
      <c r="X98" s="63">
        <f>Saisie!P98</f>
        <v>0</v>
      </c>
      <c r="Y98" s="299">
        <f>Saisie!H98</f>
        <v>0</v>
      </c>
      <c r="Z98" s="58" t="e">
        <f>Saisie!#REF!</f>
        <v>#REF!</v>
      </c>
      <c r="AA98" s="299">
        <f>Saisie!Q98</f>
        <v>0</v>
      </c>
      <c r="AB98" s="63" t="e">
        <f t="array" ref="AB98">_xlfn.IFS(Saisie!R98="OUI",1,Saisie!R98="NON",0)</f>
        <v>#N/A</v>
      </c>
      <c r="AC98" s="63">
        <f>Saisie!S98</f>
        <v>0</v>
      </c>
      <c r="AD98" s="63" t="e">
        <f t="array" ref="AD98">_xlfn.IFS(Saisie!T98="OUI",1,Saisie!T98="NON",0)</f>
        <v>#N/A</v>
      </c>
      <c r="AE98" s="171">
        <f>Saisie!U98</f>
        <v>0</v>
      </c>
      <c r="AF98" s="263">
        <v>3</v>
      </c>
      <c r="AG98" s="129">
        <f>Saisie!W98</f>
        <v>0</v>
      </c>
      <c r="AH98" s="20">
        <f>Saisie!X98</f>
        <v>0</v>
      </c>
      <c r="AI98" s="21">
        <f>Saisie!Y98</f>
        <v>0</v>
      </c>
      <c r="AJ98" s="59">
        <f>Saisie!Z98</f>
        <v>0</v>
      </c>
      <c r="AK98" s="20">
        <f>Saisie!AA98</f>
        <v>0</v>
      </c>
      <c r="AL98" s="21">
        <f>Saisie!AB98</f>
        <v>0</v>
      </c>
      <c r="AM98" s="59">
        <f>Saisie!AC98</f>
        <v>0</v>
      </c>
      <c r="AN98" s="20">
        <f>Saisie!AD98</f>
        <v>0</v>
      </c>
      <c r="AO98" s="21">
        <f>Saisie!AE98</f>
        <v>0</v>
      </c>
      <c r="AP98" s="59">
        <f>Saisie!AF98</f>
        <v>0</v>
      </c>
      <c r="AQ98" s="129" t="e">
        <f t="array" ref="AQ98">_xlfn.IFS(Saisie!AG98="OUI",1,Saisie!AG98="NON",0)</f>
        <v>#N/A</v>
      </c>
      <c r="AR98" s="129" t="e">
        <f t="array" ref="AR98">_xlfn.IFS(Saisie!AH98="OUI",1,Saisie!AH98="NON",0)</f>
        <v>#N/A</v>
      </c>
      <c r="AS98" s="171">
        <f>Saisie!AI98</f>
        <v>0</v>
      </c>
      <c r="AT98" s="263" t="e">
        <f t="array" ref="AT98">_xlfn.IFS(Saisie!AJ98="OUI",1,Saisie!AJ98="NON",0)</f>
        <v>#N/A</v>
      </c>
      <c r="AU98" s="173">
        <f>Saisie!AK98</f>
        <v>0</v>
      </c>
      <c r="AV98" s="263" t="e">
        <f t="array" ref="AV98">_xlfn.IFS(Saisie!AL98="OUI",1,Saisie!AL98="NON",0)</f>
        <v>#N/A</v>
      </c>
      <c r="AW98" s="171">
        <f>Saisie!AM98</f>
        <v>0</v>
      </c>
      <c r="AX98" s="68">
        <f>Saisie!AN98</f>
        <v>0</v>
      </c>
      <c r="AY98" s="20">
        <f>Saisie!AO98</f>
        <v>0</v>
      </c>
      <c r="AZ98" s="21">
        <f>Saisie!AP98</f>
        <v>0</v>
      </c>
      <c r="BA98" s="298">
        <f>Saisie!AQ98</f>
        <v>0</v>
      </c>
      <c r="BB98" s="170">
        <f>Saisie!AR98</f>
        <v>0</v>
      </c>
      <c r="BC98" s="174">
        <f>Saisie!AS98</f>
        <v>0</v>
      </c>
      <c r="BD98" s="61">
        <f>Saisie!AT98</f>
        <v>0</v>
      </c>
      <c r="BE98" s="175" t="e">
        <f t="array" ref="BE98">_xlfn.IFS(Saisie!AU98="OUI",1,Saisie!AU98="NON",0)</f>
        <v>#N/A</v>
      </c>
      <c r="BF98" s="267">
        <f>Saisie!AV98</f>
        <v>0</v>
      </c>
      <c r="BG98" s="55">
        <f>Saisie!AW98</f>
        <v>0</v>
      </c>
      <c r="BH98" s="55" t="e">
        <f t="array" ref="BH98">_xlfn.IFS(Saisie!AX98="OUI",1,Saisie!AX98="NON",0)</f>
        <v>#N/A</v>
      </c>
      <c r="BI98" s="62">
        <f>Saisie!AY98</f>
        <v>0</v>
      </c>
      <c r="BJ98" s="55" t="e">
        <f t="array" ref="BJ98">_xlfn.IFS(Saisie!AZ98="OUI",1,Saisie!AZ98="NON",0)</f>
        <v>#N/A</v>
      </c>
      <c r="BK98" s="55" t="e">
        <f t="array" ref="BK98">_xlfn.IFS(Saisie!BA98="OUI",1,Saisie!BA98="NON",0)</f>
        <v>#N/A</v>
      </c>
      <c r="BL98" s="55">
        <f>Saisie!BB98</f>
        <v>0</v>
      </c>
      <c r="BM98" s="49" t="e">
        <f>Saisie!BC98</f>
        <v>#REF!</v>
      </c>
      <c r="BN98" s="175"/>
    </row>
    <row r="99" spans="1:66" s="176" customFormat="1" x14ac:dyDescent="0.45">
      <c r="A99" s="13">
        <v>93</v>
      </c>
      <c r="B99" s="150">
        <f>Saisie!B99</f>
        <v>0</v>
      </c>
      <c r="C99" s="150">
        <f>Saisie!C99</f>
        <v>0</v>
      </c>
      <c r="D99" s="150">
        <f>Saisie!D99</f>
        <v>0</v>
      </c>
      <c r="E99" s="150">
        <f>Saisie!E99</f>
        <v>0</v>
      </c>
      <c r="F99" s="150">
        <f>Saisie!F99</f>
        <v>0</v>
      </c>
      <c r="G99" s="150">
        <f>Saisie!G99</f>
        <v>0</v>
      </c>
      <c r="H99" s="150">
        <f>Saisie!I99</f>
        <v>0</v>
      </c>
      <c r="I99" s="150">
        <f>Saisie!J99</f>
        <v>0</v>
      </c>
      <c r="J99" s="150">
        <f>Saisie!K99</f>
        <v>0</v>
      </c>
      <c r="K99" s="150">
        <f>Saisie!L99</f>
        <v>0</v>
      </c>
      <c r="L99" s="150" t="e">
        <f>Saisie!#REF!</f>
        <v>#REF!</v>
      </c>
      <c r="M99" s="55" t="e">
        <f t="array" ref="M99">_xlfn.IFS(Saisie!M99="OUI",1,Saisie!M99="NON",0)</f>
        <v>#N/A</v>
      </c>
      <c r="N99" s="64" t="e">
        <f>Saisie!#REF!</f>
        <v>#REF!</v>
      </c>
      <c r="O99" s="63" t="e">
        <f>Saisie!#REF!</f>
        <v>#REF!</v>
      </c>
      <c r="P99" s="63">
        <f>Saisie!N99</f>
        <v>0</v>
      </c>
      <c r="Q99" s="63" t="e">
        <f t="array" ref="Q99">_xlfn.IFS(Saisie!#REF!="OUI",1,Saisie!#REF!="NON",0)</f>
        <v>#REF!</v>
      </c>
      <c r="R99" s="63" t="e">
        <f>Saisie!#REF!</f>
        <v>#REF!</v>
      </c>
      <c r="S99" s="65" t="e">
        <f>Saisie!#REF!</f>
        <v>#REF!</v>
      </c>
      <c r="T99" s="63" t="e">
        <f>Saisie!#REF!</f>
        <v>#REF!</v>
      </c>
      <c r="U99" s="63" t="e">
        <f>Saisie!#REF!</f>
        <v>#REF!</v>
      </c>
      <c r="V99" s="63" t="e">
        <f t="array" ref="V99">_xlfn.IFS(Saisie!#REF!="OUI",1,Saisie!#REF!="NON",0)</f>
        <v>#REF!</v>
      </c>
      <c r="W99" s="63" t="e">
        <f t="array" ref="W99">_xlfn.IFS(Saisie!O99="OUI",1,Saisie!O99="NON",0)</f>
        <v>#N/A</v>
      </c>
      <c r="X99" s="63">
        <f>Saisie!P99</f>
        <v>0</v>
      </c>
      <c r="Y99" s="299">
        <f>Saisie!H99</f>
        <v>0</v>
      </c>
      <c r="Z99" s="58" t="e">
        <f>Saisie!#REF!</f>
        <v>#REF!</v>
      </c>
      <c r="AA99" s="299">
        <f>Saisie!Q99</f>
        <v>0</v>
      </c>
      <c r="AB99" s="63" t="e">
        <f t="array" ref="AB99">_xlfn.IFS(Saisie!R99="OUI",1,Saisie!R99="NON",0)</f>
        <v>#N/A</v>
      </c>
      <c r="AC99" s="63">
        <f>Saisie!S99</f>
        <v>0</v>
      </c>
      <c r="AD99" s="63" t="e">
        <f t="array" ref="AD99">_xlfn.IFS(Saisie!T99="OUI",1,Saisie!T99="NON",0)</f>
        <v>#N/A</v>
      </c>
      <c r="AE99" s="171">
        <f>Saisie!U99</f>
        <v>0</v>
      </c>
      <c r="AF99" s="263">
        <v>3</v>
      </c>
      <c r="AG99" s="129">
        <f>Saisie!W99</f>
        <v>0</v>
      </c>
      <c r="AH99" s="20">
        <f>Saisie!X99</f>
        <v>0</v>
      </c>
      <c r="AI99" s="21">
        <f>Saisie!Y99</f>
        <v>0</v>
      </c>
      <c r="AJ99" s="59">
        <f>Saisie!Z99</f>
        <v>0</v>
      </c>
      <c r="AK99" s="20">
        <f>Saisie!AA99</f>
        <v>0</v>
      </c>
      <c r="AL99" s="21">
        <f>Saisie!AB99</f>
        <v>0</v>
      </c>
      <c r="AM99" s="59">
        <f>Saisie!AC99</f>
        <v>0</v>
      </c>
      <c r="AN99" s="20">
        <f>Saisie!AD99</f>
        <v>0</v>
      </c>
      <c r="AO99" s="21">
        <f>Saisie!AE99</f>
        <v>0</v>
      </c>
      <c r="AP99" s="59">
        <f>Saisie!AF99</f>
        <v>0</v>
      </c>
      <c r="AQ99" s="129" t="e">
        <f t="array" ref="AQ99">_xlfn.IFS(Saisie!AG99="OUI",1,Saisie!AG99="NON",0)</f>
        <v>#N/A</v>
      </c>
      <c r="AR99" s="129" t="e">
        <f t="array" ref="AR99">_xlfn.IFS(Saisie!AH99="OUI",1,Saisie!AH99="NON",0)</f>
        <v>#N/A</v>
      </c>
      <c r="AS99" s="171">
        <f>Saisie!AI99</f>
        <v>0</v>
      </c>
      <c r="AT99" s="263" t="e">
        <f t="array" ref="AT99">_xlfn.IFS(Saisie!AJ99="OUI",1,Saisie!AJ99="NON",0)</f>
        <v>#N/A</v>
      </c>
      <c r="AU99" s="173">
        <f>Saisie!AK99</f>
        <v>0</v>
      </c>
      <c r="AV99" s="263" t="e">
        <f t="array" ref="AV99">_xlfn.IFS(Saisie!AL99="OUI",1,Saisie!AL99="NON",0)</f>
        <v>#N/A</v>
      </c>
      <c r="AW99" s="171">
        <f>Saisie!AM99</f>
        <v>0</v>
      </c>
      <c r="AX99" s="68">
        <f>Saisie!AN99</f>
        <v>0</v>
      </c>
      <c r="AY99" s="20">
        <f>Saisie!AO99</f>
        <v>0</v>
      </c>
      <c r="AZ99" s="21">
        <f>Saisie!AP99</f>
        <v>0</v>
      </c>
      <c r="BA99" s="298">
        <f>Saisie!AQ99</f>
        <v>0</v>
      </c>
      <c r="BB99" s="170">
        <f>Saisie!AR99</f>
        <v>0</v>
      </c>
      <c r="BC99" s="174">
        <f>Saisie!AS99</f>
        <v>0</v>
      </c>
      <c r="BD99" s="61">
        <f>Saisie!AT99</f>
        <v>0</v>
      </c>
      <c r="BE99" s="175" t="e">
        <f t="array" ref="BE99">_xlfn.IFS(Saisie!AU99="OUI",1,Saisie!AU99="NON",0)</f>
        <v>#N/A</v>
      </c>
      <c r="BF99" s="267">
        <f>Saisie!AV99</f>
        <v>0</v>
      </c>
      <c r="BG99" s="55">
        <f>Saisie!AW99</f>
        <v>0</v>
      </c>
      <c r="BH99" s="55" t="e">
        <f t="array" ref="BH99">_xlfn.IFS(Saisie!AX99="OUI",1,Saisie!AX99="NON",0)</f>
        <v>#N/A</v>
      </c>
      <c r="BI99" s="62">
        <f>Saisie!AY99</f>
        <v>0</v>
      </c>
      <c r="BJ99" s="55" t="e">
        <f t="array" ref="BJ99">_xlfn.IFS(Saisie!AZ99="OUI",1,Saisie!AZ99="NON",0)</f>
        <v>#N/A</v>
      </c>
      <c r="BK99" s="55" t="e">
        <f t="array" ref="BK99">_xlfn.IFS(Saisie!BA99="OUI",1,Saisie!BA99="NON",0)</f>
        <v>#N/A</v>
      </c>
      <c r="BL99" s="55">
        <f>Saisie!BB99</f>
        <v>0</v>
      </c>
      <c r="BM99" s="49" t="e">
        <f>Saisie!BC99</f>
        <v>#REF!</v>
      </c>
      <c r="BN99" s="175"/>
    </row>
    <row r="100" spans="1:66" s="176" customFormat="1" x14ac:dyDescent="0.45">
      <c r="A100" s="12">
        <v>94</v>
      </c>
      <c r="B100" s="150">
        <f>Saisie!B100</f>
        <v>0</v>
      </c>
      <c r="C100" s="150">
        <f>Saisie!C100</f>
        <v>0</v>
      </c>
      <c r="D100" s="150">
        <f>Saisie!D100</f>
        <v>0</v>
      </c>
      <c r="E100" s="150">
        <f>Saisie!E100</f>
        <v>0</v>
      </c>
      <c r="F100" s="150">
        <f>Saisie!F100</f>
        <v>0</v>
      </c>
      <c r="G100" s="150">
        <f>Saisie!G100</f>
        <v>0</v>
      </c>
      <c r="H100" s="150">
        <f>Saisie!I100</f>
        <v>0</v>
      </c>
      <c r="I100" s="150">
        <f>Saisie!J100</f>
        <v>0</v>
      </c>
      <c r="J100" s="150">
        <f>Saisie!K100</f>
        <v>0</v>
      </c>
      <c r="K100" s="150">
        <f>Saisie!L100</f>
        <v>0</v>
      </c>
      <c r="L100" s="150" t="e">
        <f>Saisie!#REF!</f>
        <v>#REF!</v>
      </c>
      <c r="M100" s="55" t="e">
        <f t="array" ref="M100">_xlfn.IFS(Saisie!M100="OUI",1,Saisie!M100="NON",0)</f>
        <v>#N/A</v>
      </c>
      <c r="N100" s="64" t="e">
        <f>Saisie!#REF!</f>
        <v>#REF!</v>
      </c>
      <c r="O100" s="63" t="e">
        <f>Saisie!#REF!</f>
        <v>#REF!</v>
      </c>
      <c r="P100" s="63">
        <f>Saisie!N100</f>
        <v>0</v>
      </c>
      <c r="Q100" s="63" t="e">
        <f t="array" ref="Q100">_xlfn.IFS(Saisie!#REF!="OUI",1,Saisie!#REF!="NON",0)</f>
        <v>#REF!</v>
      </c>
      <c r="R100" s="63" t="e">
        <f>Saisie!#REF!</f>
        <v>#REF!</v>
      </c>
      <c r="S100" s="65" t="e">
        <f>Saisie!#REF!</f>
        <v>#REF!</v>
      </c>
      <c r="T100" s="63" t="e">
        <f>Saisie!#REF!</f>
        <v>#REF!</v>
      </c>
      <c r="U100" s="63" t="e">
        <f>Saisie!#REF!</f>
        <v>#REF!</v>
      </c>
      <c r="V100" s="63" t="e">
        <f t="array" ref="V100">_xlfn.IFS(Saisie!#REF!="OUI",1,Saisie!#REF!="NON",0)</f>
        <v>#REF!</v>
      </c>
      <c r="W100" s="63" t="e">
        <f t="array" ref="W100">_xlfn.IFS(Saisie!O100="OUI",1,Saisie!O100="NON",0)</f>
        <v>#N/A</v>
      </c>
      <c r="X100" s="63">
        <f>Saisie!P100</f>
        <v>0</v>
      </c>
      <c r="Y100" s="299">
        <f>Saisie!H100</f>
        <v>0</v>
      </c>
      <c r="Z100" s="58" t="e">
        <f>Saisie!#REF!</f>
        <v>#REF!</v>
      </c>
      <c r="AA100" s="299">
        <f>Saisie!Q100</f>
        <v>0</v>
      </c>
      <c r="AB100" s="63" t="e">
        <f t="array" ref="AB100">_xlfn.IFS(Saisie!R100="OUI",1,Saisie!R100="NON",0)</f>
        <v>#N/A</v>
      </c>
      <c r="AC100" s="63">
        <f>Saisie!S100</f>
        <v>0</v>
      </c>
      <c r="AD100" s="63" t="e">
        <f t="array" ref="AD100">_xlfn.IFS(Saisie!T100="OUI",1,Saisie!T100="NON",0)</f>
        <v>#N/A</v>
      </c>
      <c r="AE100" s="171">
        <f>Saisie!U100</f>
        <v>0</v>
      </c>
      <c r="AF100" s="263">
        <v>3</v>
      </c>
      <c r="AG100" s="129">
        <f>Saisie!W100</f>
        <v>0</v>
      </c>
      <c r="AH100" s="20">
        <f>Saisie!X100</f>
        <v>0</v>
      </c>
      <c r="AI100" s="21">
        <f>Saisie!Y100</f>
        <v>0</v>
      </c>
      <c r="AJ100" s="59">
        <f>Saisie!Z100</f>
        <v>0</v>
      </c>
      <c r="AK100" s="20">
        <f>Saisie!AA100</f>
        <v>0</v>
      </c>
      <c r="AL100" s="21">
        <f>Saisie!AB100</f>
        <v>0</v>
      </c>
      <c r="AM100" s="59">
        <f>Saisie!AC100</f>
        <v>0</v>
      </c>
      <c r="AN100" s="20">
        <f>Saisie!AD100</f>
        <v>0</v>
      </c>
      <c r="AO100" s="21">
        <f>Saisie!AE100</f>
        <v>0</v>
      </c>
      <c r="AP100" s="59">
        <f>Saisie!AF100</f>
        <v>0</v>
      </c>
      <c r="AQ100" s="129" t="e">
        <f t="array" ref="AQ100">_xlfn.IFS(Saisie!AG100="OUI",1,Saisie!AG100="NON",0)</f>
        <v>#N/A</v>
      </c>
      <c r="AR100" s="129" t="e">
        <f t="array" ref="AR100">_xlfn.IFS(Saisie!AH100="OUI",1,Saisie!AH100="NON",0)</f>
        <v>#N/A</v>
      </c>
      <c r="AS100" s="171">
        <f>Saisie!AI100</f>
        <v>0</v>
      </c>
      <c r="AT100" s="263" t="e">
        <f t="array" ref="AT100">_xlfn.IFS(Saisie!AJ100="OUI",1,Saisie!AJ100="NON",0)</f>
        <v>#N/A</v>
      </c>
      <c r="AU100" s="173">
        <f>Saisie!AK100</f>
        <v>0</v>
      </c>
      <c r="AV100" s="263" t="e">
        <f t="array" ref="AV100">_xlfn.IFS(Saisie!AL100="OUI",1,Saisie!AL100="NON",0)</f>
        <v>#N/A</v>
      </c>
      <c r="AW100" s="171">
        <f>Saisie!AM100</f>
        <v>0</v>
      </c>
      <c r="AX100" s="68">
        <f>Saisie!AN100</f>
        <v>0</v>
      </c>
      <c r="AY100" s="20">
        <f>Saisie!AO100</f>
        <v>0</v>
      </c>
      <c r="AZ100" s="21">
        <f>Saisie!AP100</f>
        <v>0</v>
      </c>
      <c r="BA100" s="298">
        <f>Saisie!AQ100</f>
        <v>0</v>
      </c>
      <c r="BB100" s="170">
        <f>Saisie!AR100</f>
        <v>0</v>
      </c>
      <c r="BC100" s="174">
        <f>Saisie!AS100</f>
        <v>0</v>
      </c>
      <c r="BD100" s="61">
        <f>Saisie!AT100</f>
        <v>0</v>
      </c>
      <c r="BE100" s="175" t="e">
        <f t="array" ref="BE100">_xlfn.IFS(Saisie!AU100="OUI",1,Saisie!AU100="NON",0)</f>
        <v>#N/A</v>
      </c>
      <c r="BF100" s="267">
        <f>Saisie!AV100</f>
        <v>0</v>
      </c>
      <c r="BG100" s="55">
        <f>Saisie!AW100</f>
        <v>0</v>
      </c>
      <c r="BH100" s="55" t="e">
        <f t="array" ref="BH100">_xlfn.IFS(Saisie!AX100="OUI",1,Saisie!AX100="NON",0)</f>
        <v>#N/A</v>
      </c>
      <c r="BI100" s="62">
        <f>Saisie!AY100</f>
        <v>0</v>
      </c>
      <c r="BJ100" s="55" t="e">
        <f t="array" ref="BJ100">_xlfn.IFS(Saisie!AZ100="OUI",1,Saisie!AZ100="NON",0)</f>
        <v>#N/A</v>
      </c>
      <c r="BK100" s="55" t="e">
        <f t="array" ref="BK100">_xlfn.IFS(Saisie!BA100="OUI",1,Saisie!BA100="NON",0)</f>
        <v>#N/A</v>
      </c>
      <c r="BL100" s="55">
        <f>Saisie!BB100</f>
        <v>0</v>
      </c>
      <c r="BM100" s="49" t="e">
        <f>Saisie!BC100</f>
        <v>#REF!</v>
      </c>
      <c r="BN100" s="175"/>
    </row>
    <row r="101" spans="1:66" s="176" customFormat="1" x14ac:dyDescent="0.45">
      <c r="A101" s="13">
        <v>95</v>
      </c>
      <c r="B101" s="150">
        <f>Saisie!B101</f>
        <v>0</v>
      </c>
      <c r="C101" s="150">
        <f>Saisie!C101</f>
        <v>0</v>
      </c>
      <c r="D101" s="150">
        <f>Saisie!D101</f>
        <v>0</v>
      </c>
      <c r="E101" s="150">
        <f>Saisie!E101</f>
        <v>0</v>
      </c>
      <c r="F101" s="150">
        <f>Saisie!F101</f>
        <v>0</v>
      </c>
      <c r="G101" s="150">
        <f>Saisie!G101</f>
        <v>0</v>
      </c>
      <c r="H101" s="150">
        <f>Saisie!I101</f>
        <v>0</v>
      </c>
      <c r="I101" s="150">
        <f>Saisie!J101</f>
        <v>0</v>
      </c>
      <c r="J101" s="150">
        <f>Saisie!K101</f>
        <v>0</v>
      </c>
      <c r="K101" s="150">
        <f>Saisie!L101</f>
        <v>0</v>
      </c>
      <c r="L101" s="150" t="e">
        <f>Saisie!#REF!</f>
        <v>#REF!</v>
      </c>
      <c r="M101" s="55" t="e">
        <f t="array" ref="M101">_xlfn.IFS(Saisie!M101="OUI",1,Saisie!M101="NON",0)</f>
        <v>#N/A</v>
      </c>
      <c r="N101" s="64" t="e">
        <f>Saisie!#REF!</f>
        <v>#REF!</v>
      </c>
      <c r="O101" s="63" t="e">
        <f>Saisie!#REF!</f>
        <v>#REF!</v>
      </c>
      <c r="P101" s="63">
        <f>Saisie!N101</f>
        <v>0</v>
      </c>
      <c r="Q101" s="63" t="e">
        <f t="array" ref="Q101">_xlfn.IFS(Saisie!#REF!="OUI",1,Saisie!#REF!="NON",0)</f>
        <v>#REF!</v>
      </c>
      <c r="R101" s="63" t="e">
        <f>Saisie!#REF!</f>
        <v>#REF!</v>
      </c>
      <c r="S101" s="65" t="e">
        <f>Saisie!#REF!</f>
        <v>#REF!</v>
      </c>
      <c r="T101" s="63" t="e">
        <f>Saisie!#REF!</f>
        <v>#REF!</v>
      </c>
      <c r="U101" s="63" t="e">
        <f>Saisie!#REF!</f>
        <v>#REF!</v>
      </c>
      <c r="V101" s="63" t="e">
        <f t="array" ref="V101">_xlfn.IFS(Saisie!#REF!="OUI",1,Saisie!#REF!="NON",0)</f>
        <v>#REF!</v>
      </c>
      <c r="W101" s="63" t="e">
        <f t="array" ref="W101">_xlfn.IFS(Saisie!O101="OUI",1,Saisie!O101="NON",0)</f>
        <v>#N/A</v>
      </c>
      <c r="X101" s="63">
        <f>Saisie!P101</f>
        <v>0</v>
      </c>
      <c r="Y101" s="299">
        <f>Saisie!H101</f>
        <v>0</v>
      </c>
      <c r="Z101" s="58" t="e">
        <f>Saisie!#REF!</f>
        <v>#REF!</v>
      </c>
      <c r="AA101" s="299">
        <f>Saisie!Q101</f>
        <v>0</v>
      </c>
      <c r="AB101" s="63" t="e">
        <f t="array" ref="AB101">_xlfn.IFS(Saisie!R101="OUI",1,Saisie!R101="NON",0)</f>
        <v>#N/A</v>
      </c>
      <c r="AC101" s="63">
        <f>Saisie!S101</f>
        <v>0</v>
      </c>
      <c r="AD101" s="63" t="e">
        <f t="array" ref="AD101">_xlfn.IFS(Saisie!T101="OUI",1,Saisie!T101="NON",0)</f>
        <v>#N/A</v>
      </c>
      <c r="AE101" s="171">
        <f>Saisie!U101</f>
        <v>0</v>
      </c>
      <c r="AF101" s="263">
        <v>3</v>
      </c>
      <c r="AG101" s="129">
        <f>Saisie!W101</f>
        <v>0</v>
      </c>
      <c r="AH101" s="20">
        <f>Saisie!X101</f>
        <v>0</v>
      </c>
      <c r="AI101" s="21">
        <f>Saisie!Y101</f>
        <v>0</v>
      </c>
      <c r="AJ101" s="59">
        <f>Saisie!Z101</f>
        <v>0</v>
      </c>
      <c r="AK101" s="20">
        <f>Saisie!AA101</f>
        <v>0</v>
      </c>
      <c r="AL101" s="21">
        <f>Saisie!AB101</f>
        <v>0</v>
      </c>
      <c r="AM101" s="59">
        <f>Saisie!AC101</f>
        <v>0</v>
      </c>
      <c r="AN101" s="20">
        <f>Saisie!AD101</f>
        <v>0</v>
      </c>
      <c r="AO101" s="21">
        <f>Saisie!AE101</f>
        <v>0</v>
      </c>
      <c r="AP101" s="59">
        <f>Saisie!AF101</f>
        <v>0</v>
      </c>
      <c r="AQ101" s="129" t="e">
        <f t="array" ref="AQ101">_xlfn.IFS(Saisie!AG101="OUI",1,Saisie!AG101="NON",0)</f>
        <v>#N/A</v>
      </c>
      <c r="AR101" s="129" t="e">
        <f t="array" ref="AR101">_xlfn.IFS(Saisie!AH101="OUI",1,Saisie!AH101="NON",0)</f>
        <v>#N/A</v>
      </c>
      <c r="AS101" s="171">
        <f>Saisie!AI101</f>
        <v>0</v>
      </c>
      <c r="AT101" s="263" t="e">
        <f t="array" ref="AT101">_xlfn.IFS(Saisie!AJ101="OUI",1,Saisie!AJ101="NON",0)</f>
        <v>#N/A</v>
      </c>
      <c r="AU101" s="173">
        <f>Saisie!AK101</f>
        <v>0</v>
      </c>
      <c r="AV101" s="263" t="e">
        <f t="array" ref="AV101">_xlfn.IFS(Saisie!AL101="OUI",1,Saisie!AL101="NON",0)</f>
        <v>#N/A</v>
      </c>
      <c r="AW101" s="171">
        <f>Saisie!AM101</f>
        <v>0</v>
      </c>
      <c r="AX101" s="68">
        <f>Saisie!AN101</f>
        <v>0</v>
      </c>
      <c r="AY101" s="20">
        <f>Saisie!AO101</f>
        <v>0</v>
      </c>
      <c r="AZ101" s="21">
        <f>Saisie!AP101</f>
        <v>0</v>
      </c>
      <c r="BA101" s="298">
        <f>Saisie!AQ101</f>
        <v>0</v>
      </c>
      <c r="BB101" s="170">
        <f>Saisie!AR101</f>
        <v>0</v>
      </c>
      <c r="BC101" s="174">
        <f>Saisie!AS101</f>
        <v>0</v>
      </c>
      <c r="BD101" s="61">
        <f>Saisie!AT101</f>
        <v>0</v>
      </c>
      <c r="BE101" s="175" t="e">
        <f t="array" ref="BE101">_xlfn.IFS(Saisie!AU101="OUI",1,Saisie!AU101="NON",0)</f>
        <v>#N/A</v>
      </c>
      <c r="BF101" s="267">
        <f>Saisie!AV101</f>
        <v>0</v>
      </c>
      <c r="BG101" s="55">
        <f>Saisie!AW101</f>
        <v>0</v>
      </c>
      <c r="BH101" s="55" t="e">
        <f t="array" ref="BH101">_xlfn.IFS(Saisie!AX101="OUI",1,Saisie!AX101="NON",0)</f>
        <v>#N/A</v>
      </c>
      <c r="BI101" s="62">
        <f>Saisie!AY101</f>
        <v>0</v>
      </c>
      <c r="BJ101" s="55" t="e">
        <f t="array" ref="BJ101">_xlfn.IFS(Saisie!AZ101="OUI",1,Saisie!AZ101="NON",0)</f>
        <v>#N/A</v>
      </c>
      <c r="BK101" s="55" t="e">
        <f t="array" ref="BK101">_xlfn.IFS(Saisie!BA101="OUI",1,Saisie!BA101="NON",0)</f>
        <v>#N/A</v>
      </c>
      <c r="BL101" s="55">
        <f>Saisie!BB101</f>
        <v>0</v>
      </c>
      <c r="BM101" s="49" t="e">
        <f>Saisie!BC101</f>
        <v>#REF!</v>
      </c>
      <c r="BN101" s="175"/>
    </row>
    <row r="102" spans="1:66" s="176" customFormat="1" x14ac:dyDescent="0.45">
      <c r="A102" s="13">
        <v>96</v>
      </c>
      <c r="B102" s="150">
        <f>Saisie!B102</f>
        <v>0</v>
      </c>
      <c r="C102" s="150">
        <f>Saisie!C102</f>
        <v>0</v>
      </c>
      <c r="D102" s="150">
        <f>Saisie!D102</f>
        <v>0</v>
      </c>
      <c r="E102" s="150">
        <f>Saisie!E102</f>
        <v>0</v>
      </c>
      <c r="F102" s="150">
        <f>Saisie!F102</f>
        <v>0</v>
      </c>
      <c r="G102" s="150">
        <f>Saisie!G102</f>
        <v>0</v>
      </c>
      <c r="H102" s="150">
        <f>Saisie!I102</f>
        <v>0</v>
      </c>
      <c r="I102" s="150">
        <f>Saisie!J102</f>
        <v>0</v>
      </c>
      <c r="J102" s="150">
        <f>Saisie!K102</f>
        <v>0</v>
      </c>
      <c r="K102" s="150">
        <f>Saisie!L102</f>
        <v>0</v>
      </c>
      <c r="L102" s="150" t="e">
        <f>Saisie!#REF!</f>
        <v>#REF!</v>
      </c>
      <c r="M102" s="55" t="e">
        <f t="array" ref="M102">_xlfn.IFS(Saisie!M102="OUI",1,Saisie!M102="NON",0)</f>
        <v>#N/A</v>
      </c>
      <c r="N102" s="64" t="e">
        <f>Saisie!#REF!</f>
        <v>#REF!</v>
      </c>
      <c r="O102" s="63" t="e">
        <f>Saisie!#REF!</f>
        <v>#REF!</v>
      </c>
      <c r="P102" s="63">
        <f>Saisie!N102</f>
        <v>0</v>
      </c>
      <c r="Q102" s="63" t="e">
        <f t="array" ref="Q102">_xlfn.IFS(Saisie!#REF!="OUI",1,Saisie!#REF!="NON",0)</f>
        <v>#REF!</v>
      </c>
      <c r="R102" s="63" t="e">
        <f>Saisie!#REF!</f>
        <v>#REF!</v>
      </c>
      <c r="S102" s="65" t="e">
        <f>Saisie!#REF!</f>
        <v>#REF!</v>
      </c>
      <c r="T102" s="63" t="e">
        <f>Saisie!#REF!</f>
        <v>#REF!</v>
      </c>
      <c r="U102" s="63" t="e">
        <f>Saisie!#REF!</f>
        <v>#REF!</v>
      </c>
      <c r="V102" s="63" t="e">
        <f t="array" ref="V102">_xlfn.IFS(Saisie!#REF!="OUI",1,Saisie!#REF!="NON",0)</f>
        <v>#REF!</v>
      </c>
      <c r="W102" s="63" t="e">
        <f t="array" ref="W102">_xlfn.IFS(Saisie!O102="OUI",1,Saisie!O102="NON",0)</f>
        <v>#N/A</v>
      </c>
      <c r="X102" s="63">
        <f>Saisie!P102</f>
        <v>0</v>
      </c>
      <c r="Y102" s="299">
        <f>Saisie!H102</f>
        <v>0</v>
      </c>
      <c r="Z102" s="58" t="e">
        <f>Saisie!#REF!</f>
        <v>#REF!</v>
      </c>
      <c r="AA102" s="299">
        <f>Saisie!Q102</f>
        <v>0</v>
      </c>
      <c r="AB102" s="63" t="e">
        <f t="array" ref="AB102">_xlfn.IFS(Saisie!R102="OUI",1,Saisie!R102="NON",0)</f>
        <v>#N/A</v>
      </c>
      <c r="AC102" s="63">
        <f>Saisie!S102</f>
        <v>0</v>
      </c>
      <c r="AD102" s="63" t="e">
        <f t="array" ref="AD102">_xlfn.IFS(Saisie!T102="OUI",1,Saisie!T102="NON",0)</f>
        <v>#N/A</v>
      </c>
      <c r="AE102" s="171">
        <f>Saisie!U102</f>
        <v>0</v>
      </c>
      <c r="AF102" s="263">
        <v>3</v>
      </c>
      <c r="AG102" s="129">
        <f>Saisie!W102</f>
        <v>0</v>
      </c>
      <c r="AH102" s="20">
        <f>Saisie!X102</f>
        <v>0</v>
      </c>
      <c r="AI102" s="21">
        <f>Saisie!Y102</f>
        <v>0</v>
      </c>
      <c r="AJ102" s="59">
        <f>Saisie!Z102</f>
        <v>0</v>
      </c>
      <c r="AK102" s="20">
        <f>Saisie!AA102</f>
        <v>0</v>
      </c>
      <c r="AL102" s="21">
        <f>Saisie!AB102</f>
        <v>0</v>
      </c>
      <c r="AM102" s="59">
        <f>Saisie!AC102</f>
        <v>0</v>
      </c>
      <c r="AN102" s="20">
        <f>Saisie!AD102</f>
        <v>0</v>
      </c>
      <c r="AO102" s="21">
        <f>Saisie!AE102</f>
        <v>0</v>
      </c>
      <c r="AP102" s="59">
        <f>Saisie!AF102</f>
        <v>0</v>
      </c>
      <c r="AQ102" s="129" t="e">
        <f t="array" ref="AQ102">_xlfn.IFS(Saisie!AG102="OUI",1,Saisie!AG102="NON",0)</f>
        <v>#N/A</v>
      </c>
      <c r="AR102" s="129" t="e">
        <f t="array" ref="AR102">_xlfn.IFS(Saisie!AH102="OUI",1,Saisie!AH102="NON",0)</f>
        <v>#N/A</v>
      </c>
      <c r="AS102" s="171">
        <f>Saisie!AI102</f>
        <v>0</v>
      </c>
      <c r="AT102" s="263" t="e">
        <f t="array" ref="AT102">_xlfn.IFS(Saisie!AJ102="OUI",1,Saisie!AJ102="NON",0)</f>
        <v>#N/A</v>
      </c>
      <c r="AU102" s="173">
        <f>Saisie!AK102</f>
        <v>0</v>
      </c>
      <c r="AV102" s="263" t="e">
        <f t="array" ref="AV102">_xlfn.IFS(Saisie!AL102="OUI",1,Saisie!AL102="NON",0)</f>
        <v>#N/A</v>
      </c>
      <c r="AW102" s="171">
        <f>Saisie!AM102</f>
        <v>0</v>
      </c>
      <c r="AX102" s="68">
        <f>Saisie!AN102</f>
        <v>0</v>
      </c>
      <c r="AY102" s="20">
        <f>Saisie!AO102</f>
        <v>0</v>
      </c>
      <c r="AZ102" s="21">
        <f>Saisie!AP102</f>
        <v>0</v>
      </c>
      <c r="BA102" s="298">
        <f>Saisie!AQ102</f>
        <v>0</v>
      </c>
      <c r="BB102" s="170">
        <f>Saisie!AR102</f>
        <v>0</v>
      </c>
      <c r="BC102" s="174">
        <f>Saisie!AS102</f>
        <v>0</v>
      </c>
      <c r="BD102" s="61">
        <f>Saisie!AT102</f>
        <v>0</v>
      </c>
      <c r="BE102" s="175" t="e">
        <f t="array" ref="BE102">_xlfn.IFS(Saisie!AU102="OUI",1,Saisie!AU102="NON",0)</f>
        <v>#N/A</v>
      </c>
      <c r="BF102" s="267">
        <f>Saisie!AV102</f>
        <v>0</v>
      </c>
      <c r="BG102" s="55">
        <f>Saisie!AW102</f>
        <v>0</v>
      </c>
      <c r="BH102" s="55" t="e">
        <f t="array" ref="BH102">_xlfn.IFS(Saisie!AX102="OUI",1,Saisie!AX102="NON",0)</f>
        <v>#N/A</v>
      </c>
      <c r="BI102" s="62">
        <f>Saisie!AY102</f>
        <v>0</v>
      </c>
      <c r="BJ102" s="55" t="e">
        <f t="array" ref="BJ102">_xlfn.IFS(Saisie!AZ102="OUI",1,Saisie!AZ102="NON",0)</f>
        <v>#N/A</v>
      </c>
      <c r="BK102" s="55" t="e">
        <f t="array" ref="BK102">_xlfn.IFS(Saisie!BA102="OUI",1,Saisie!BA102="NON",0)</f>
        <v>#N/A</v>
      </c>
      <c r="BL102" s="55">
        <f>Saisie!BB102</f>
        <v>0</v>
      </c>
      <c r="BM102" s="49" t="e">
        <f>Saisie!BC102</f>
        <v>#REF!</v>
      </c>
      <c r="BN102" s="175"/>
    </row>
    <row r="103" spans="1:66" s="176" customFormat="1" x14ac:dyDescent="0.45">
      <c r="A103" s="12">
        <v>97</v>
      </c>
      <c r="B103" s="150">
        <f>Saisie!B103</f>
        <v>0</v>
      </c>
      <c r="C103" s="150">
        <f>Saisie!C103</f>
        <v>0</v>
      </c>
      <c r="D103" s="150">
        <f>Saisie!D103</f>
        <v>0</v>
      </c>
      <c r="E103" s="150">
        <f>Saisie!E103</f>
        <v>0</v>
      </c>
      <c r="F103" s="150">
        <f>Saisie!F103</f>
        <v>0</v>
      </c>
      <c r="G103" s="150">
        <f>Saisie!G103</f>
        <v>0</v>
      </c>
      <c r="H103" s="150">
        <f>Saisie!I103</f>
        <v>0</v>
      </c>
      <c r="I103" s="150">
        <f>Saisie!J103</f>
        <v>0</v>
      </c>
      <c r="J103" s="150">
        <f>Saisie!K103</f>
        <v>0</v>
      </c>
      <c r="K103" s="150">
        <f>Saisie!L103</f>
        <v>0</v>
      </c>
      <c r="L103" s="150" t="e">
        <f>Saisie!#REF!</f>
        <v>#REF!</v>
      </c>
      <c r="M103" s="55" t="e">
        <f t="array" ref="M103">_xlfn.IFS(Saisie!M103="OUI",1,Saisie!M103="NON",0)</f>
        <v>#N/A</v>
      </c>
      <c r="N103" s="64" t="e">
        <f>Saisie!#REF!</f>
        <v>#REF!</v>
      </c>
      <c r="O103" s="63" t="e">
        <f>Saisie!#REF!</f>
        <v>#REF!</v>
      </c>
      <c r="P103" s="63">
        <f>Saisie!N103</f>
        <v>0</v>
      </c>
      <c r="Q103" s="63" t="e">
        <f t="array" ref="Q103">_xlfn.IFS(Saisie!#REF!="OUI",1,Saisie!#REF!="NON",0)</f>
        <v>#REF!</v>
      </c>
      <c r="R103" s="63" t="e">
        <f>Saisie!#REF!</f>
        <v>#REF!</v>
      </c>
      <c r="S103" s="65" t="e">
        <f>Saisie!#REF!</f>
        <v>#REF!</v>
      </c>
      <c r="T103" s="63" t="e">
        <f>Saisie!#REF!</f>
        <v>#REF!</v>
      </c>
      <c r="U103" s="63" t="e">
        <f>Saisie!#REF!</f>
        <v>#REF!</v>
      </c>
      <c r="V103" s="63" t="e">
        <f t="array" ref="V103">_xlfn.IFS(Saisie!#REF!="OUI",1,Saisie!#REF!="NON",0)</f>
        <v>#REF!</v>
      </c>
      <c r="W103" s="63" t="e">
        <f t="array" ref="W103">_xlfn.IFS(Saisie!O103="OUI",1,Saisie!O103="NON",0)</f>
        <v>#N/A</v>
      </c>
      <c r="X103" s="63">
        <f>Saisie!P103</f>
        <v>0</v>
      </c>
      <c r="Y103" s="299">
        <f>Saisie!H103</f>
        <v>0</v>
      </c>
      <c r="Z103" s="58" t="e">
        <f>Saisie!#REF!</f>
        <v>#REF!</v>
      </c>
      <c r="AA103" s="299">
        <f>Saisie!Q103</f>
        <v>0</v>
      </c>
      <c r="AB103" s="63" t="e">
        <f t="array" ref="AB103">_xlfn.IFS(Saisie!R103="OUI",1,Saisie!R103="NON",0)</f>
        <v>#N/A</v>
      </c>
      <c r="AC103" s="63">
        <f>Saisie!S103</f>
        <v>0</v>
      </c>
      <c r="AD103" s="63" t="e">
        <f t="array" ref="AD103">_xlfn.IFS(Saisie!T103="OUI",1,Saisie!T103="NON",0)</f>
        <v>#N/A</v>
      </c>
      <c r="AE103" s="171">
        <f>Saisie!U103</f>
        <v>0</v>
      </c>
      <c r="AF103" s="263">
        <v>3</v>
      </c>
      <c r="AG103" s="129">
        <f>Saisie!W103</f>
        <v>0</v>
      </c>
      <c r="AH103" s="20">
        <f>Saisie!X103</f>
        <v>0</v>
      </c>
      <c r="AI103" s="21">
        <f>Saisie!Y103</f>
        <v>0</v>
      </c>
      <c r="AJ103" s="59">
        <f>Saisie!Z103</f>
        <v>0</v>
      </c>
      <c r="AK103" s="20">
        <f>Saisie!AA103</f>
        <v>0</v>
      </c>
      <c r="AL103" s="21">
        <f>Saisie!AB103</f>
        <v>0</v>
      </c>
      <c r="AM103" s="59">
        <f>Saisie!AC103</f>
        <v>0</v>
      </c>
      <c r="AN103" s="20">
        <f>Saisie!AD103</f>
        <v>0</v>
      </c>
      <c r="AO103" s="21">
        <f>Saisie!AE103</f>
        <v>0</v>
      </c>
      <c r="AP103" s="59">
        <f>Saisie!AF103</f>
        <v>0</v>
      </c>
      <c r="AQ103" s="129" t="e">
        <f t="array" ref="AQ103">_xlfn.IFS(Saisie!AG103="OUI",1,Saisie!AG103="NON",0)</f>
        <v>#N/A</v>
      </c>
      <c r="AR103" s="129" t="e">
        <f t="array" ref="AR103">_xlfn.IFS(Saisie!AH103="OUI",1,Saisie!AH103="NON",0)</f>
        <v>#N/A</v>
      </c>
      <c r="AS103" s="171">
        <f>Saisie!AI103</f>
        <v>0</v>
      </c>
      <c r="AT103" s="263" t="e">
        <f t="array" ref="AT103">_xlfn.IFS(Saisie!AJ103="OUI",1,Saisie!AJ103="NON",0)</f>
        <v>#N/A</v>
      </c>
      <c r="AU103" s="173">
        <f>Saisie!AK103</f>
        <v>0</v>
      </c>
      <c r="AV103" s="263" t="e">
        <f t="array" ref="AV103">_xlfn.IFS(Saisie!AL103="OUI",1,Saisie!AL103="NON",0)</f>
        <v>#N/A</v>
      </c>
      <c r="AW103" s="171">
        <f>Saisie!AM103</f>
        <v>0</v>
      </c>
      <c r="AX103" s="68">
        <f>Saisie!AN103</f>
        <v>0</v>
      </c>
      <c r="AY103" s="20">
        <f>Saisie!AO103</f>
        <v>0</v>
      </c>
      <c r="AZ103" s="21">
        <f>Saisie!AP103</f>
        <v>0</v>
      </c>
      <c r="BA103" s="298">
        <f>Saisie!AQ103</f>
        <v>0</v>
      </c>
      <c r="BB103" s="170">
        <f>Saisie!AR103</f>
        <v>0</v>
      </c>
      <c r="BC103" s="174">
        <f>Saisie!AS103</f>
        <v>0</v>
      </c>
      <c r="BD103" s="61">
        <f>Saisie!AT103</f>
        <v>0</v>
      </c>
      <c r="BE103" s="175" t="e">
        <f t="array" ref="BE103">_xlfn.IFS(Saisie!AU103="OUI",1,Saisie!AU103="NON",0)</f>
        <v>#N/A</v>
      </c>
      <c r="BF103" s="267">
        <f>Saisie!AV103</f>
        <v>0</v>
      </c>
      <c r="BG103" s="55">
        <f>Saisie!AW103</f>
        <v>0</v>
      </c>
      <c r="BH103" s="55" t="e">
        <f t="array" ref="BH103">_xlfn.IFS(Saisie!AX103="OUI",1,Saisie!AX103="NON",0)</f>
        <v>#N/A</v>
      </c>
      <c r="BI103" s="62">
        <f>Saisie!AY103</f>
        <v>0</v>
      </c>
      <c r="BJ103" s="55" t="e">
        <f t="array" ref="BJ103">_xlfn.IFS(Saisie!AZ103="OUI",1,Saisie!AZ103="NON",0)</f>
        <v>#N/A</v>
      </c>
      <c r="BK103" s="55" t="e">
        <f t="array" ref="BK103">_xlfn.IFS(Saisie!BA103="OUI",1,Saisie!BA103="NON",0)</f>
        <v>#N/A</v>
      </c>
      <c r="BL103" s="55">
        <f>Saisie!BB103</f>
        <v>0</v>
      </c>
      <c r="BM103" s="49" t="e">
        <f>Saisie!BC103</f>
        <v>#REF!</v>
      </c>
      <c r="BN103" s="175"/>
    </row>
    <row r="104" spans="1:66" s="176" customFormat="1" x14ac:dyDescent="0.45">
      <c r="A104" s="13">
        <v>98</v>
      </c>
      <c r="B104" s="150">
        <f>Saisie!B104</f>
        <v>0</v>
      </c>
      <c r="C104" s="150">
        <f>Saisie!C104</f>
        <v>0</v>
      </c>
      <c r="D104" s="150">
        <f>Saisie!D104</f>
        <v>0</v>
      </c>
      <c r="E104" s="150">
        <f>Saisie!E104</f>
        <v>0</v>
      </c>
      <c r="F104" s="150">
        <f>Saisie!F104</f>
        <v>0</v>
      </c>
      <c r="G104" s="150">
        <f>Saisie!G104</f>
        <v>0</v>
      </c>
      <c r="H104" s="150">
        <f>Saisie!I104</f>
        <v>0</v>
      </c>
      <c r="I104" s="150">
        <f>Saisie!J104</f>
        <v>0</v>
      </c>
      <c r="J104" s="150">
        <f>Saisie!K104</f>
        <v>0</v>
      </c>
      <c r="K104" s="150">
        <f>Saisie!L104</f>
        <v>0</v>
      </c>
      <c r="L104" s="150" t="e">
        <f>Saisie!#REF!</f>
        <v>#REF!</v>
      </c>
      <c r="M104" s="55" t="e">
        <f t="array" ref="M104">_xlfn.IFS(Saisie!M104="OUI",1,Saisie!M104="NON",0)</f>
        <v>#N/A</v>
      </c>
      <c r="N104" s="64" t="e">
        <f>Saisie!#REF!</f>
        <v>#REF!</v>
      </c>
      <c r="O104" s="63" t="e">
        <f>Saisie!#REF!</f>
        <v>#REF!</v>
      </c>
      <c r="P104" s="63">
        <f>Saisie!N104</f>
        <v>0</v>
      </c>
      <c r="Q104" s="63" t="e">
        <f t="array" ref="Q104">_xlfn.IFS(Saisie!#REF!="OUI",1,Saisie!#REF!="NON",0)</f>
        <v>#REF!</v>
      </c>
      <c r="R104" s="63" t="e">
        <f>Saisie!#REF!</f>
        <v>#REF!</v>
      </c>
      <c r="S104" s="65" t="e">
        <f>Saisie!#REF!</f>
        <v>#REF!</v>
      </c>
      <c r="T104" s="63" t="e">
        <f>Saisie!#REF!</f>
        <v>#REF!</v>
      </c>
      <c r="U104" s="63" t="e">
        <f>Saisie!#REF!</f>
        <v>#REF!</v>
      </c>
      <c r="V104" s="63" t="e">
        <f t="array" ref="V104">_xlfn.IFS(Saisie!#REF!="OUI",1,Saisie!#REF!="NON",0)</f>
        <v>#REF!</v>
      </c>
      <c r="W104" s="63" t="e">
        <f t="array" ref="W104">_xlfn.IFS(Saisie!O104="OUI",1,Saisie!O104="NON",0)</f>
        <v>#N/A</v>
      </c>
      <c r="X104" s="63">
        <f>Saisie!P104</f>
        <v>0</v>
      </c>
      <c r="Y104" s="299">
        <f>Saisie!H104</f>
        <v>0</v>
      </c>
      <c r="Z104" s="58" t="e">
        <f>Saisie!#REF!</f>
        <v>#REF!</v>
      </c>
      <c r="AA104" s="299">
        <f>Saisie!Q104</f>
        <v>0</v>
      </c>
      <c r="AB104" s="63" t="e">
        <f t="array" ref="AB104">_xlfn.IFS(Saisie!R104="OUI",1,Saisie!R104="NON",0)</f>
        <v>#N/A</v>
      </c>
      <c r="AC104" s="63">
        <f>Saisie!S104</f>
        <v>0</v>
      </c>
      <c r="AD104" s="63" t="e">
        <f t="array" ref="AD104">_xlfn.IFS(Saisie!T104="OUI",1,Saisie!T104="NON",0)</f>
        <v>#N/A</v>
      </c>
      <c r="AE104" s="171">
        <f>Saisie!U104</f>
        <v>0</v>
      </c>
      <c r="AF104" s="263">
        <v>3</v>
      </c>
      <c r="AG104" s="129">
        <f>Saisie!W104</f>
        <v>0</v>
      </c>
      <c r="AH104" s="20">
        <f>Saisie!X104</f>
        <v>0</v>
      </c>
      <c r="AI104" s="21">
        <f>Saisie!Y104</f>
        <v>0</v>
      </c>
      <c r="AJ104" s="59">
        <f>Saisie!Z104</f>
        <v>0</v>
      </c>
      <c r="AK104" s="20">
        <f>Saisie!AA104</f>
        <v>0</v>
      </c>
      <c r="AL104" s="21">
        <f>Saisie!AB104</f>
        <v>0</v>
      </c>
      <c r="AM104" s="59">
        <f>Saisie!AC104</f>
        <v>0</v>
      </c>
      <c r="AN104" s="20">
        <f>Saisie!AD104</f>
        <v>0</v>
      </c>
      <c r="AO104" s="21">
        <f>Saisie!AE104</f>
        <v>0</v>
      </c>
      <c r="AP104" s="59">
        <f>Saisie!AF104</f>
        <v>0</v>
      </c>
      <c r="AQ104" s="129" t="e">
        <f t="array" ref="AQ104">_xlfn.IFS(Saisie!AG104="OUI",1,Saisie!AG104="NON",0)</f>
        <v>#N/A</v>
      </c>
      <c r="AR104" s="129" t="e">
        <f t="array" ref="AR104">_xlfn.IFS(Saisie!AH104="OUI",1,Saisie!AH104="NON",0)</f>
        <v>#N/A</v>
      </c>
      <c r="AS104" s="171">
        <f>Saisie!AI104</f>
        <v>0</v>
      </c>
      <c r="AT104" s="263" t="e">
        <f t="array" ref="AT104">_xlfn.IFS(Saisie!AJ104="OUI",1,Saisie!AJ104="NON",0)</f>
        <v>#N/A</v>
      </c>
      <c r="AU104" s="173">
        <f>Saisie!AK104</f>
        <v>0</v>
      </c>
      <c r="AV104" s="263" t="e">
        <f t="array" ref="AV104">_xlfn.IFS(Saisie!AL104="OUI",1,Saisie!AL104="NON",0)</f>
        <v>#N/A</v>
      </c>
      <c r="AW104" s="171">
        <f>Saisie!AM104</f>
        <v>0</v>
      </c>
      <c r="AX104" s="68">
        <f>Saisie!AN104</f>
        <v>0</v>
      </c>
      <c r="AY104" s="20">
        <f>Saisie!AO104</f>
        <v>0</v>
      </c>
      <c r="AZ104" s="21">
        <f>Saisie!AP104</f>
        <v>0</v>
      </c>
      <c r="BA104" s="298">
        <f>Saisie!AQ104</f>
        <v>0</v>
      </c>
      <c r="BB104" s="170">
        <f>Saisie!AR104</f>
        <v>0</v>
      </c>
      <c r="BC104" s="174">
        <f>Saisie!AS104</f>
        <v>0</v>
      </c>
      <c r="BD104" s="61">
        <f>Saisie!AT104</f>
        <v>0</v>
      </c>
      <c r="BE104" s="175" t="e">
        <f t="array" ref="BE104">_xlfn.IFS(Saisie!AU104="OUI",1,Saisie!AU104="NON",0)</f>
        <v>#N/A</v>
      </c>
      <c r="BF104" s="267">
        <f>Saisie!AV104</f>
        <v>0</v>
      </c>
      <c r="BG104" s="55">
        <f>Saisie!AW104</f>
        <v>0</v>
      </c>
      <c r="BH104" s="55" t="e">
        <f t="array" ref="BH104">_xlfn.IFS(Saisie!AX104="OUI",1,Saisie!AX104="NON",0)</f>
        <v>#N/A</v>
      </c>
      <c r="BI104" s="62">
        <f>Saisie!AY104</f>
        <v>0</v>
      </c>
      <c r="BJ104" s="55" t="e">
        <f t="array" ref="BJ104">_xlfn.IFS(Saisie!AZ104="OUI",1,Saisie!AZ104="NON",0)</f>
        <v>#N/A</v>
      </c>
      <c r="BK104" s="55" t="e">
        <f t="array" ref="BK104">_xlfn.IFS(Saisie!BA104="OUI",1,Saisie!BA104="NON",0)</f>
        <v>#N/A</v>
      </c>
      <c r="BL104" s="55">
        <f>Saisie!BB104</f>
        <v>0</v>
      </c>
      <c r="BM104" s="49" t="e">
        <f>Saisie!BC104</f>
        <v>#REF!</v>
      </c>
      <c r="BN104" s="175"/>
    </row>
    <row r="105" spans="1:66" s="176" customFormat="1" x14ac:dyDescent="0.45">
      <c r="A105" s="13">
        <v>99</v>
      </c>
      <c r="B105" s="150">
        <f>Saisie!B105</f>
        <v>0</v>
      </c>
      <c r="C105" s="150">
        <f>Saisie!C105</f>
        <v>0</v>
      </c>
      <c r="D105" s="150">
        <f>Saisie!D105</f>
        <v>0</v>
      </c>
      <c r="E105" s="150">
        <f>Saisie!E105</f>
        <v>0</v>
      </c>
      <c r="F105" s="150">
        <f>Saisie!F105</f>
        <v>0</v>
      </c>
      <c r="G105" s="150">
        <f>Saisie!G105</f>
        <v>0</v>
      </c>
      <c r="H105" s="150">
        <f>Saisie!I105</f>
        <v>0</v>
      </c>
      <c r="I105" s="150">
        <f>Saisie!J105</f>
        <v>0</v>
      </c>
      <c r="J105" s="150">
        <f>Saisie!K105</f>
        <v>0</v>
      </c>
      <c r="K105" s="150">
        <f>Saisie!L105</f>
        <v>0</v>
      </c>
      <c r="L105" s="150" t="e">
        <f>Saisie!#REF!</f>
        <v>#REF!</v>
      </c>
      <c r="M105" s="55" t="e">
        <f t="array" ref="M105">_xlfn.IFS(Saisie!M105="OUI",1,Saisie!M105="NON",0)</f>
        <v>#N/A</v>
      </c>
      <c r="N105" s="64" t="e">
        <f>Saisie!#REF!</f>
        <v>#REF!</v>
      </c>
      <c r="O105" s="63" t="e">
        <f>Saisie!#REF!</f>
        <v>#REF!</v>
      </c>
      <c r="P105" s="63">
        <f>Saisie!N105</f>
        <v>0</v>
      </c>
      <c r="Q105" s="63" t="e">
        <f t="array" ref="Q105">_xlfn.IFS(Saisie!#REF!="OUI",1,Saisie!#REF!="NON",0)</f>
        <v>#REF!</v>
      </c>
      <c r="R105" s="63" t="e">
        <f>Saisie!#REF!</f>
        <v>#REF!</v>
      </c>
      <c r="S105" s="65" t="e">
        <f>Saisie!#REF!</f>
        <v>#REF!</v>
      </c>
      <c r="T105" s="63" t="e">
        <f>Saisie!#REF!</f>
        <v>#REF!</v>
      </c>
      <c r="U105" s="63" t="e">
        <f>Saisie!#REF!</f>
        <v>#REF!</v>
      </c>
      <c r="V105" s="63" t="e">
        <f t="array" ref="V105">_xlfn.IFS(Saisie!#REF!="OUI",1,Saisie!#REF!="NON",0)</f>
        <v>#REF!</v>
      </c>
      <c r="W105" s="63" t="e">
        <f t="array" ref="W105">_xlfn.IFS(Saisie!O105="OUI",1,Saisie!O105="NON",0)</f>
        <v>#N/A</v>
      </c>
      <c r="X105" s="63">
        <f>Saisie!P105</f>
        <v>0</v>
      </c>
      <c r="Y105" s="299">
        <f>Saisie!H105</f>
        <v>0</v>
      </c>
      <c r="Z105" s="58" t="e">
        <f>Saisie!#REF!</f>
        <v>#REF!</v>
      </c>
      <c r="AA105" s="299">
        <f>Saisie!Q105</f>
        <v>0</v>
      </c>
      <c r="AB105" s="63" t="e">
        <f t="array" ref="AB105">_xlfn.IFS(Saisie!R105="OUI",1,Saisie!R105="NON",0)</f>
        <v>#N/A</v>
      </c>
      <c r="AC105" s="63">
        <f>Saisie!S105</f>
        <v>0</v>
      </c>
      <c r="AD105" s="63" t="e">
        <f t="array" ref="AD105">_xlfn.IFS(Saisie!T105="OUI",1,Saisie!T105="NON",0)</f>
        <v>#N/A</v>
      </c>
      <c r="AE105" s="171">
        <f>Saisie!U105</f>
        <v>0</v>
      </c>
      <c r="AF105" s="263">
        <v>3</v>
      </c>
      <c r="AG105" s="129">
        <f>Saisie!W105</f>
        <v>0</v>
      </c>
      <c r="AH105" s="20">
        <f>Saisie!X105</f>
        <v>0</v>
      </c>
      <c r="AI105" s="21">
        <f>Saisie!Y105</f>
        <v>0</v>
      </c>
      <c r="AJ105" s="59">
        <f>Saisie!Z105</f>
        <v>0</v>
      </c>
      <c r="AK105" s="20">
        <f>Saisie!AA105</f>
        <v>0</v>
      </c>
      <c r="AL105" s="21">
        <f>Saisie!AB105</f>
        <v>0</v>
      </c>
      <c r="AM105" s="59">
        <f>Saisie!AC105</f>
        <v>0</v>
      </c>
      <c r="AN105" s="20">
        <f>Saisie!AD105</f>
        <v>0</v>
      </c>
      <c r="AO105" s="21">
        <f>Saisie!AE105</f>
        <v>0</v>
      </c>
      <c r="AP105" s="59">
        <f>Saisie!AF105</f>
        <v>0</v>
      </c>
      <c r="AQ105" s="129" t="e">
        <f t="array" ref="AQ105">_xlfn.IFS(Saisie!AG105="OUI",1,Saisie!AG105="NON",0)</f>
        <v>#N/A</v>
      </c>
      <c r="AR105" s="129" t="e">
        <f t="array" ref="AR105">_xlfn.IFS(Saisie!AH105="OUI",1,Saisie!AH105="NON",0)</f>
        <v>#N/A</v>
      </c>
      <c r="AS105" s="171">
        <f>Saisie!AI105</f>
        <v>0</v>
      </c>
      <c r="AT105" s="263" t="e">
        <f t="array" ref="AT105">_xlfn.IFS(Saisie!AJ105="OUI",1,Saisie!AJ105="NON",0)</f>
        <v>#N/A</v>
      </c>
      <c r="AU105" s="173">
        <f>Saisie!AK105</f>
        <v>0</v>
      </c>
      <c r="AV105" s="263" t="e">
        <f t="array" ref="AV105">_xlfn.IFS(Saisie!AL105="OUI",1,Saisie!AL105="NON",0)</f>
        <v>#N/A</v>
      </c>
      <c r="AW105" s="171">
        <f>Saisie!AM105</f>
        <v>0</v>
      </c>
      <c r="AX105" s="68">
        <f>Saisie!AN105</f>
        <v>0</v>
      </c>
      <c r="AY105" s="20">
        <f>Saisie!AO105</f>
        <v>0</v>
      </c>
      <c r="AZ105" s="21">
        <f>Saisie!AP105</f>
        <v>0</v>
      </c>
      <c r="BA105" s="298">
        <f>Saisie!AQ105</f>
        <v>0</v>
      </c>
      <c r="BB105" s="170">
        <f>Saisie!AR105</f>
        <v>0</v>
      </c>
      <c r="BC105" s="174">
        <f>Saisie!AS105</f>
        <v>0</v>
      </c>
      <c r="BD105" s="61">
        <f>Saisie!AT105</f>
        <v>0</v>
      </c>
      <c r="BE105" s="175" t="e">
        <f t="array" ref="BE105">_xlfn.IFS(Saisie!AU105="OUI",1,Saisie!AU105="NON",0)</f>
        <v>#N/A</v>
      </c>
      <c r="BF105" s="267">
        <f>Saisie!AV105</f>
        <v>0</v>
      </c>
      <c r="BG105" s="55">
        <f>Saisie!AW105</f>
        <v>0</v>
      </c>
      <c r="BH105" s="55" t="e">
        <f t="array" ref="BH105">_xlfn.IFS(Saisie!AX105="OUI",1,Saisie!AX105="NON",0)</f>
        <v>#N/A</v>
      </c>
      <c r="BI105" s="62">
        <f>Saisie!AY105</f>
        <v>0</v>
      </c>
      <c r="BJ105" s="55" t="e">
        <f t="array" ref="BJ105">_xlfn.IFS(Saisie!AZ105="OUI",1,Saisie!AZ105="NON",0)</f>
        <v>#N/A</v>
      </c>
      <c r="BK105" s="55" t="e">
        <f t="array" ref="BK105">_xlfn.IFS(Saisie!BA105="OUI",1,Saisie!BA105="NON",0)</f>
        <v>#N/A</v>
      </c>
      <c r="BL105" s="55">
        <f>Saisie!BB105</f>
        <v>0</v>
      </c>
      <c r="BM105" s="49" t="e">
        <f>Saisie!BC105</f>
        <v>#REF!</v>
      </c>
      <c r="BN105" s="175"/>
    </row>
    <row r="106" spans="1:66" s="176" customFormat="1" x14ac:dyDescent="0.45">
      <c r="A106" s="12">
        <v>100</v>
      </c>
      <c r="B106" s="150">
        <f>Saisie!B106</f>
        <v>0</v>
      </c>
      <c r="C106" s="150">
        <f>Saisie!C106</f>
        <v>0</v>
      </c>
      <c r="D106" s="150">
        <f>Saisie!D106</f>
        <v>0</v>
      </c>
      <c r="E106" s="150">
        <f>Saisie!E106</f>
        <v>0</v>
      </c>
      <c r="F106" s="150">
        <f>Saisie!F106</f>
        <v>0</v>
      </c>
      <c r="G106" s="150">
        <f>Saisie!G106</f>
        <v>0</v>
      </c>
      <c r="H106" s="150">
        <f>Saisie!I106</f>
        <v>0</v>
      </c>
      <c r="I106" s="150">
        <f>Saisie!J106</f>
        <v>0</v>
      </c>
      <c r="J106" s="150">
        <f>Saisie!K106</f>
        <v>0</v>
      </c>
      <c r="K106" s="150">
        <f>Saisie!L106</f>
        <v>0</v>
      </c>
      <c r="L106" s="150" t="e">
        <f>Saisie!#REF!</f>
        <v>#REF!</v>
      </c>
      <c r="M106" s="55" t="e">
        <f t="array" ref="M106">_xlfn.IFS(Saisie!M106="OUI",1,Saisie!M106="NON",0)</f>
        <v>#N/A</v>
      </c>
      <c r="N106" s="64" t="e">
        <f>Saisie!#REF!</f>
        <v>#REF!</v>
      </c>
      <c r="O106" s="63" t="e">
        <f>Saisie!#REF!</f>
        <v>#REF!</v>
      </c>
      <c r="P106" s="63">
        <f>Saisie!N106</f>
        <v>0</v>
      </c>
      <c r="Q106" s="63" t="e">
        <f t="array" ref="Q106">_xlfn.IFS(Saisie!#REF!="OUI",1,Saisie!#REF!="NON",0)</f>
        <v>#REF!</v>
      </c>
      <c r="R106" s="63" t="e">
        <f>Saisie!#REF!</f>
        <v>#REF!</v>
      </c>
      <c r="S106" s="65" t="e">
        <f>Saisie!#REF!</f>
        <v>#REF!</v>
      </c>
      <c r="T106" s="63" t="e">
        <f>Saisie!#REF!</f>
        <v>#REF!</v>
      </c>
      <c r="U106" s="63" t="e">
        <f>Saisie!#REF!</f>
        <v>#REF!</v>
      </c>
      <c r="V106" s="63" t="e">
        <f t="array" ref="V106">_xlfn.IFS(Saisie!#REF!="OUI",1,Saisie!#REF!="NON",0)</f>
        <v>#REF!</v>
      </c>
      <c r="W106" s="63" t="e">
        <f t="array" ref="W106">_xlfn.IFS(Saisie!O106="OUI",1,Saisie!O106="NON",0)</f>
        <v>#N/A</v>
      </c>
      <c r="X106" s="63">
        <f>Saisie!P106</f>
        <v>0</v>
      </c>
      <c r="Y106" s="299">
        <f>Saisie!H106</f>
        <v>0</v>
      </c>
      <c r="Z106" s="58" t="e">
        <f>Saisie!#REF!</f>
        <v>#REF!</v>
      </c>
      <c r="AA106" s="299">
        <f>Saisie!Q106</f>
        <v>0</v>
      </c>
      <c r="AB106" s="63" t="e">
        <f t="array" ref="AB106">_xlfn.IFS(Saisie!R106="OUI",1,Saisie!R106="NON",0)</f>
        <v>#N/A</v>
      </c>
      <c r="AC106" s="63">
        <f>Saisie!S106</f>
        <v>0</v>
      </c>
      <c r="AD106" s="63" t="e">
        <f t="array" ref="AD106">_xlfn.IFS(Saisie!T106="OUI",1,Saisie!T106="NON",0)</f>
        <v>#N/A</v>
      </c>
      <c r="AE106" s="171">
        <f>Saisie!U106</f>
        <v>0</v>
      </c>
      <c r="AF106" s="263">
        <v>3</v>
      </c>
      <c r="AG106" s="129">
        <f>Saisie!W106</f>
        <v>0</v>
      </c>
      <c r="AH106" s="20">
        <f>Saisie!X106</f>
        <v>0</v>
      </c>
      <c r="AI106" s="21">
        <f>Saisie!Y106</f>
        <v>0</v>
      </c>
      <c r="AJ106" s="59">
        <f>Saisie!Z106</f>
        <v>0</v>
      </c>
      <c r="AK106" s="20">
        <f>Saisie!AA106</f>
        <v>0</v>
      </c>
      <c r="AL106" s="21">
        <f>Saisie!AB106</f>
        <v>0</v>
      </c>
      <c r="AM106" s="59">
        <f>Saisie!AC106</f>
        <v>0</v>
      </c>
      <c r="AN106" s="20">
        <f>Saisie!AD106</f>
        <v>0</v>
      </c>
      <c r="AO106" s="21">
        <f>Saisie!AE106</f>
        <v>0</v>
      </c>
      <c r="AP106" s="59">
        <f>Saisie!AF106</f>
        <v>0</v>
      </c>
      <c r="AQ106" s="129" t="e">
        <f t="array" ref="AQ106">_xlfn.IFS(Saisie!AG106="OUI",1,Saisie!AG106="NON",0)</f>
        <v>#N/A</v>
      </c>
      <c r="AR106" s="129" t="e">
        <f t="array" ref="AR106">_xlfn.IFS(Saisie!AH106="OUI",1,Saisie!AH106="NON",0)</f>
        <v>#N/A</v>
      </c>
      <c r="AS106" s="171">
        <f>Saisie!AI106</f>
        <v>0</v>
      </c>
      <c r="AT106" s="263" t="e">
        <f t="array" ref="AT106">_xlfn.IFS(Saisie!AJ106="OUI",1,Saisie!AJ106="NON",0)</f>
        <v>#N/A</v>
      </c>
      <c r="AU106" s="173">
        <f>Saisie!AK106</f>
        <v>0</v>
      </c>
      <c r="AV106" s="263" t="e">
        <f t="array" ref="AV106">_xlfn.IFS(Saisie!AL106="OUI",1,Saisie!AL106="NON",0)</f>
        <v>#N/A</v>
      </c>
      <c r="AW106" s="171">
        <f>Saisie!AM106</f>
        <v>0</v>
      </c>
      <c r="AX106" s="68">
        <f>Saisie!AN106</f>
        <v>0</v>
      </c>
      <c r="AY106" s="20">
        <f>Saisie!AO106</f>
        <v>0</v>
      </c>
      <c r="AZ106" s="21">
        <f>Saisie!AP106</f>
        <v>0</v>
      </c>
      <c r="BA106" s="298">
        <f>Saisie!AQ106</f>
        <v>0</v>
      </c>
      <c r="BB106" s="170">
        <f>Saisie!AR106</f>
        <v>0</v>
      </c>
      <c r="BC106" s="174">
        <f>Saisie!AS106</f>
        <v>0</v>
      </c>
      <c r="BD106" s="61">
        <f>Saisie!AT106</f>
        <v>0</v>
      </c>
      <c r="BE106" s="175" t="e">
        <f t="array" ref="BE106">_xlfn.IFS(Saisie!AU106="OUI",1,Saisie!AU106="NON",0)</f>
        <v>#N/A</v>
      </c>
      <c r="BF106" s="267">
        <f>Saisie!AV106</f>
        <v>0</v>
      </c>
      <c r="BG106" s="55">
        <f>Saisie!AW106</f>
        <v>0</v>
      </c>
      <c r="BH106" s="55" t="e">
        <f t="array" ref="BH106">_xlfn.IFS(Saisie!AX106="OUI",1,Saisie!AX106="NON",0)</f>
        <v>#N/A</v>
      </c>
      <c r="BI106" s="62">
        <f>Saisie!AY106</f>
        <v>0</v>
      </c>
      <c r="BJ106" s="55" t="e">
        <f t="array" ref="BJ106">_xlfn.IFS(Saisie!AZ106="OUI",1,Saisie!AZ106="NON",0)</f>
        <v>#N/A</v>
      </c>
      <c r="BK106" s="55" t="e">
        <f t="array" ref="BK106">_xlfn.IFS(Saisie!BA106="OUI",1,Saisie!BA106="NON",0)</f>
        <v>#N/A</v>
      </c>
      <c r="BL106" s="55">
        <f>Saisie!BB106</f>
        <v>0</v>
      </c>
      <c r="BM106" s="49" t="e">
        <f>Saisie!BC106</f>
        <v>#REF!</v>
      </c>
      <c r="BN106" s="175"/>
    </row>
    <row r="107" spans="1:66" s="176" customFormat="1" x14ac:dyDescent="0.45">
      <c r="A107" s="13">
        <v>101</v>
      </c>
      <c r="B107" s="150">
        <f>Saisie!B107</f>
        <v>0</v>
      </c>
      <c r="C107" s="150">
        <f>Saisie!C107</f>
        <v>0</v>
      </c>
      <c r="D107" s="150">
        <f>Saisie!D107</f>
        <v>0</v>
      </c>
      <c r="E107" s="150">
        <f>Saisie!E107</f>
        <v>0</v>
      </c>
      <c r="F107" s="150">
        <f>Saisie!F107</f>
        <v>0</v>
      </c>
      <c r="G107" s="150">
        <f>Saisie!G107</f>
        <v>0</v>
      </c>
      <c r="H107" s="150">
        <f>Saisie!I107</f>
        <v>0</v>
      </c>
      <c r="I107" s="150">
        <f>Saisie!J107</f>
        <v>0</v>
      </c>
      <c r="J107" s="150">
        <f>Saisie!K107</f>
        <v>0</v>
      </c>
      <c r="K107" s="150">
        <f>Saisie!L107</f>
        <v>0</v>
      </c>
      <c r="L107" s="150" t="e">
        <f>Saisie!#REF!</f>
        <v>#REF!</v>
      </c>
      <c r="M107" s="55" t="e">
        <f t="array" ref="M107">_xlfn.IFS(Saisie!M107="OUI",1,Saisie!M107="NON",0)</f>
        <v>#N/A</v>
      </c>
      <c r="N107" s="64" t="e">
        <f>Saisie!#REF!</f>
        <v>#REF!</v>
      </c>
      <c r="O107" s="63" t="e">
        <f>Saisie!#REF!</f>
        <v>#REF!</v>
      </c>
      <c r="P107" s="63">
        <f>Saisie!N107</f>
        <v>0</v>
      </c>
      <c r="Q107" s="63" t="e">
        <f t="array" ref="Q107">_xlfn.IFS(Saisie!#REF!="OUI",1,Saisie!#REF!="NON",0)</f>
        <v>#REF!</v>
      </c>
      <c r="R107" s="63" t="e">
        <f>Saisie!#REF!</f>
        <v>#REF!</v>
      </c>
      <c r="S107" s="65" t="e">
        <f>Saisie!#REF!</f>
        <v>#REF!</v>
      </c>
      <c r="T107" s="63" t="e">
        <f>Saisie!#REF!</f>
        <v>#REF!</v>
      </c>
      <c r="U107" s="63" t="e">
        <f>Saisie!#REF!</f>
        <v>#REF!</v>
      </c>
      <c r="V107" s="63" t="e">
        <f t="array" ref="V107">_xlfn.IFS(Saisie!#REF!="OUI",1,Saisie!#REF!="NON",0)</f>
        <v>#REF!</v>
      </c>
      <c r="W107" s="63" t="e">
        <f t="array" ref="W107">_xlfn.IFS(Saisie!O107="OUI",1,Saisie!O107="NON",0)</f>
        <v>#N/A</v>
      </c>
      <c r="X107" s="63">
        <f>Saisie!P107</f>
        <v>0</v>
      </c>
      <c r="Y107" s="299">
        <f>Saisie!H107</f>
        <v>0</v>
      </c>
      <c r="Z107" s="58" t="e">
        <f>Saisie!#REF!</f>
        <v>#REF!</v>
      </c>
      <c r="AA107" s="299">
        <f>Saisie!Q107</f>
        <v>0</v>
      </c>
      <c r="AB107" s="63" t="e">
        <f t="array" ref="AB107">_xlfn.IFS(Saisie!R107="OUI",1,Saisie!R107="NON",0)</f>
        <v>#N/A</v>
      </c>
      <c r="AC107" s="63">
        <f>Saisie!S107</f>
        <v>0</v>
      </c>
      <c r="AD107" s="63" t="e">
        <f t="array" ref="AD107">_xlfn.IFS(Saisie!T107="OUI",1,Saisie!T107="NON",0)</f>
        <v>#N/A</v>
      </c>
      <c r="AE107" s="171">
        <f>Saisie!U107</f>
        <v>0</v>
      </c>
      <c r="AF107" s="262">
        <v>3</v>
      </c>
      <c r="AG107" s="129">
        <f>Saisie!W107</f>
        <v>0</v>
      </c>
      <c r="AH107" s="20">
        <f>Saisie!X107</f>
        <v>0</v>
      </c>
      <c r="AI107" s="21">
        <f>Saisie!Y107</f>
        <v>0</v>
      </c>
      <c r="AJ107" s="59">
        <f>Saisie!Z107</f>
        <v>0</v>
      </c>
      <c r="AK107" s="20">
        <f>Saisie!AA107</f>
        <v>0</v>
      </c>
      <c r="AL107" s="21">
        <f>Saisie!AB107</f>
        <v>0</v>
      </c>
      <c r="AM107" s="59">
        <f>Saisie!AC107</f>
        <v>0</v>
      </c>
      <c r="AN107" s="20">
        <f>Saisie!AD107</f>
        <v>0</v>
      </c>
      <c r="AO107" s="21">
        <f>Saisie!AE107</f>
        <v>0</v>
      </c>
      <c r="AP107" s="59">
        <f>Saisie!AF107</f>
        <v>0</v>
      </c>
      <c r="AQ107" s="129" t="e">
        <f t="array" ref="AQ107">_xlfn.IFS(Saisie!AG107="OUI",1,Saisie!AG107="NON",0)</f>
        <v>#N/A</v>
      </c>
      <c r="AR107" s="129" t="e">
        <f t="array" ref="AR107">_xlfn.IFS(Saisie!AH107="OUI",1,Saisie!AH107="NON",0)</f>
        <v>#N/A</v>
      </c>
      <c r="AS107" s="171">
        <f>Saisie!AI107</f>
        <v>0</v>
      </c>
      <c r="AT107" s="263" t="e">
        <f t="array" ref="AT107">_xlfn.IFS(Saisie!AJ107="OUI",1,Saisie!AJ107="NON",0)</f>
        <v>#N/A</v>
      </c>
      <c r="AU107" s="173">
        <f>Saisie!AK107</f>
        <v>0</v>
      </c>
      <c r="AV107" s="263" t="e">
        <f t="array" ref="AV107">_xlfn.IFS(Saisie!AL107="OUI",1,Saisie!AL107="NON",0)</f>
        <v>#N/A</v>
      </c>
      <c r="AW107" s="171">
        <f>Saisie!AM107</f>
        <v>0</v>
      </c>
      <c r="AX107" s="68">
        <f>Saisie!AN107</f>
        <v>0</v>
      </c>
      <c r="AY107" s="20">
        <f>Saisie!AO107</f>
        <v>0</v>
      </c>
      <c r="AZ107" s="21">
        <f>Saisie!AP107</f>
        <v>0</v>
      </c>
      <c r="BA107" s="298">
        <f>Saisie!AQ107</f>
        <v>0</v>
      </c>
      <c r="BB107" s="170">
        <f>Saisie!AR107</f>
        <v>0</v>
      </c>
      <c r="BC107" s="174">
        <f>Saisie!AS107</f>
        <v>0</v>
      </c>
      <c r="BD107" s="61">
        <f>Saisie!AT107</f>
        <v>0</v>
      </c>
      <c r="BE107" s="175" t="e">
        <f t="array" ref="BE107">_xlfn.IFS(Saisie!AU107="OUI",1,Saisie!AU107="NON",0)</f>
        <v>#N/A</v>
      </c>
      <c r="BF107" s="267">
        <f>Saisie!AV107</f>
        <v>0</v>
      </c>
      <c r="BG107" s="55">
        <f>Saisie!AW107</f>
        <v>0</v>
      </c>
      <c r="BH107" s="55" t="e">
        <f t="array" ref="BH107">_xlfn.IFS(Saisie!AX107="OUI",1,Saisie!AX107="NON",0)</f>
        <v>#N/A</v>
      </c>
      <c r="BI107" s="62">
        <f>Saisie!AY107</f>
        <v>0</v>
      </c>
      <c r="BJ107" s="55" t="e">
        <f t="array" ref="BJ107">_xlfn.IFS(Saisie!AZ107="OUI",1,Saisie!AZ107="NON",0)</f>
        <v>#N/A</v>
      </c>
      <c r="BK107" s="55" t="e">
        <f t="array" ref="BK107">_xlfn.IFS(Saisie!BA107="OUI",1,Saisie!BA107="NON",0)</f>
        <v>#N/A</v>
      </c>
      <c r="BL107" s="55">
        <f>Saisie!BB107</f>
        <v>0</v>
      </c>
      <c r="BM107" s="49" t="e">
        <f>Saisie!BC107</f>
        <v>#REF!</v>
      </c>
      <c r="BN107" s="175"/>
    </row>
    <row r="108" spans="1:66" s="176" customFormat="1" x14ac:dyDescent="0.45">
      <c r="A108" s="13">
        <v>102</v>
      </c>
      <c r="B108" s="150">
        <f>Saisie!B108</f>
        <v>0</v>
      </c>
      <c r="C108" s="150">
        <f>Saisie!C108</f>
        <v>0</v>
      </c>
      <c r="D108" s="150">
        <f>Saisie!D108</f>
        <v>0</v>
      </c>
      <c r="E108" s="150">
        <f>Saisie!E108</f>
        <v>0</v>
      </c>
      <c r="F108" s="150">
        <f>Saisie!F108</f>
        <v>0</v>
      </c>
      <c r="G108" s="150">
        <f>Saisie!G108</f>
        <v>0</v>
      </c>
      <c r="H108" s="150">
        <f>Saisie!I108</f>
        <v>0</v>
      </c>
      <c r="I108" s="150">
        <f>Saisie!J108</f>
        <v>0</v>
      </c>
      <c r="J108" s="150">
        <f>Saisie!K108</f>
        <v>0</v>
      </c>
      <c r="K108" s="150">
        <f>Saisie!L108</f>
        <v>0</v>
      </c>
      <c r="L108" s="150" t="e">
        <f>Saisie!#REF!</f>
        <v>#REF!</v>
      </c>
      <c r="M108" s="55" t="e">
        <f t="array" ref="M108">_xlfn.IFS(Saisie!M108="OUI",1,Saisie!M108="NON",0)</f>
        <v>#N/A</v>
      </c>
      <c r="N108" s="64" t="e">
        <f>Saisie!#REF!</f>
        <v>#REF!</v>
      </c>
      <c r="O108" s="63" t="e">
        <f>Saisie!#REF!</f>
        <v>#REF!</v>
      </c>
      <c r="P108" s="63">
        <f>Saisie!N108</f>
        <v>0</v>
      </c>
      <c r="Q108" s="63" t="e">
        <f t="array" ref="Q108">_xlfn.IFS(Saisie!#REF!="OUI",1,Saisie!#REF!="NON",0)</f>
        <v>#REF!</v>
      </c>
      <c r="R108" s="63" t="e">
        <f>Saisie!#REF!</f>
        <v>#REF!</v>
      </c>
      <c r="S108" s="65" t="e">
        <f>Saisie!#REF!</f>
        <v>#REF!</v>
      </c>
      <c r="T108" s="63" t="e">
        <f>Saisie!#REF!</f>
        <v>#REF!</v>
      </c>
      <c r="U108" s="63" t="e">
        <f>Saisie!#REF!</f>
        <v>#REF!</v>
      </c>
      <c r="V108" s="63" t="e">
        <f t="array" ref="V108">_xlfn.IFS(Saisie!#REF!="OUI",1,Saisie!#REF!="NON",0)</f>
        <v>#REF!</v>
      </c>
      <c r="W108" s="63" t="e">
        <f t="array" ref="W108">_xlfn.IFS(Saisie!O108="OUI",1,Saisie!O108="NON",0)</f>
        <v>#N/A</v>
      </c>
      <c r="X108" s="63">
        <f>Saisie!P108</f>
        <v>0</v>
      </c>
      <c r="Y108" s="299">
        <f>Saisie!H108</f>
        <v>0</v>
      </c>
      <c r="Z108" s="58" t="e">
        <f>Saisie!#REF!</f>
        <v>#REF!</v>
      </c>
      <c r="AA108" s="299">
        <f>Saisie!Q108</f>
        <v>0</v>
      </c>
      <c r="AB108" s="63" t="e">
        <f t="array" ref="AB108">_xlfn.IFS(Saisie!R108="OUI",1,Saisie!R108="NON",0)</f>
        <v>#N/A</v>
      </c>
      <c r="AC108" s="63">
        <f>Saisie!S108</f>
        <v>0</v>
      </c>
      <c r="AD108" s="63" t="e">
        <f t="array" ref="AD108">_xlfn.IFS(Saisie!T108="OUI",1,Saisie!T108="NON",0)</f>
        <v>#N/A</v>
      </c>
      <c r="AE108" s="171">
        <f>Saisie!U108</f>
        <v>0</v>
      </c>
      <c r="AF108" s="262">
        <v>3</v>
      </c>
      <c r="AG108" s="129">
        <f>Saisie!W108</f>
        <v>0</v>
      </c>
      <c r="AH108" s="20">
        <f>Saisie!X108</f>
        <v>0</v>
      </c>
      <c r="AI108" s="21">
        <f>Saisie!Y108</f>
        <v>0</v>
      </c>
      <c r="AJ108" s="59">
        <f>Saisie!Z108</f>
        <v>0</v>
      </c>
      <c r="AK108" s="20">
        <f>Saisie!AA108</f>
        <v>0</v>
      </c>
      <c r="AL108" s="21">
        <f>Saisie!AB108</f>
        <v>0</v>
      </c>
      <c r="AM108" s="59">
        <f>Saisie!AC108</f>
        <v>0</v>
      </c>
      <c r="AN108" s="20">
        <f>Saisie!AD108</f>
        <v>0</v>
      </c>
      <c r="AO108" s="21">
        <f>Saisie!AE108</f>
        <v>0</v>
      </c>
      <c r="AP108" s="59">
        <f>Saisie!AF108</f>
        <v>0</v>
      </c>
      <c r="AQ108" s="129" t="e">
        <f t="array" ref="AQ108">_xlfn.IFS(Saisie!AG108="OUI",1,Saisie!AG108="NON",0)</f>
        <v>#N/A</v>
      </c>
      <c r="AR108" s="129" t="e">
        <f t="array" ref="AR108">_xlfn.IFS(Saisie!AH108="OUI",1,Saisie!AH108="NON",0)</f>
        <v>#N/A</v>
      </c>
      <c r="AS108" s="171">
        <f>Saisie!AI108</f>
        <v>0</v>
      </c>
      <c r="AT108" s="263" t="e">
        <f t="array" ref="AT108">_xlfn.IFS(Saisie!AJ108="OUI",1,Saisie!AJ108="NON",0)</f>
        <v>#N/A</v>
      </c>
      <c r="AU108" s="173">
        <f>Saisie!AK108</f>
        <v>0</v>
      </c>
      <c r="AV108" s="263" t="e">
        <f t="array" ref="AV108">_xlfn.IFS(Saisie!AL108="OUI",1,Saisie!AL108="NON",0)</f>
        <v>#N/A</v>
      </c>
      <c r="AW108" s="171">
        <f>Saisie!AM108</f>
        <v>0</v>
      </c>
      <c r="AX108" s="68">
        <f>Saisie!AN108</f>
        <v>0</v>
      </c>
      <c r="AY108" s="20">
        <f>Saisie!AO108</f>
        <v>0</v>
      </c>
      <c r="AZ108" s="21">
        <f>Saisie!AP108</f>
        <v>0</v>
      </c>
      <c r="BA108" s="298">
        <f>Saisie!AQ108</f>
        <v>0</v>
      </c>
      <c r="BB108" s="170">
        <f>Saisie!AR108</f>
        <v>0</v>
      </c>
      <c r="BC108" s="174">
        <f>Saisie!AS108</f>
        <v>0</v>
      </c>
      <c r="BD108" s="61">
        <f>Saisie!AT108</f>
        <v>0</v>
      </c>
      <c r="BE108" s="175" t="e">
        <f t="array" ref="BE108">_xlfn.IFS(Saisie!AU108="OUI",1,Saisie!AU108="NON",0)</f>
        <v>#N/A</v>
      </c>
      <c r="BF108" s="267">
        <f>Saisie!AV108</f>
        <v>0</v>
      </c>
      <c r="BG108" s="55">
        <f>Saisie!AW108</f>
        <v>0</v>
      </c>
      <c r="BH108" s="55" t="e">
        <f t="array" ref="BH108">_xlfn.IFS(Saisie!AX108="OUI",1,Saisie!AX108="NON",0)</f>
        <v>#N/A</v>
      </c>
      <c r="BI108" s="62">
        <f>Saisie!AY108</f>
        <v>0</v>
      </c>
      <c r="BJ108" s="55" t="e">
        <f t="array" ref="BJ108">_xlfn.IFS(Saisie!AZ108="OUI",1,Saisie!AZ108="NON",0)</f>
        <v>#N/A</v>
      </c>
      <c r="BK108" s="55" t="e">
        <f t="array" ref="BK108">_xlfn.IFS(Saisie!BA108="OUI",1,Saisie!BA108="NON",0)</f>
        <v>#N/A</v>
      </c>
      <c r="BL108" s="55">
        <f>Saisie!BB108</f>
        <v>0</v>
      </c>
      <c r="BM108" s="49" t="e">
        <f>Saisie!BC108</f>
        <v>#REF!</v>
      </c>
      <c r="BN108" s="175"/>
    </row>
    <row r="109" spans="1:66" s="176" customFormat="1" x14ac:dyDescent="0.45">
      <c r="A109" s="12">
        <v>103</v>
      </c>
      <c r="B109" s="150">
        <f>Saisie!B109</f>
        <v>0</v>
      </c>
      <c r="C109" s="150">
        <f>Saisie!C109</f>
        <v>0</v>
      </c>
      <c r="D109" s="150">
        <f>Saisie!D109</f>
        <v>0</v>
      </c>
      <c r="E109" s="150">
        <f>Saisie!E109</f>
        <v>0</v>
      </c>
      <c r="F109" s="150">
        <f>Saisie!F109</f>
        <v>0</v>
      </c>
      <c r="G109" s="150">
        <f>Saisie!G109</f>
        <v>0</v>
      </c>
      <c r="H109" s="150">
        <f>Saisie!I109</f>
        <v>0</v>
      </c>
      <c r="I109" s="150">
        <f>Saisie!J109</f>
        <v>0</v>
      </c>
      <c r="J109" s="150">
        <f>Saisie!K109</f>
        <v>0</v>
      </c>
      <c r="K109" s="150">
        <f>Saisie!L109</f>
        <v>0</v>
      </c>
      <c r="L109" s="150" t="e">
        <f>Saisie!#REF!</f>
        <v>#REF!</v>
      </c>
      <c r="M109" s="55" t="e">
        <f t="array" ref="M109">_xlfn.IFS(Saisie!M109="OUI",1,Saisie!M109="NON",0)</f>
        <v>#N/A</v>
      </c>
      <c r="N109" s="64" t="e">
        <f>Saisie!#REF!</f>
        <v>#REF!</v>
      </c>
      <c r="O109" s="63" t="e">
        <f>Saisie!#REF!</f>
        <v>#REF!</v>
      </c>
      <c r="P109" s="63">
        <f>Saisie!N109</f>
        <v>0</v>
      </c>
      <c r="Q109" s="63" t="e">
        <f t="array" ref="Q109">_xlfn.IFS(Saisie!#REF!="OUI",1,Saisie!#REF!="NON",0)</f>
        <v>#REF!</v>
      </c>
      <c r="R109" s="63" t="e">
        <f>Saisie!#REF!</f>
        <v>#REF!</v>
      </c>
      <c r="S109" s="65" t="e">
        <f>Saisie!#REF!</f>
        <v>#REF!</v>
      </c>
      <c r="T109" s="63" t="e">
        <f>Saisie!#REF!</f>
        <v>#REF!</v>
      </c>
      <c r="U109" s="63" t="e">
        <f>Saisie!#REF!</f>
        <v>#REF!</v>
      </c>
      <c r="V109" s="63" t="e">
        <f t="array" ref="V109">_xlfn.IFS(Saisie!#REF!="OUI",1,Saisie!#REF!="NON",0)</f>
        <v>#REF!</v>
      </c>
      <c r="W109" s="63" t="e">
        <f t="array" ref="W109">_xlfn.IFS(Saisie!O109="OUI",1,Saisie!O109="NON",0)</f>
        <v>#N/A</v>
      </c>
      <c r="X109" s="63">
        <f>Saisie!P109</f>
        <v>0</v>
      </c>
      <c r="Y109" s="299">
        <f>Saisie!H109</f>
        <v>0</v>
      </c>
      <c r="Z109" s="58" t="e">
        <f>Saisie!#REF!</f>
        <v>#REF!</v>
      </c>
      <c r="AA109" s="299">
        <f>Saisie!Q109</f>
        <v>0</v>
      </c>
      <c r="AB109" s="63" t="e">
        <f t="array" ref="AB109">_xlfn.IFS(Saisie!R109="OUI",1,Saisie!R109="NON",0)</f>
        <v>#N/A</v>
      </c>
      <c r="AC109" s="63">
        <f>Saisie!S109</f>
        <v>0</v>
      </c>
      <c r="AD109" s="63" t="e">
        <f t="array" ref="AD109">_xlfn.IFS(Saisie!T109="OUI",1,Saisie!T109="NON",0)</f>
        <v>#N/A</v>
      </c>
      <c r="AE109" s="171">
        <f>Saisie!U109</f>
        <v>0</v>
      </c>
      <c r="AF109" s="262">
        <v>3</v>
      </c>
      <c r="AG109" s="129">
        <f>Saisie!W109</f>
        <v>0</v>
      </c>
      <c r="AH109" s="20">
        <f>Saisie!X109</f>
        <v>0</v>
      </c>
      <c r="AI109" s="21">
        <f>Saisie!Y109</f>
        <v>0</v>
      </c>
      <c r="AJ109" s="59">
        <f>Saisie!Z109</f>
        <v>0</v>
      </c>
      <c r="AK109" s="20">
        <f>Saisie!AA109</f>
        <v>0</v>
      </c>
      <c r="AL109" s="21">
        <f>Saisie!AB109</f>
        <v>0</v>
      </c>
      <c r="AM109" s="59">
        <f>Saisie!AC109</f>
        <v>0</v>
      </c>
      <c r="AN109" s="20">
        <f>Saisie!AD109</f>
        <v>0</v>
      </c>
      <c r="AO109" s="21">
        <f>Saisie!AE109</f>
        <v>0</v>
      </c>
      <c r="AP109" s="59">
        <f>Saisie!AF109</f>
        <v>0</v>
      </c>
      <c r="AQ109" s="129" t="e">
        <f t="array" ref="AQ109">_xlfn.IFS(Saisie!AG109="OUI",1,Saisie!AG109="NON",0)</f>
        <v>#N/A</v>
      </c>
      <c r="AR109" s="129" t="e">
        <f t="array" ref="AR109">_xlfn.IFS(Saisie!AH109="OUI",1,Saisie!AH109="NON",0)</f>
        <v>#N/A</v>
      </c>
      <c r="AS109" s="171">
        <f>Saisie!AI109</f>
        <v>0</v>
      </c>
      <c r="AT109" s="263" t="e">
        <f t="array" ref="AT109">_xlfn.IFS(Saisie!AJ109="OUI",1,Saisie!AJ109="NON",0)</f>
        <v>#N/A</v>
      </c>
      <c r="AU109" s="173">
        <f>Saisie!AK109</f>
        <v>0</v>
      </c>
      <c r="AV109" s="263" t="e">
        <f t="array" ref="AV109">_xlfn.IFS(Saisie!AL109="OUI",1,Saisie!AL109="NON",0)</f>
        <v>#N/A</v>
      </c>
      <c r="AW109" s="171">
        <f>Saisie!AM109</f>
        <v>0</v>
      </c>
      <c r="AX109" s="68">
        <f>Saisie!AN109</f>
        <v>0</v>
      </c>
      <c r="AY109" s="20">
        <f>Saisie!AO109</f>
        <v>0</v>
      </c>
      <c r="AZ109" s="21">
        <f>Saisie!AP109</f>
        <v>0</v>
      </c>
      <c r="BA109" s="298">
        <f>Saisie!AQ109</f>
        <v>0</v>
      </c>
      <c r="BB109" s="170">
        <f>Saisie!AR109</f>
        <v>0</v>
      </c>
      <c r="BC109" s="174">
        <f>Saisie!AS109</f>
        <v>0</v>
      </c>
      <c r="BD109" s="61">
        <f>Saisie!AT109</f>
        <v>0</v>
      </c>
      <c r="BE109" s="175" t="e">
        <f t="array" ref="BE109">_xlfn.IFS(Saisie!AU109="OUI",1,Saisie!AU109="NON",0)</f>
        <v>#N/A</v>
      </c>
      <c r="BF109" s="267">
        <f>Saisie!AV109</f>
        <v>0</v>
      </c>
      <c r="BG109" s="55">
        <f>Saisie!AW109</f>
        <v>0</v>
      </c>
      <c r="BH109" s="55" t="e">
        <f t="array" ref="BH109">_xlfn.IFS(Saisie!AX109="OUI",1,Saisie!AX109="NON",0)</f>
        <v>#N/A</v>
      </c>
      <c r="BI109" s="62">
        <f>Saisie!AY109</f>
        <v>0</v>
      </c>
      <c r="BJ109" s="55" t="e">
        <f t="array" ref="BJ109">_xlfn.IFS(Saisie!AZ109="OUI",1,Saisie!AZ109="NON",0)</f>
        <v>#N/A</v>
      </c>
      <c r="BK109" s="55" t="e">
        <f t="array" ref="BK109">_xlfn.IFS(Saisie!BA109="OUI",1,Saisie!BA109="NON",0)</f>
        <v>#N/A</v>
      </c>
      <c r="BL109" s="55">
        <f>Saisie!BB109</f>
        <v>0</v>
      </c>
      <c r="BM109" s="49" t="e">
        <f>Saisie!BC109</f>
        <v>#REF!</v>
      </c>
      <c r="BN109" s="175"/>
    </row>
    <row r="110" spans="1:66" s="176" customFormat="1" x14ac:dyDescent="0.45">
      <c r="A110" s="13">
        <v>104</v>
      </c>
      <c r="B110" s="150">
        <f>Saisie!B110</f>
        <v>0</v>
      </c>
      <c r="C110" s="150">
        <f>Saisie!C110</f>
        <v>0</v>
      </c>
      <c r="D110" s="150">
        <f>Saisie!D110</f>
        <v>0</v>
      </c>
      <c r="E110" s="150">
        <f>Saisie!E110</f>
        <v>0</v>
      </c>
      <c r="F110" s="150">
        <f>Saisie!F110</f>
        <v>0</v>
      </c>
      <c r="G110" s="150">
        <f>Saisie!G110</f>
        <v>0</v>
      </c>
      <c r="H110" s="150">
        <f>Saisie!I110</f>
        <v>0</v>
      </c>
      <c r="I110" s="150">
        <f>Saisie!J110</f>
        <v>0</v>
      </c>
      <c r="J110" s="150">
        <f>Saisie!K110</f>
        <v>0</v>
      </c>
      <c r="K110" s="150">
        <f>Saisie!L110</f>
        <v>0</v>
      </c>
      <c r="L110" s="150" t="e">
        <f>Saisie!#REF!</f>
        <v>#REF!</v>
      </c>
      <c r="M110" s="55" t="e">
        <f t="array" ref="M110">_xlfn.IFS(Saisie!M110="OUI",1,Saisie!M110="NON",0)</f>
        <v>#N/A</v>
      </c>
      <c r="N110" s="64" t="e">
        <f>Saisie!#REF!</f>
        <v>#REF!</v>
      </c>
      <c r="O110" s="63" t="e">
        <f>Saisie!#REF!</f>
        <v>#REF!</v>
      </c>
      <c r="P110" s="63">
        <f>Saisie!N110</f>
        <v>0</v>
      </c>
      <c r="Q110" s="63" t="e">
        <f t="array" ref="Q110">_xlfn.IFS(Saisie!#REF!="OUI",1,Saisie!#REF!="NON",0)</f>
        <v>#REF!</v>
      </c>
      <c r="R110" s="63" t="e">
        <f>Saisie!#REF!</f>
        <v>#REF!</v>
      </c>
      <c r="S110" s="65" t="e">
        <f>Saisie!#REF!</f>
        <v>#REF!</v>
      </c>
      <c r="T110" s="63" t="e">
        <f>Saisie!#REF!</f>
        <v>#REF!</v>
      </c>
      <c r="U110" s="63" t="e">
        <f>Saisie!#REF!</f>
        <v>#REF!</v>
      </c>
      <c r="V110" s="63" t="e">
        <f t="array" ref="V110">_xlfn.IFS(Saisie!#REF!="OUI",1,Saisie!#REF!="NON",0)</f>
        <v>#REF!</v>
      </c>
      <c r="W110" s="63" t="e">
        <f t="array" ref="W110">_xlfn.IFS(Saisie!O110="OUI",1,Saisie!O110="NON",0)</f>
        <v>#N/A</v>
      </c>
      <c r="X110" s="63">
        <f>Saisie!P110</f>
        <v>0</v>
      </c>
      <c r="Y110" s="299">
        <f>Saisie!H110</f>
        <v>0</v>
      </c>
      <c r="Z110" s="58" t="e">
        <f>Saisie!#REF!</f>
        <v>#REF!</v>
      </c>
      <c r="AA110" s="299">
        <f>Saisie!Q110</f>
        <v>0</v>
      </c>
      <c r="AB110" s="63" t="e">
        <f t="array" ref="AB110">_xlfn.IFS(Saisie!R110="OUI",1,Saisie!R110="NON",0)</f>
        <v>#N/A</v>
      </c>
      <c r="AC110" s="63">
        <f>Saisie!S110</f>
        <v>0</v>
      </c>
      <c r="AD110" s="63" t="e">
        <f t="array" ref="AD110">_xlfn.IFS(Saisie!T110="OUI",1,Saisie!T110="NON",0)</f>
        <v>#N/A</v>
      </c>
      <c r="AE110" s="171">
        <f>Saisie!U110</f>
        <v>0</v>
      </c>
      <c r="AF110" s="262">
        <v>3</v>
      </c>
      <c r="AG110" s="129">
        <f>Saisie!W110</f>
        <v>0</v>
      </c>
      <c r="AH110" s="20">
        <f>Saisie!X110</f>
        <v>0</v>
      </c>
      <c r="AI110" s="21">
        <f>Saisie!Y110</f>
        <v>0</v>
      </c>
      <c r="AJ110" s="59">
        <f>Saisie!Z110</f>
        <v>0</v>
      </c>
      <c r="AK110" s="20">
        <f>Saisie!AA110</f>
        <v>0</v>
      </c>
      <c r="AL110" s="21">
        <f>Saisie!AB110</f>
        <v>0</v>
      </c>
      <c r="AM110" s="59">
        <f>Saisie!AC110</f>
        <v>0</v>
      </c>
      <c r="AN110" s="20">
        <f>Saisie!AD110</f>
        <v>0</v>
      </c>
      <c r="AO110" s="21">
        <f>Saisie!AE110</f>
        <v>0</v>
      </c>
      <c r="AP110" s="59">
        <f>Saisie!AF110</f>
        <v>0</v>
      </c>
      <c r="AQ110" s="129" t="e">
        <f t="array" ref="AQ110">_xlfn.IFS(Saisie!AG110="OUI",1,Saisie!AG110="NON",0)</f>
        <v>#N/A</v>
      </c>
      <c r="AR110" s="129" t="e">
        <f t="array" ref="AR110">_xlfn.IFS(Saisie!AH110="OUI",1,Saisie!AH110="NON",0)</f>
        <v>#N/A</v>
      </c>
      <c r="AS110" s="171">
        <f>Saisie!AI110</f>
        <v>0</v>
      </c>
      <c r="AT110" s="263" t="e">
        <f t="array" ref="AT110">_xlfn.IFS(Saisie!AJ110="OUI",1,Saisie!AJ110="NON",0)</f>
        <v>#N/A</v>
      </c>
      <c r="AU110" s="173">
        <f>Saisie!AK110</f>
        <v>0</v>
      </c>
      <c r="AV110" s="263" t="e">
        <f t="array" ref="AV110">_xlfn.IFS(Saisie!AL110="OUI",1,Saisie!AL110="NON",0)</f>
        <v>#N/A</v>
      </c>
      <c r="AW110" s="171">
        <f>Saisie!AM110</f>
        <v>0</v>
      </c>
      <c r="AX110" s="68">
        <f>Saisie!AN110</f>
        <v>0</v>
      </c>
      <c r="AY110" s="20">
        <f>Saisie!AO110</f>
        <v>0</v>
      </c>
      <c r="AZ110" s="21">
        <f>Saisie!AP110</f>
        <v>0</v>
      </c>
      <c r="BA110" s="298">
        <f>Saisie!AQ110</f>
        <v>0</v>
      </c>
      <c r="BB110" s="170">
        <f>Saisie!AR110</f>
        <v>0</v>
      </c>
      <c r="BC110" s="174">
        <f>Saisie!AS110</f>
        <v>0</v>
      </c>
      <c r="BD110" s="61">
        <f>Saisie!AT110</f>
        <v>0</v>
      </c>
      <c r="BE110" s="175" t="e">
        <f t="array" ref="BE110">_xlfn.IFS(Saisie!AU110="OUI",1,Saisie!AU110="NON",0)</f>
        <v>#N/A</v>
      </c>
      <c r="BF110" s="267">
        <f>Saisie!AV110</f>
        <v>0</v>
      </c>
      <c r="BG110" s="55">
        <f>Saisie!AW110</f>
        <v>0</v>
      </c>
      <c r="BH110" s="55" t="e">
        <f t="array" ref="BH110">_xlfn.IFS(Saisie!AX110="OUI",1,Saisie!AX110="NON",0)</f>
        <v>#N/A</v>
      </c>
      <c r="BI110" s="62">
        <f>Saisie!AY110</f>
        <v>0</v>
      </c>
      <c r="BJ110" s="55" t="e">
        <f t="array" ref="BJ110">_xlfn.IFS(Saisie!AZ110="OUI",1,Saisie!AZ110="NON",0)</f>
        <v>#N/A</v>
      </c>
      <c r="BK110" s="55" t="e">
        <f t="array" ref="BK110">_xlfn.IFS(Saisie!BA110="OUI",1,Saisie!BA110="NON",0)</f>
        <v>#N/A</v>
      </c>
      <c r="BL110" s="55">
        <f>Saisie!BB110</f>
        <v>0</v>
      </c>
      <c r="BM110" s="49" t="e">
        <f>Saisie!BC110</f>
        <v>#REF!</v>
      </c>
      <c r="BN110" s="175"/>
    </row>
    <row r="111" spans="1:66" s="176" customFormat="1" x14ac:dyDescent="0.45">
      <c r="A111" s="13">
        <v>105</v>
      </c>
      <c r="B111" s="150">
        <f>Saisie!B111</f>
        <v>0</v>
      </c>
      <c r="C111" s="150">
        <f>Saisie!C111</f>
        <v>0</v>
      </c>
      <c r="D111" s="150">
        <f>Saisie!D111</f>
        <v>0</v>
      </c>
      <c r="E111" s="150">
        <f>Saisie!E111</f>
        <v>0</v>
      </c>
      <c r="F111" s="150">
        <f>Saisie!F111</f>
        <v>0</v>
      </c>
      <c r="G111" s="150">
        <f>Saisie!G111</f>
        <v>0</v>
      </c>
      <c r="H111" s="150">
        <f>Saisie!I111</f>
        <v>0</v>
      </c>
      <c r="I111" s="150">
        <f>Saisie!J111</f>
        <v>0</v>
      </c>
      <c r="J111" s="150">
        <f>Saisie!K111</f>
        <v>0</v>
      </c>
      <c r="K111" s="150">
        <f>Saisie!L111</f>
        <v>0</v>
      </c>
      <c r="L111" s="150" t="e">
        <f>Saisie!#REF!</f>
        <v>#REF!</v>
      </c>
      <c r="M111" s="55" t="e">
        <f t="array" ref="M111">_xlfn.IFS(Saisie!M111="OUI",1,Saisie!M111="NON",0)</f>
        <v>#N/A</v>
      </c>
      <c r="N111" s="64" t="e">
        <f>Saisie!#REF!</f>
        <v>#REF!</v>
      </c>
      <c r="O111" s="63" t="e">
        <f>Saisie!#REF!</f>
        <v>#REF!</v>
      </c>
      <c r="P111" s="63">
        <f>Saisie!N111</f>
        <v>0</v>
      </c>
      <c r="Q111" s="63" t="e">
        <f t="array" ref="Q111">_xlfn.IFS(Saisie!#REF!="OUI",1,Saisie!#REF!="NON",0)</f>
        <v>#REF!</v>
      </c>
      <c r="R111" s="63" t="e">
        <f>Saisie!#REF!</f>
        <v>#REF!</v>
      </c>
      <c r="S111" s="65" t="e">
        <f>Saisie!#REF!</f>
        <v>#REF!</v>
      </c>
      <c r="T111" s="63" t="e">
        <f>Saisie!#REF!</f>
        <v>#REF!</v>
      </c>
      <c r="U111" s="63" t="e">
        <f>Saisie!#REF!</f>
        <v>#REF!</v>
      </c>
      <c r="V111" s="63" t="e">
        <f t="array" ref="V111">_xlfn.IFS(Saisie!#REF!="OUI",1,Saisie!#REF!="NON",0)</f>
        <v>#REF!</v>
      </c>
      <c r="W111" s="63" t="e">
        <f t="array" ref="W111">_xlfn.IFS(Saisie!O111="OUI",1,Saisie!O111="NON",0)</f>
        <v>#N/A</v>
      </c>
      <c r="X111" s="63">
        <f>Saisie!P111</f>
        <v>0</v>
      </c>
      <c r="Y111" s="299">
        <f>Saisie!H111</f>
        <v>0</v>
      </c>
      <c r="Z111" s="58" t="e">
        <f>Saisie!#REF!</f>
        <v>#REF!</v>
      </c>
      <c r="AA111" s="299">
        <f>Saisie!Q111</f>
        <v>0</v>
      </c>
      <c r="AB111" s="63" t="e">
        <f t="array" ref="AB111">_xlfn.IFS(Saisie!R111="OUI",1,Saisie!R111="NON",0)</f>
        <v>#N/A</v>
      </c>
      <c r="AC111" s="63">
        <f>Saisie!S111</f>
        <v>0</v>
      </c>
      <c r="AD111" s="63" t="e">
        <f t="array" ref="AD111">_xlfn.IFS(Saisie!T111="OUI",1,Saisie!T111="NON",0)</f>
        <v>#N/A</v>
      </c>
      <c r="AE111" s="171">
        <f>Saisie!U111</f>
        <v>0</v>
      </c>
      <c r="AF111" s="262">
        <v>3</v>
      </c>
      <c r="AG111" s="129">
        <f>Saisie!W111</f>
        <v>0</v>
      </c>
      <c r="AH111" s="20">
        <f>Saisie!X111</f>
        <v>0</v>
      </c>
      <c r="AI111" s="21">
        <f>Saisie!Y111</f>
        <v>0</v>
      </c>
      <c r="AJ111" s="59">
        <f>Saisie!Z111</f>
        <v>0</v>
      </c>
      <c r="AK111" s="20">
        <f>Saisie!AA111</f>
        <v>0</v>
      </c>
      <c r="AL111" s="21">
        <f>Saisie!AB111</f>
        <v>0</v>
      </c>
      <c r="AM111" s="59">
        <f>Saisie!AC111</f>
        <v>0</v>
      </c>
      <c r="AN111" s="20">
        <f>Saisie!AD111</f>
        <v>0</v>
      </c>
      <c r="AO111" s="21">
        <f>Saisie!AE111</f>
        <v>0</v>
      </c>
      <c r="AP111" s="59">
        <f>Saisie!AF111</f>
        <v>0</v>
      </c>
      <c r="AQ111" s="129" t="e">
        <f t="array" ref="AQ111">_xlfn.IFS(Saisie!AG111="OUI",1,Saisie!AG111="NON",0)</f>
        <v>#N/A</v>
      </c>
      <c r="AR111" s="129" t="e">
        <f t="array" ref="AR111">_xlfn.IFS(Saisie!AH111="OUI",1,Saisie!AH111="NON",0)</f>
        <v>#N/A</v>
      </c>
      <c r="AS111" s="171">
        <f>Saisie!AI111</f>
        <v>0</v>
      </c>
      <c r="AT111" s="263" t="e">
        <f t="array" ref="AT111">_xlfn.IFS(Saisie!AJ111="OUI",1,Saisie!AJ111="NON",0)</f>
        <v>#N/A</v>
      </c>
      <c r="AU111" s="173">
        <f>Saisie!AK111</f>
        <v>0</v>
      </c>
      <c r="AV111" s="263" t="e">
        <f t="array" ref="AV111">_xlfn.IFS(Saisie!AL111="OUI",1,Saisie!AL111="NON",0)</f>
        <v>#N/A</v>
      </c>
      <c r="AW111" s="171">
        <f>Saisie!AM111</f>
        <v>0</v>
      </c>
      <c r="AX111" s="68">
        <f>Saisie!AN111</f>
        <v>0</v>
      </c>
      <c r="AY111" s="20">
        <f>Saisie!AO111</f>
        <v>0</v>
      </c>
      <c r="AZ111" s="21">
        <f>Saisie!AP111</f>
        <v>0</v>
      </c>
      <c r="BA111" s="298">
        <f>Saisie!AQ111</f>
        <v>0</v>
      </c>
      <c r="BB111" s="170">
        <f>Saisie!AR111</f>
        <v>0</v>
      </c>
      <c r="BC111" s="174">
        <f>Saisie!AS111</f>
        <v>0</v>
      </c>
      <c r="BD111" s="61">
        <f>Saisie!AT111</f>
        <v>0</v>
      </c>
      <c r="BE111" s="175" t="e">
        <f t="array" ref="BE111">_xlfn.IFS(Saisie!AU111="OUI",1,Saisie!AU111="NON",0)</f>
        <v>#N/A</v>
      </c>
      <c r="BF111" s="267">
        <f>Saisie!AV111</f>
        <v>0</v>
      </c>
      <c r="BG111" s="55">
        <f>Saisie!AW111</f>
        <v>0</v>
      </c>
      <c r="BH111" s="55" t="e">
        <f t="array" ref="BH111">_xlfn.IFS(Saisie!AX111="OUI",1,Saisie!AX111="NON",0)</f>
        <v>#N/A</v>
      </c>
      <c r="BI111" s="62">
        <f>Saisie!AY111</f>
        <v>0</v>
      </c>
      <c r="BJ111" s="55" t="e">
        <f t="array" ref="BJ111">_xlfn.IFS(Saisie!AZ111="OUI",1,Saisie!AZ111="NON",0)</f>
        <v>#N/A</v>
      </c>
      <c r="BK111" s="55" t="e">
        <f t="array" ref="BK111">_xlfn.IFS(Saisie!BA111="OUI",1,Saisie!BA111="NON",0)</f>
        <v>#N/A</v>
      </c>
      <c r="BL111" s="55">
        <f>Saisie!BB111</f>
        <v>0</v>
      </c>
      <c r="BM111" s="49" t="e">
        <f>Saisie!BC111</f>
        <v>#REF!</v>
      </c>
      <c r="BN111" s="175"/>
    </row>
    <row r="112" spans="1:66" s="176" customFormat="1" x14ac:dyDescent="0.45">
      <c r="A112" s="12">
        <v>106</v>
      </c>
      <c r="B112" s="150">
        <f>Saisie!B112</f>
        <v>0</v>
      </c>
      <c r="C112" s="150">
        <f>Saisie!C112</f>
        <v>0</v>
      </c>
      <c r="D112" s="150">
        <f>Saisie!D112</f>
        <v>0</v>
      </c>
      <c r="E112" s="150">
        <f>Saisie!E112</f>
        <v>0</v>
      </c>
      <c r="F112" s="150">
        <f>Saisie!F112</f>
        <v>0</v>
      </c>
      <c r="G112" s="150">
        <f>Saisie!G112</f>
        <v>0</v>
      </c>
      <c r="H112" s="150">
        <f>Saisie!I112</f>
        <v>0</v>
      </c>
      <c r="I112" s="150">
        <f>Saisie!J112</f>
        <v>0</v>
      </c>
      <c r="J112" s="150">
        <f>Saisie!K112</f>
        <v>0</v>
      </c>
      <c r="K112" s="150">
        <f>Saisie!L112</f>
        <v>0</v>
      </c>
      <c r="L112" s="150" t="e">
        <f>Saisie!#REF!</f>
        <v>#REF!</v>
      </c>
      <c r="M112" s="55" t="e">
        <f t="array" ref="M112">_xlfn.IFS(Saisie!M112="OUI",1,Saisie!M112="NON",0)</f>
        <v>#N/A</v>
      </c>
      <c r="N112" s="64" t="e">
        <f>Saisie!#REF!</f>
        <v>#REF!</v>
      </c>
      <c r="O112" s="63" t="e">
        <f>Saisie!#REF!</f>
        <v>#REF!</v>
      </c>
      <c r="P112" s="63">
        <f>Saisie!N112</f>
        <v>0</v>
      </c>
      <c r="Q112" s="63" t="e">
        <f t="array" ref="Q112">_xlfn.IFS(Saisie!#REF!="OUI",1,Saisie!#REF!="NON",0)</f>
        <v>#REF!</v>
      </c>
      <c r="R112" s="63" t="e">
        <f>Saisie!#REF!</f>
        <v>#REF!</v>
      </c>
      <c r="S112" s="65" t="e">
        <f>Saisie!#REF!</f>
        <v>#REF!</v>
      </c>
      <c r="T112" s="63" t="e">
        <f>Saisie!#REF!</f>
        <v>#REF!</v>
      </c>
      <c r="U112" s="63" t="e">
        <f>Saisie!#REF!</f>
        <v>#REF!</v>
      </c>
      <c r="V112" s="63" t="e">
        <f t="array" ref="V112">_xlfn.IFS(Saisie!#REF!="OUI",1,Saisie!#REF!="NON",0)</f>
        <v>#REF!</v>
      </c>
      <c r="W112" s="63" t="e">
        <f t="array" ref="W112">_xlfn.IFS(Saisie!O112="OUI",1,Saisie!O112="NON",0)</f>
        <v>#N/A</v>
      </c>
      <c r="X112" s="63">
        <f>Saisie!P112</f>
        <v>0</v>
      </c>
      <c r="Y112" s="299">
        <f>Saisie!H112</f>
        <v>0</v>
      </c>
      <c r="Z112" s="58" t="e">
        <f>Saisie!#REF!</f>
        <v>#REF!</v>
      </c>
      <c r="AA112" s="299">
        <f>Saisie!Q112</f>
        <v>0</v>
      </c>
      <c r="AB112" s="63" t="e">
        <f t="array" ref="AB112">_xlfn.IFS(Saisie!R112="OUI",1,Saisie!R112="NON",0)</f>
        <v>#N/A</v>
      </c>
      <c r="AC112" s="63">
        <f>Saisie!S112</f>
        <v>0</v>
      </c>
      <c r="AD112" s="63" t="e">
        <f t="array" ref="AD112">_xlfn.IFS(Saisie!T112="OUI",1,Saisie!T112="NON",0)</f>
        <v>#N/A</v>
      </c>
      <c r="AE112" s="171">
        <f>Saisie!U112</f>
        <v>0</v>
      </c>
      <c r="AF112" s="262">
        <v>3</v>
      </c>
      <c r="AG112" s="129">
        <f>Saisie!W112</f>
        <v>0</v>
      </c>
      <c r="AH112" s="20">
        <f>Saisie!X112</f>
        <v>0</v>
      </c>
      <c r="AI112" s="21">
        <f>Saisie!Y112</f>
        <v>0</v>
      </c>
      <c r="AJ112" s="59">
        <f>Saisie!Z112</f>
        <v>0</v>
      </c>
      <c r="AK112" s="20">
        <f>Saisie!AA112</f>
        <v>0</v>
      </c>
      <c r="AL112" s="21">
        <f>Saisie!AB112</f>
        <v>0</v>
      </c>
      <c r="AM112" s="59">
        <f>Saisie!AC112</f>
        <v>0</v>
      </c>
      <c r="AN112" s="20">
        <f>Saisie!AD112</f>
        <v>0</v>
      </c>
      <c r="AO112" s="21">
        <f>Saisie!AE112</f>
        <v>0</v>
      </c>
      <c r="AP112" s="59">
        <f>Saisie!AF112</f>
        <v>0</v>
      </c>
      <c r="AQ112" s="129" t="e">
        <f t="array" ref="AQ112">_xlfn.IFS(Saisie!AG112="OUI",1,Saisie!AG112="NON",0)</f>
        <v>#N/A</v>
      </c>
      <c r="AR112" s="129" t="e">
        <f t="array" ref="AR112">_xlfn.IFS(Saisie!AH112="OUI",1,Saisie!AH112="NON",0)</f>
        <v>#N/A</v>
      </c>
      <c r="AS112" s="171">
        <f>Saisie!AI112</f>
        <v>0</v>
      </c>
      <c r="AT112" s="263" t="e">
        <f t="array" ref="AT112">_xlfn.IFS(Saisie!AJ112="OUI",1,Saisie!AJ112="NON",0)</f>
        <v>#N/A</v>
      </c>
      <c r="AU112" s="173">
        <f>Saisie!AK112</f>
        <v>0</v>
      </c>
      <c r="AV112" s="263" t="e">
        <f t="array" ref="AV112">_xlfn.IFS(Saisie!AL112="OUI",1,Saisie!AL112="NON",0)</f>
        <v>#N/A</v>
      </c>
      <c r="AW112" s="171">
        <f>Saisie!AM112</f>
        <v>0</v>
      </c>
      <c r="AX112" s="68">
        <f>Saisie!AN112</f>
        <v>0</v>
      </c>
      <c r="AY112" s="20">
        <f>Saisie!AO112</f>
        <v>0</v>
      </c>
      <c r="AZ112" s="21">
        <f>Saisie!AP112</f>
        <v>0</v>
      </c>
      <c r="BA112" s="298">
        <f>Saisie!AQ112</f>
        <v>0</v>
      </c>
      <c r="BB112" s="170">
        <f>Saisie!AR112</f>
        <v>0</v>
      </c>
      <c r="BC112" s="174">
        <f>Saisie!AS112</f>
        <v>0</v>
      </c>
      <c r="BD112" s="61">
        <f>Saisie!AT112</f>
        <v>0</v>
      </c>
      <c r="BE112" s="175" t="e">
        <f t="array" ref="BE112">_xlfn.IFS(Saisie!AU112="OUI",1,Saisie!AU112="NON",0)</f>
        <v>#N/A</v>
      </c>
      <c r="BF112" s="267">
        <f>Saisie!AV112</f>
        <v>0</v>
      </c>
      <c r="BG112" s="55">
        <f>Saisie!AW112</f>
        <v>0</v>
      </c>
      <c r="BH112" s="55" t="e">
        <f t="array" ref="BH112">_xlfn.IFS(Saisie!AX112="OUI",1,Saisie!AX112="NON",0)</f>
        <v>#N/A</v>
      </c>
      <c r="BI112" s="62">
        <f>Saisie!AY112</f>
        <v>0</v>
      </c>
      <c r="BJ112" s="55" t="e">
        <f t="array" ref="BJ112">_xlfn.IFS(Saisie!AZ112="OUI",1,Saisie!AZ112="NON",0)</f>
        <v>#N/A</v>
      </c>
      <c r="BK112" s="55" t="e">
        <f t="array" ref="BK112">_xlfn.IFS(Saisie!BA112="OUI",1,Saisie!BA112="NON",0)</f>
        <v>#N/A</v>
      </c>
      <c r="BL112" s="55">
        <f>Saisie!BB112</f>
        <v>0</v>
      </c>
      <c r="BM112" s="49" t="e">
        <f>Saisie!BC112</f>
        <v>#REF!</v>
      </c>
      <c r="BN112" s="175"/>
    </row>
    <row r="113" spans="1:66" s="176" customFormat="1" x14ac:dyDescent="0.45">
      <c r="A113" s="13">
        <v>107</v>
      </c>
      <c r="B113" s="150">
        <f>Saisie!B113</f>
        <v>0</v>
      </c>
      <c r="C113" s="150">
        <f>Saisie!C113</f>
        <v>0</v>
      </c>
      <c r="D113" s="150">
        <f>Saisie!D113</f>
        <v>0</v>
      </c>
      <c r="E113" s="150">
        <f>Saisie!E113</f>
        <v>0</v>
      </c>
      <c r="F113" s="150">
        <f>Saisie!F113</f>
        <v>0</v>
      </c>
      <c r="G113" s="150">
        <f>Saisie!G113</f>
        <v>0</v>
      </c>
      <c r="H113" s="150">
        <f>Saisie!I113</f>
        <v>0</v>
      </c>
      <c r="I113" s="150">
        <f>Saisie!J113</f>
        <v>0</v>
      </c>
      <c r="J113" s="150">
        <f>Saisie!K113</f>
        <v>0</v>
      </c>
      <c r="K113" s="150">
        <f>Saisie!L113</f>
        <v>0</v>
      </c>
      <c r="L113" s="150" t="e">
        <f>Saisie!#REF!</f>
        <v>#REF!</v>
      </c>
      <c r="M113" s="55" t="e">
        <f t="array" ref="M113">_xlfn.IFS(Saisie!M113="OUI",1,Saisie!M113="NON",0)</f>
        <v>#N/A</v>
      </c>
      <c r="N113" s="64" t="e">
        <f>Saisie!#REF!</f>
        <v>#REF!</v>
      </c>
      <c r="O113" s="63" t="e">
        <f>Saisie!#REF!</f>
        <v>#REF!</v>
      </c>
      <c r="P113" s="63">
        <f>Saisie!N113</f>
        <v>0</v>
      </c>
      <c r="Q113" s="63" t="e">
        <f t="array" ref="Q113">_xlfn.IFS(Saisie!#REF!="OUI",1,Saisie!#REF!="NON",0)</f>
        <v>#REF!</v>
      </c>
      <c r="R113" s="63" t="e">
        <f>Saisie!#REF!</f>
        <v>#REF!</v>
      </c>
      <c r="S113" s="65" t="e">
        <f>Saisie!#REF!</f>
        <v>#REF!</v>
      </c>
      <c r="T113" s="63" t="e">
        <f>Saisie!#REF!</f>
        <v>#REF!</v>
      </c>
      <c r="U113" s="63" t="e">
        <f>Saisie!#REF!</f>
        <v>#REF!</v>
      </c>
      <c r="V113" s="63" t="e">
        <f t="array" ref="V113">_xlfn.IFS(Saisie!#REF!="OUI",1,Saisie!#REF!="NON",0)</f>
        <v>#REF!</v>
      </c>
      <c r="W113" s="63" t="e">
        <f t="array" ref="W113">_xlfn.IFS(Saisie!O113="OUI",1,Saisie!O113="NON",0)</f>
        <v>#N/A</v>
      </c>
      <c r="X113" s="63">
        <f>Saisie!P113</f>
        <v>0</v>
      </c>
      <c r="Y113" s="299">
        <f>Saisie!H113</f>
        <v>0</v>
      </c>
      <c r="Z113" s="58" t="e">
        <f>Saisie!#REF!</f>
        <v>#REF!</v>
      </c>
      <c r="AA113" s="299">
        <f>Saisie!Q113</f>
        <v>0</v>
      </c>
      <c r="AB113" s="63" t="e">
        <f t="array" ref="AB113">_xlfn.IFS(Saisie!R113="OUI",1,Saisie!R113="NON",0)</f>
        <v>#N/A</v>
      </c>
      <c r="AC113" s="63">
        <f>Saisie!S113</f>
        <v>0</v>
      </c>
      <c r="AD113" s="63" t="e">
        <f t="array" ref="AD113">_xlfn.IFS(Saisie!T113="OUI",1,Saisie!T113="NON",0)</f>
        <v>#N/A</v>
      </c>
      <c r="AE113" s="171">
        <f>Saisie!U113</f>
        <v>0</v>
      </c>
      <c r="AF113" s="262">
        <v>3</v>
      </c>
      <c r="AG113" s="129">
        <f>Saisie!W113</f>
        <v>0</v>
      </c>
      <c r="AH113" s="20">
        <f>Saisie!X113</f>
        <v>0</v>
      </c>
      <c r="AI113" s="21">
        <f>Saisie!Y113</f>
        <v>0</v>
      </c>
      <c r="AJ113" s="59">
        <f>Saisie!Z113</f>
        <v>0</v>
      </c>
      <c r="AK113" s="20">
        <f>Saisie!AA113</f>
        <v>0</v>
      </c>
      <c r="AL113" s="21">
        <f>Saisie!AB113</f>
        <v>0</v>
      </c>
      <c r="AM113" s="59">
        <f>Saisie!AC113</f>
        <v>0</v>
      </c>
      <c r="AN113" s="20">
        <f>Saisie!AD113</f>
        <v>0</v>
      </c>
      <c r="AO113" s="21">
        <f>Saisie!AE113</f>
        <v>0</v>
      </c>
      <c r="AP113" s="59">
        <f>Saisie!AF113</f>
        <v>0</v>
      </c>
      <c r="AQ113" s="129" t="e">
        <f t="array" ref="AQ113">_xlfn.IFS(Saisie!AG113="OUI",1,Saisie!AG113="NON",0)</f>
        <v>#N/A</v>
      </c>
      <c r="AR113" s="129" t="e">
        <f t="array" ref="AR113">_xlfn.IFS(Saisie!AH113="OUI",1,Saisie!AH113="NON",0)</f>
        <v>#N/A</v>
      </c>
      <c r="AS113" s="171">
        <f>Saisie!AI113</f>
        <v>0</v>
      </c>
      <c r="AT113" s="263" t="e">
        <f t="array" ref="AT113">_xlfn.IFS(Saisie!AJ113="OUI",1,Saisie!AJ113="NON",0)</f>
        <v>#N/A</v>
      </c>
      <c r="AU113" s="173">
        <f>Saisie!AK113</f>
        <v>0</v>
      </c>
      <c r="AV113" s="263" t="e">
        <f t="array" ref="AV113">_xlfn.IFS(Saisie!AL113="OUI",1,Saisie!AL113="NON",0)</f>
        <v>#N/A</v>
      </c>
      <c r="AW113" s="171">
        <f>Saisie!AM113</f>
        <v>0</v>
      </c>
      <c r="AX113" s="68">
        <f>Saisie!AN113</f>
        <v>0</v>
      </c>
      <c r="AY113" s="20">
        <f>Saisie!AO113</f>
        <v>0</v>
      </c>
      <c r="AZ113" s="21">
        <f>Saisie!AP113</f>
        <v>0</v>
      </c>
      <c r="BA113" s="298">
        <f>Saisie!AQ113</f>
        <v>0</v>
      </c>
      <c r="BB113" s="170">
        <f>Saisie!AR113</f>
        <v>0</v>
      </c>
      <c r="BC113" s="174">
        <f>Saisie!AS113</f>
        <v>0</v>
      </c>
      <c r="BD113" s="61">
        <f>Saisie!AT113</f>
        <v>0</v>
      </c>
      <c r="BE113" s="175" t="e">
        <f t="array" ref="BE113">_xlfn.IFS(Saisie!AU113="OUI",1,Saisie!AU113="NON",0)</f>
        <v>#N/A</v>
      </c>
      <c r="BF113" s="267">
        <f>Saisie!AV113</f>
        <v>0</v>
      </c>
      <c r="BG113" s="55">
        <f>Saisie!AW113</f>
        <v>0</v>
      </c>
      <c r="BH113" s="55" t="e">
        <f t="array" ref="BH113">_xlfn.IFS(Saisie!AX113="OUI",1,Saisie!AX113="NON",0)</f>
        <v>#N/A</v>
      </c>
      <c r="BI113" s="62">
        <f>Saisie!AY113</f>
        <v>0</v>
      </c>
      <c r="BJ113" s="55" t="e">
        <f t="array" ref="BJ113">_xlfn.IFS(Saisie!AZ113="OUI",1,Saisie!AZ113="NON",0)</f>
        <v>#N/A</v>
      </c>
      <c r="BK113" s="55" t="e">
        <f t="array" ref="BK113">_xlfn.IFS(Saisie!BA113="OUI",1,Saisie!BA113="NON",0)</f>
        <v>#N/A</v>
      </c>
      <c r="BL113" s="55">
        <f>Saisie!BB113</f>
        <v>0</v>
      </c>
      <c r="BM113" s="49" t="e">
        <f>Saisie!BC113</f>
        <v>#REF!</v>
      </c>
      <c r="BN113" s="175"/>
    </row>
    <row r="114" spans="1:66" s="176" customFormat="1" x14ac:dyDescent="0.45">
      <c r="A114" s="13">
        <v>108</v>
      </c>
      <c r="B114" s="150">
        <f>Saisie!B114</f>
        <v>0</v>
      </c>
      <c r="C114" s="150">
        <f>Saisie!C114</f>
        <v>0</v>
      </c>
      <c r="D114" s="150">
        <f>Saisie!D114</f>
        <v>0</v>
      </c>
      <c r="E114" s="150">
        <f>Saisie!E114</f>
        <v>0</v>
      </c>
      <c r="F114" s="150">
        <f>Saisie!F114</f>
        <v>0</v>
      </c>
      <c r="G114" s="150">
        <f>Saisie!G114</f>
        <v>0</v>
      </c>
      <c r="H114" s="150">
        <f>Saisie!I114</f>
        <v>0</v>
      </c>
      <c r="I114" s="150">
        <f>Saisie!J114</f>
        <v>0</v>
      </c>
      <c r="J114" s="150">
        <f>Saisie!K114</f>
        <v>0</v>
      </c>
      <c r="K114" s="150">
        <f>Saisie!L114</f>
        <v>0</v>
      </c>
      <c r="L114" s="150" t="e">
        <f>Saisie!#REF!</f>
        <v>#REF!</v>
      </c>
      <c r="M114" s="55" t="e">
        <f t="array" ref="M114">_xlfn.IFS(Saisie!M114="OUI",1,Saisie!M114="NON",0)</f>
        <v>#N/A</v>
      </c>
      <c r="N114" s="64" t="e">
        <f>Saisie!#REF!</f>
        <v>#REF!</v>
      </c>
      <c r="O114" s="63" t="e">
        <f>Saisie!#REF!</f>
        <v>#REF!</v>
      </c>
      <c r="P114" s="63">
        <f>Saisie!N114</f>
        <v>0</v>
      </c>
      <c r="Q114" s="63" t="e">
        <f t="array" ref="Q114">_xlfn.IFS(Saisie!#REF!="OUI",1,Saisie!#REF!="NON",0)</f>
        <v>#REF!</v>
      </c>
      <c r="R114" s="63" t="e">
        <f>Saisie!#REF!</f>
        <v>#REF!</v>
      </c>
      <c r="S114" s="65" t="e">
        <f>Saisie!#REF!</f>
        <v>#REF!</v>
      </c>
      <c r="T114" s="63" t="e">
        <f>Saisie!#REF!</f>
        <v>#REF!</v>
      </c>
      <c r="U114" s="63" t="e">
        <f>Saisie!#REF!</f>
        <v>#REF!</v>
      </c>
      <c r="V114" s="63" t="e">
        <f t="array" ref="V114">_xlfn.IFS(Saisie!#REF!="OUI",1,Saisie!#REF!="NON",0)</f>
        <v>#REF!</v>
      </c>
      <c r="W114" s="63" t="e">
        <f t="array" ref="W114">_xlfn.IFS(Saisie!O114="OUI",1,Saisie!O114="NON",0)</f>
        <v>#N/A</v>
      </c>
      <c r="X114" s="63">
        <f>Saisie!P114</f>
        <v>0</v>
      </c>
      <c r="Y114" s="299">
        <f>Saisie!H114</f>
        <v>0</v>
      </c>
      <c r="Z114" s="58" t="e">
        <f>Saisie!#REF!</f>
        <v>#REF!</v>
      </c>
      <c r="AA114" s="299">
        <f>Saisie!Q114</f>
        <v>0</v>
      </c>
      <c r="AB114" s="63" t="e">
        <f t="array" ref="AB114">_xlfn.IFS(Saisie!R114="OUI",1,Saisie!R114="NON",0)</f>
        <v>#N/A</v>
      </c>
      <c r="AC114" s="63">
        <f>Saisie!S114</f>
        <v>0</v>
      </c>
      <c r="AD114" s="63" t="e">
        <f t="array" ref="AD114">_xlfn.IFS(Saisie!T114="OUI",1,Saisie!T114="NON",0)</f>
        <v>#N/A</v>
      </c>
      <c r="AE114" s="171">
        <f>Saisie!U114</f>
        <v>0</v>
      </c>
      <c r="AF114" s="262">
        <v>1</v>
      </c>
      <c r="AG114" s="129">
        <f>Saisie!W114</f>
        <v>0</v>
      </c>
      <c r="AH114" s="20">
        <f>Saisie!X114</f>
        <v>0</v>
      </c>
      <c r="AI114" s="21">
        <f>Saisie!Y114</f>
        <v>0</v>
      </c>
      <c r="AJ114" s="59">
        <f>Saisie!Z114</f>
        <v>0</v>
      </c>
      <c r="AK114" s="20">
        <f>Saisie!AA114</f>
        <v>0</v>
      </c>
      <c r="AL114" s="21">
        <f>Saisie!AB114</f>
        <v>0</v>
      </c>
      <c r="AM114" s="59">
        <f>Saisie!AC114</f>
        <v>0</v>
      </c>
      <c r="AN114" s="20">
        <f>Saisie!AD114</f>
        <v>0</v>
      </c>
      <c r="AO114" s="21">
        <f>Saisie!AE114</f>
        <v>0</v>
      </c>
      <c r="AP114" s="59">
        <f>Saisie!AF114</f>
        <v>0</v>
      </c>
      <c r="AQ114" s="129" t="e">
        <f t="array" ref="AQ114">_xlfn.IFS(Saisie!AG114="OUI",1,Saisie!AG114="NON",0)</f>
        <v>#N/A</v>
      </c>
      <c r="AR114" s="129" t="e">
        <f t="array" ref="AR114">_xlfn.IFS(Saisie!AH114="OUI",1,Saisie!AH114="NON",0)</f>
        <v>#N/A</v>
      </c>
      <c r="AS114" s="171">
        <f>Saisie!AI114</f>
        <v>0</v>
      </c>
      <c r="AT114" s="263" t="e">
        <f t="array" ref="AT114">_xlfn.IFS(Saisie!AJ114="OUI",1,Saisie!AJ114="NON",0)</f>
        <v>#N/A</v>
      </c>
      <c r="AU114" s="173">
        <f>Saisie!AK114</f>
        <v>0</v>
      </c>
      <c r="AV114" s="263" t="e">
        <f t="array" ref="AV114">_xlfn.IFS(Saisie!AL114="OUI",1,Saisie!AL114="NON",0)</f>
        <v>#N/A</v>
      </c>
      <c r="AW114" s="171">
        <f>Saisie!AM114</f>
        <v>0</v>
      </c>
      <c r="AX114" s="68">
        <f>Saisie!AN114</f>
        <v>0</v>
      </c>
      <c r="AY114" s="20">
        <f>Saisie!AO114</f>
        <v>0</v>
      </c>
      <c r="AZ114" s="21">
        <f>Saisie!AP114</f>
        <v>0</v>
      </c>
      <c r="BA114" s="298">
        <f>Saisie!AQ114</f>
        <v>0</v>
      </c>
      <c r="BB114" s="170">
        <f>Saisie!AR114</f>
        <v>0</v>
      </c>
      <c r="BC114" s="174">
        <f>Saisie!AS114</f>
        <v>0</v>
      </c>
      <c r="BD114" s="61">
        <f>Saisie!AT114</f>
        <v>0</v>
      </c>
      <c r="BE114" s="175" t="e">
        <f t="array" ref="BE114">_xlfn.IFS(Saisie!AU114="OUI",1,Saisie!AU114="NON",0)</f>
        <v>#N/A</v>
      </c>
      <c r="BF114" s="267">
        <f>Saisie!AV114</f>
        <v>0</v>
      </c>
      <c r="BG114" s="55">
        <f>Saisie!AW114</f>
        <v>0</v>
      </c>
      <c r="BH114" s="55" t="e">
        <f t="array" ref="BH114">_xlfn.IFS(Saisie!AX114="OUI",1,Saisie!AX114="NON",0)</f>
        <v>#N/A</v>
      </c>
      <c r="BI114" s="62">
        <f>Saisie!AY114</f>
        <v>0</v>
      </c>
      <c r="BJ114" s="55" t="e">
        <f t="array" ref="BJ114">_xlfn.IFS(Saisie!AZ114="OUI",1,Saisie!AZ114="NON",0)</f>
        <v>#N/A</v>
      </c>
      <c r="BK114" s="55" t="e">
        <f t="array" ref="BK114">_xlfn.IFS(Saisie!BA114="OUI",1,Saisie!BA114="NON",0)</f>
        <v>#N/A</v>
      </c>
      <c r="BL114" s="55">
        <f>Saisie!BB114</f>
        <v>0</v>
      </c>
      <c r="BM114" s="49" t="e">
        <f>Saisie!BC114</f>
        <v>#REF!</v>
      </c>
      <c r="BN114" s="175"/>
    </row>
    <row r="115" spans="1:66" s="176" customFormat="1" x14ac:dyDescent="0.45">
      <c r="A115" s="12">
        <v>109</v>
      </c>
      <c r="B115" s="150">
        <f>Saisie!B115</f>
        <v>0</v>
      </c>
      <c r="C115" s="150">
        <f>Saisie!C115</f>
        <v>0</v>
      </c>
      <c r="D115" s="150">
        <f>Saisie!D115</f>
        <v>0</v>
      </c>
      <c r="E115" s="150">
        <f>Saisie!E115</f>
        <v>0</v>
      </c>
      <c r="F115" s="150">
        <f>Saisie!F115</f>
        <v>0</v>
      </c>
      <c r="G115" s="150">
        <f>Saisie!G115</f>
        <v>0</v>
      </c>
      <c r="H115" s="150">
        <f>Saisie!I115</f>
        <v>0</v>
      </c>
      <c r="I115" s="150">
        <f>Saisie!J115</f>
        <v>0</v>
      </c>
      <c r="J115" s="150">
        <f>Saisie!K115</f>
        <v>0</v>
      </c>
      <c r="K115" s="150">
        <f>Saisie!L115</f>
        <v>0</v>
      </c>
      <c r="L115" s="150" t="e">
        <f>Saisie!#REF!</f>
        <v>#REF!</v>
      </c>
      <c r="M115" s="55" t="e">
        <f t="array" ref="M115">_xlfn.IFS(Saisie!M115="OUI",1,Saisie!M115="NON",0)</f>
        <v>#N/A</v>
      </c>
      <c r="N115" s="64" t="e">
        <f>Saisie!#REF!</f>
        <v>#REF!</v>
      </c>
      <c r="O115" s="63" t="e">
        <f>Saisie!#REF!</f>
        <v>#REF!</v>
      </c>
      <c r="P115" s="63">
        <f>Saisie!N115</f>
        <v>0</v>
      </c>
      <c r="Q115" s="63" t="e">
        <f t="array" ref="Q115">_xlfn.IFS(Saisie!#REF!="OUI",1,Saisie!#REF!="NON",0)</f>
        <v>#REF!</v>
      </c>
      <c r="R115" s="63" t="e">
        <f>Saisie!#REF!</f>
        <v>#REF!</v>
      </c>
      <c r="S115" s="65" t="e">
        <f>Saisie!#REF!</f>
        <v>#REF!</v>
      </c>
      <c r="T115" s="63" t="e">
        <f>Saisie!#REF!</f>
        <v>#REF!</v>
      </c>
      <c r="U115" s="63" t="e">
        <f>Saisie!#REF!</f>
        <v>#REF!</v>
      </c>
      <c r="V115" s="63" t="e">
        <f t="array" ref="V115">_xlfn.IFS(Saisie!#REF!="OUI",1,Saisie!#REF!="NON",0)</f>
        <v>#REF!</v>
      </c>
      <c r="W115" s="63" t="e">
        <f t="array" ref="W115">_xlfn.IFS(Saisie!O115="OUI",1,Saisie!O115="NON",0)</f>
        <v>#N/A</v>
      </c>
      <c r="X115" s="63">
        <f>Saisie!P115</f>
        <v>0</v>
      </c>
      <c r="Y115" s="299">
        <f>Saisie!H115</f>
        <v>0</v>
      </c>
      <c r="Z115" s="58" t="e">
        <f>Saisie!#REF!</f>
        <v>#REF!</v>
      </c>
      <c r="AA115" s="299">
        <f>Saisie!Q115</f>
        <v>0</v>
      </c>
      <c r="AB115" s="63" t="e">
        <f t="array" ref="AB115">_xlfn.IFS(Saisie!R115="OUI",1,Saisie!R115="NON",0)</f>
        <v>#N/A</v>
      </c>
      <c r="AC115" s="63">
        <f>Saisie!S115</f>
        <v>0</v>
      </c>
      <c r="AD115" s="63" t="e">
        <f t="array" ref="AD115">_xlfn.IFS(Saisie!T115="OUI",1,Saisie!T115="NON",0)</f>
        <v>#N/A</v>
      </c>
      <c r="AE115" s="171">
        <f>Saisie!U115</f>
        <v>0</v>
      </c>
      <c r="AF115" s="262">
        <v>1</v>
      </c>
      <c r="AG115" s="129">
        <f>Saisie!W115</f>
        <v>0</v>
      </c>
      <c r="AH115" s="20">
        <f>Saisie!X115</f>
        <v>0</v>
      </c>
      <c r="AI115" s="21">
        <f>Saisie!Y115</f>
        <v>0</v>
      </c>
      <c r="AJ115" s="59">
        <f>Saisie!Z115</f>
        <v>0</v>
      </c>
      <c r="AK115" s="20">
        <f>Saisie!AA115</f>
        <v>0</v>
      </c>
      <c r="AL115" s="21">
        <f>Saisie!AB115</f>
        <v>0</v>
      </c>
      <c r="AM115" s="59">
        <f>Saisie!AC115</f>
        <v>0</v>
      </c>
      <c r="AN115" s="20">
        <f>Saisie!AD115</f>
        <v>0</v>
      </c>
      <c r="AO115" s="21">
        <f>Saisie!AE115</f>
        <v>0</v>
      </c>
      <c r="AP115" s="59">
        <f>Saisie!AF115</f>
        <v>0</v>
      </c>
      <c r="AQ115" s="129" t="e">
        <f t="array" ref="AQ115">_xlfn.IFS(Saisie!AG115="OUI",1,Saisie!AG115="NON",0)</f>
        <v>#N/A</v>
      </c>
      <c r="AR115" s="129" t="e">
        <f t="array" ref="AR115">_xlfn.IFS(Saisie!AH115="OUI",1,Saisie!AH115="NON",0)</f>
        <v>#N/A</v>
      </c>
      <c r="AS115" s="171">
        <f>Saisie!AI115</f>
        <v>0</v>
      </c>
      <c r="AT115" s="263" t="e">
        <f t="array" ref="AT115">_xlfn.IFS(Saisie!AJ115="OUI",1,Saisie!AJ115="NON",0)</f>
        <v>#N/A</v>
      </c>
      <c r="AU115" s="173">
        <f>Saisie!AK115</f>
        <v>0</v>
      </c>
      <c r="AV115" s="263" t="e">
        <f t="array" ref="AV115">_xlfn.IFS(Saisie!AL115="OUI",1,Saisie!AL115="NON",0)</f>
        <v>#N/A</v>
      </c>
      <c r="AW115" s="171">
        <f>Saisie!AM115</f>
        <v>0</v>
      </c>
      <c r="AX115" s="68">
        <f>Saisie!AN115</f>
        <v>0</v>
      </c>
      <c r="AY115" s="20">
        <f>Saisie!AO115</f>
        <v>0</v>
      </c>
      <c r="AZ115" s="21">
        <f>Saisie!AP115</f>
        <v>0</v>
      </c>
      <c r="BA115" s="298">
        <f>Saisie!AQ115</f>
        <v>0</v>
      </c>
      <c r="BB115" s="170">
        <f>Saisie!AR115</f>
        <v>0</v>
      </c>
      <c r="BC115" s="174">
        <f>Saisie!AS115</f>
        <v>0</v>
      </c>
      <c r="BD115" s="61">
        <f>Saisie!AT115</f>
        <v>0</v>
      </c>
      <c r="BE115" s="175" t="e">
        <f t="array" ref="BE115">_xlfn.IFS(Saisie!AU115="OUI",1,Saisie!AU115="NON",0)</f>
        <v>#N/A</v>
      </c>
      <c r="BF115" s="267">
        <f>Saisie!AV115</f>
        <v>0</v>
      </c>
      <c r="BG115" s="55">
        <f>Saisie!AW115</f>
        <v>0</v>
      </c>
      <c r="BH115" s="55" t="e">
        <f t="array" ref="BH115">_xlfn.IFS(Saisie!AX115="OUI",1,Saisie!AX115="NON",0)</f>
        <v>#N/A</v>
      </c>
      <c r="BI115" s="62">
        <f>Saisie!AY115</f>
        <v>0</v>
      </c>
      <c r="BJ115" s="55" t="e">
        <f t="array" ref="BJ115">_xlfn.IFS(Saisie!AZ115="OUI",1,Saisie!AZ115="NON",0)</f>
        <v>#N/A</v>
      </c>
      <c r="BK115" s="55" t="e">
        <f t="array" ref="BK115">_xlfn.IFS(Saisie!BA115="OUI",1,Saisie!BA115="NON",0)</f>
        <v>#N/A</v>
      </c>
      <c r="BL115" s="55">
        <f>Saisie!BB115</f>
        <v>0</v>
      </c>
      <c r="BM115" s="49" t="e">
        <f>Saisie!BC115</f>
        <v>#REF!</v>
      </c>
      <c r="BN115" s="175"/>
    </row>
    <row r="116" spans="1:66" s="176" customFormat="1" x14ac:dyDescent="0.45">
      <c r="A116" s="13">
        <v>110</v>
      </c>
      <c r="B116" s="150">
        <f>Saisie!B116</f>
        <v>0</v>
      </c>
      <c r="C116" s="150">
        <f>Saisie!C116</f>
        <v>0</v>
      </c>
      <c r="D116" s="150">
        <f>Saisie!D116</f>
        <v>0</v>
      </c>
      <c r="E116" s="150">
        <f>Saisie!E116</f>
        <v>0</v>
      </c>
      <c r="F116" s="150">
        <f>Saisie!F116</f>
        <v>0</v>
      </c>
      <c r="G116" s="150">
        <f>Saisie!G116</f>
        <v>0</v>
      </c>
      <c r="H116" s="150">
        <f>Saisie!I116</f>
        <v>0</v>
      </c>
      <c r="I116" s="150">
        <f>Saisie!J116</f>
        <v>0</v>
      </c>
      <c r="J116" s="150">
        <f>Saisie!K116</f>
        <v>0</v>
      </c>
      <c r="K116" s="150">
        <f>Saisie!L116</f>
        <v>0</v>
      </c>
      <c r="L116" s="150" t="e">
        <f>Saisie!#REF!</f>
        <v>#REF!</v>
      </c>
      <c r="M116" s="55" t="e">
        <f t="array" ref="M116">_xlfn.IFS(Saisie!M116="OUI",1,Saisie!M116="NON",0)</f>
        <v>#N/A</v>
      </c>
      <c r="N116" s="64" t="e">
        <f>Saisie!#REF!</f>
        <v>#REF!</v>
      </c>
      <c r="O116" s="63" t="e">
        <f>Saisie!#REF!</f>
        <v>#REF!</v>
      </c>
      <c r="P116" s="63">
        <f>Saisie!N116</f>
        <v>0</v>
      </c>
      <c r="Q116" s="63" t="e">
        <f t="array" ref="Q116">_xlfn.IFS(Saisie!#REF!="OUI",1,Saisie!#REF!="NON",0)</f>
        <v>#REF!</v>
      </c>
      <c r="R116" s="63" t="e">
        <f>Saisie!#REF!</f>
        <v>#REF!</v>
      </c>
      <c r="S116" s="65" t="e">
        <f>Saisie!#REF!</f>
        <v>#REF!</v>
      </c>
      <c r="T116" s="63" t="e">
        <f>Saisie!#REF!</f>
        <v>#REF!</v>
      </c>
      <c r="U116" s="63" t="e">
        <f>Saisie!#REF!</f>
        <v>#REF!</v>
      </c>
      <c r="V116" s="63" t="e">
        <f t="array" ref="V116">_xlfn.IFS(Saisie!#REF!="OUI",1,Saisie!#REF!="NON",0)</f>
        <v>#REF!</v>
      </c>
      <c r="W116" s="63" t="e">
        <f t="array" ref="W116">_xlfn.IFS(Saisie!O116="OUI",1,Saisie!O116="NON",0)</f>
        <v>#N/A</v>
      </c>
      <c r="X116" s="63">
        <f>Saisie!P116</f>
        <v>0</v>
      </c>
      <c r="Y116" s="299">
        <f>Saisie!H116</f>
        <v>0</v>
      </c>
      <c r="Z116" s="58" t="e">
        <f>Saisie!#REF!</f>
        <v>#REF!</v>
      </c>
      <c r="AA116" s="299">
        <f>Saisie!Q116</f>
        <v>0</v>
      </c>
      <c r="AB116" s="63" t="e">
        <f t="array" ref="AB116">_xlfn.IFS(Saisie!R116="OUI",1,Saisie!R116="NON",0)</f>
        <v>#N/A</v>
      </c>
      <c r="AC116" s="63">
        <f>Saisie!S116</f>
        <v>0</v>
      </c>
      <c r="AD116" s="63" t="e">
        <f t="array" ref="AD116">_xlfn.IFS(Saisie!T116="OUI",1,Saisie!T116="NON",0)</f>
        <v>#N/A</v>
      </c>
      <c r="AE116" s="171">
        <f>Saisie!U116</f>
        <v>0</v>
      </c>
      <c r="AF116" s="262">
        <v>1</v>
      </c>
      <c r="AG116" s="129">
        <f>Saisie!W116</f>
        <v>0</v>
      </c>
      <c r="AH116" s="20">
        <f>Saisie!X116</f>
        <v>0</v>
      </c>
      <c r="AI116" s="21">
        <f>Saisie!Y116</f>
        <v>0</v>
      </c>
      <c r="AJ116" s="59">
        <f>Saisie!Z116</f>
        <v>0</v>
      </c>
      <c r="AK116" s="20">
        <f>Saisie!AA116</f>
        <v>0</v>
      </c>
      <c r="AL116" s="21">
        <f>Saisie!AB116</f>
        <v>0</v>
      </c>
      <c r="AM116" s="59">
        <f>Saisie!AC116</f>
        <v>0</v>
      </c>
      <c r="AN116" s="20">
        <f>Saisie!AD116</f>
        <v>0</v>
      </c>
      <c r="AO116" s="21">
        <f>Saisie!AE116</f>
        <v>0</v>
      </c>
      <c r="AP116" s="59">
        <f>Saisie!AF116</f>
        <v>0</v>
      </c>
      <c r="AQ116" s="129" t="e">
        <f t="array" ref="AQ116">_xlfn.IFS(Saisie!AG116="OUI",1,Saisie!AG116="NON",0)</f>
        <v>#N/A</v>
      </c>
      <c r="AR116" s="129" t="e">
        <f t="array" ref="AR116">_xlfn.IFS(Saisie!AH116="OUI",1,Saisie!AH116="NON",0)</f>
        <v>#N/A</v>
      </c>
      <c r="AS116" s="171">
        <f>Saisie!AI116</f>
        <v>0</v>
      </c>
      <c r="AT116" s="263" t="e">
        <f t="array" ref="AT116">_xlfn.IFS(Saisie!AJ116="OUI",1,Saisie!AJ116="NON",0)</f>
        <v>#N/A</v>
      </c>
      <c r="AU116" s="173">
        <f>Saisie!AK116</f>
        <v>0</v>
      </c>
      <c r="AV116" s="263" t="e">
        <f t="array" ref="AV116">_xlfn.IFS(Saisie!AL116="OUI",1,Saisie!AL116="NON",0)</f>
        <v>#N/A</v>
      </c>
      <c r="AW116" s="171">
        <f>Saisie!AM116</f>
        <v>0</v>
      </c>
      <c r="AX116" s="68">
        <f>Saisie!AN116</f>
        <v>0</v>
      </c>
      <c r="AY116" s="20">
        <f>Saisie!AO116</f>
        <v>0</v>
      </c>
      <c r="AZ116" s="21">
        <f>Saisie!AP116</f>
        <v>0</v>
      </c>
      <c r="BA116" s="298">
        <f>Saisie!AQ116</f>
        <v>0</v>
      </c>
      <c r="BB116" s="170">
        <f>Saisie!AR116</f>
        <v>0</v>
      </c>
      <c r="BC116" s="174">
        <f>Saisie!AS116</f>
        <v>0</v>
      </c>
      <c r="BD116" s="61">
        <f>Saisie!AT116</f>
        <v>0</v>
      </c>
      <c r="BE116" s="175" t="e">
        <f t="array" ref="BE116">_xlfn.IFS(Saisie!AU116="OUI",1,Saisie!AU116="NON",0)</f>
        <v>#N/A</v>
      </c>
      <c r="BF116" s="267">
        <f>Saisie!AV116</f>
        <v>0</v>
      </c>
      <c r="BG116" s="55">
        <f>Saisie!AW116</f>
        <v>0</v>
      </c>
      <c r="BH116" s="55" t="e">
        <f t="array" ref="BH116">_xlfn.IFS(Saisie!AX116="OUI",1,Saisie!AX116="NON",0)</f>
        <v>#N/A</v>
      </c>
      <c r="BI116" s="62">
        <f>Saisie!AY116</f>
        <v>0</v>
      </c>
      <c r="BJ116" s="55" t="e">
        <f t="array" ref="BJ116">_xlfn.IFS(Saisie!AZ116="OUI",1,Saisie!AZ116="NON",0)</f>
        <v>#N/A</v>
      </c>
      <c r="BK116" s="55" t="e">
        <f t="array" ref="BK116">_xlfn.IFS(Saisie!BA116="OUI",1,Saisie!BA116="NON",0)</f>
        <v>#N/A</v>
      </c>
      <c r="BL116" s="55">
        <f>Saisie!BB116</f>
        <v>0</v>
      </c>
      <c r="BM116" s="49" t="e">
        <f>Saisie!BC116</f>
        <v>#REF!</v>
      </c>
      <c r="BN116" s="175"/>
    </row>
    <row r="117" spans="1:66" s="176" customFormat="1" x14ac:dyDescent="0.45">
      <c r="A117" s="13">
        <v>111</v>
      </c>
      <c r="B117" s="150">
        <f>Saisie!B117</f>
        <v>0</v>
      </c>
      <c r="C117" s="150">
        <f>Saisie!C117</f>
        <v>0</v>
      </c>
      <c r="D117" s="150">
        <f>Saisie!D117</f>
        <v>0</v>
      </c>
      <c r="E117" s="150">
        <f>Saisie!E117</f>
        <v>0</v>
      </c>
      <c r="F117" s="150">
        <f>Saisie!F117</f>
        <v>0</v>
      </c>
      <c r="G117" s="150">
        <f>Saisie!G117</f>
        <v>0</v>
      </c>
      <c r="H117" s="150">
        <f>Saisie!I117</f>
        <v>0</v>
      </c>
      <c r="I117" s="150">
        <f>Saisie!J117</f>
        <v>0</v>
      </c>
      <c r="J117" s="150">
        <f>Saisie!K117</f>
        <v>0</v>
      </c>
      <c r="K117" s="150">
        <f>Saisie!L117</f>
        <v>0</v>
      </c>
      <c r="L117" s="150" t="e">
        <f>Saisie!#REF!</f>
        <v>#REF!</v>
      </c>
      <c r="M117" s="55" t="e">
        <f t="array" ref="M117">_xlfn.IFS(Saisie!M117="OUI",1,Saisie!M117="NON",0)</f>
        <v>#N/A</v>
      </c>
      <c r="N117" s="64" t="e">
        <f>Saisie!#REF!</f>
        <v>#REF!</v>
      </c>
      <c r="O117" s="63" t="e">
        <f>Saisie!#REF!</f>
        <v>#REF!</v>
      </c>
      <c r="P117" s="63">
        <f>Saisie!N117</f>
        <v>0</v>
      </c>
      <c r="Q117" s="63" t="e">
        <f t="array" ref="Q117">_xlfn.IFS(Saisie!#REF!="OUI",1,Saisie!#REF!="NON",0)</f>
        <v>#REF!</v>
      </c>
      <c r="R117" s="63" t="e">
        <f>Saisie!#REF!</f>
        <v>#REF!</v>
      </c>
      <c r="S117" s="65" t="e">
        <f>Saisie!#REF!</f>
        <v>#REF!</v>
      </c>
      <c r="T117" s="63" t="e">
        <f>Saisie!#REF!</f>
        <v>#REF!</v>
      </c>
      <c r="U117" s="63" t="e">
        <f>Saisie!#REF!</f>
        <v>#REF!</v>
      </c>
      <c r="V117" s="63" t="e">
        <f t="array" ref="V117">_xlfn.IFS(Saisie!#REF!="OUI",1,Saisie!#REF!="NON",0)</f>
        <v>#REF!</v>
      </c>
      <c r="W117" s="63" t="e">
        <f t="array" ref="W117">_xlfn.IFS(Saisie!O117="OUI",1,Saisie!O117="NON",0)</f>
        <v>#N/A</v>
      </c>
      <c r="X117" s="63">
        <f>Saisie!P117</f>
        <v>0</v>
      </c>
      <c r="Y117" s="299">
        <f>Saisie!H117</f>
        <v>0</v>
      </c>
      <c r="Z117" s="58" t="e">
        <f>Saisie!#REF!</f>
        <v>#REF!</v>
      </c>
      <c r="AA117" s="299">
        <f>Saisie!Q117</f>
        <v>0</v>
      </c>
      <c r="AB117" s="63" t="e">
        <f t="array" ref="AB117">_xlfn.IFS(Saisie!R117="OUI",1,Saisie!R117="NON",0)</f>
        <v>#N/A</v>
      </c>
      <c r="AC117" s="63">
        <f>Saisie!S117</f>
        <v>0</v>
      </c>
      <c r="AD117" s="63" t="e">
        <f t="array" ref="AD117">_xlfn.IFS(Saisie!T117="OUI",1,Saisie!T117="NON",0)</f>
        <v>#N/A</v>
      </c>
      <c r="AE117" s="171">
        <f>Saisie!U117</f>
        <v>0</v>
      </c>
      <c r="AF117" s="262">
        <v>3</v>
      </c>
      <c r="AG117" s="129">
        <f>Saisie!W117</f>
        <v>0</v>
      </c>
      <c r="AH117" s="20">
        <f>Saisie!X117</f>
        <v>0</v>
      </c>
      <c r="AI117" s="21">
        <f>Saisie!Y117</f>
        <v>0</v>
      </c>
      <c r="AJ117" s="59">
        <f>Saisie!Z117</f>
        <v>0</v>
      </c>
      <c r="AK117" s="20">
        <f>Saisie!AA117</f>
        <v>0</v>
      </c>
      <c r="AL117" s="21">
        <f>Saisie!AB117</f>
        <v>0</v>
      </c>
      <c r="AM117" s="59">
        <f>Saisie!AC117</f>
        <v>0</v>
      </c>
      <c r="AN117" s="20">
        <f>Saisie!AD117</f>
        <v>0</v>
      </c>
      <c r="AO117" s="21">
        <f>Saisie!AE117</f>
        <v>0</v>
      </c>
      <c r="AP117" s="59">
        <f>Saisie!AF117</f>
        <v>0</v>
      </c>
      <c r="AQ117" s="129" t="e">
        <f t="array" ref="AQ117">_xlfn.IFS(Saisie!AG117="OUI",1,Saisie!AG117="NON",0)</f>
        <v>#N/A</v>
      </c>
      <c r="AR117" s="129" t="e">
        <f t="array" ref="AR117">_xlfn.IFS(Saisie!AH117="OUI",1,Saisie!AH117="NON",0)</f>
        <v>#N/A</v>
      </c>
      <c r="AS117" s="171">
        <f>Saisie!AI117</f>
        <v>0</v>
      </c>
      <c r="AT117" s="263" t="e">
        <f t="array" ref="AT117">_xlfn.IFS(Saisie!AJ117="OUI",1,Saisie!AJ117="NON",0)</f>
        <v>#N/A</v>
      </c>
      <c r="AU117" s="173">
        <f>Saisie!AK117</f>
        <v>0</v>
      </c>
      <c r="AV117" s="263" t="e">
        <f t="array" ref="AV117">_xlfn.IFS(Saisie!AL117="OUI",1,Saisie!AL117="NON",0)</f>
        <v>#N/A</v>
      </c>
      <c r="AW117" s="171">
        <f>Saisie!AM117</f>
        <v>0</v>
      </c>
      <c r="AX117" s="68">
        <f>Saisie!AN117</f>
        <v>0</v>
      </c>
      <c r="AY117" s="20">
        <f>Saisie!AO117</f>
        <v>0</v>
      </c>
      <c r="AZ117" s="21">
        <f>Saisie!AP117</f>
        <v>0</v>
      </c>
      <c r="BA117" s="298">
        <f>Saisie!AQ117</f>
        <v>0</v>
      </c>
      <c r="BB117" s="170">
        <f>Saisie!AR117</f>
        <v>0</v>
      </c>
      <c r="BC117" s="174">
        <f>Saisie!AS117</f>
        <v>0</v>
      </c>
      <c r="BD117" s="61">
        <f>Saisie!AT117</f>
        <v>0</v>
      </c>
      <c r="BE117" s="175" t="e">
        <f t="array" ref="BE117">_xlfn.IFS(Saisie!AU117="OUI",1,Saisie!AU117="NON",0)</f>
        <v>#N/A</v>
      </c>
      <c r="BF117" s="267">
        <f>Saisie!AV117</f>
        <v>0</v>
      </c>
      <c r="BG117" s="55">
        <f>Saisie!AW117</f>
        <v>0</v>
      </c>
      <c r="BH117" s="55" t="e">
        <f t="array" ref="BH117">_xlfn.IFS(Saisie!AX117="OUI",1,Saisie!AX117="NON",0)</f>
        <v>#N/A</v>
      </c>
      <c r="BI117" s="62">
        <f>Saisie!AY117</f>
        <v>0</v>
      </c>
      <c r="BJ117" s="55" t="e">
        <f t="array" ref="BJ117">_xlfn.IFS(Saisie!AZ117="OUI",1,Saisie!AZ117="NON",0)</f>
        <v>#N/A</v>
      </c>
      <c r="BK117" s="55" t="e">
        <f t="array" ref="BK117">_xlfn.IFS(Saisie!BA117="OUI",1,Saisie!BA117="NON",0)</f>
        <v>#N/A</v>
      </c>
      <c r="BL117" s="55">
        <f>Saisie!BB117</f>
        <v>0</v>
      </c>
      <c r="BM117" s="49" t="e">
        <f>Saisie!BC117</f>
        <v>#REF!</v>
      </c>
      <c r="BN117" s="175"/>
    </row>
    <row r="118" spans="1:66" s="176" customFormat="1" x14ac:dyDescent="0.45">
      <c r="A118" s="12">
        <v>112</v>
      </c>
      <c r="B118" s="150">
        <f>Saisie!B118</f>
        <v>0</v>
      </c>
      <c r="C118" s="150">
        <f>Saisie!C118</f>
        <v>0</v>
      </c>
      <c r="D118" s="150">
        <f>Saisie!D118</f>
        <v>0</v>
      </c>
      <c r="E118" s="150">
        <f>Saisie!E118</f>
        <v>0</v>
      </c>
      <c r="F118" s="150">
        <f>Saisie!F118</f>
        <v>0</v>
      </c>
      <c r="G118" s="150">
        <f>Saisie!G118</f>
        <v>0</v>
      </c>
      <c r="H118" s="150">
        <f>Saisie!I118</f>
        <v>0</v>
      </c>
      <c r="I118" s="150">
        <f>Saisie!J118</f>
        <v>0</v>
      </c>
      <c r="J118" s="150">
        <f>Saisie!K118</f>
        <v>0</v>
      </c>
      <c r="K118" s="150">
        <f>Saisie!L118</f>
        <v>0</v>
      </c>
      <c r="L118" s="150" t="e">
        <f>Saisie!#REF!</f>
        <v>#REF!</v>
      </c>
      <c r="M118" s="55" t="e">
        <f t="array" ref="M118">_xlfn.IFS(Saisie!M118="OUI",1,Saisie!M118="NON",0)</f>
        <v>#N/A</v>
      </c>
      <c r="N118" s="64" t="e">
        <f>Saisie!#REF!</f>
        <v>#REF!</v>
      </c>
      <c r="O118" s="63" t="e">
        <f>Saisie!#REF!</f>
        <v>#REF!</v>
      </c>
      <c r="P118" s="63">
        <f>Saisie!N118</f>
        <v>0</v>
      </c>
      <c r="Q118" s="63" t="e">
        <f t="array" ref="Q118">_xlfn.IFS(Saisie!#REF!="OUI",1,Saisie!#REF!="NON",0)</f>
        <v>#REF!</v>
      </c>
      <c r="R118" s="63" t="e">
        <f>Saisie!#REF!</f>
        <v>#REF!</v>
      </c>
      <c r="S118" s="65" t="e">
        <f>Saisie!#REF!</f>
        <v>#REF!</v>
      </c>
      <c r="T118" s="63" t="e">
        <f>Saisie!#REF!</f>
        <v>#REF!</v>
      </c>
      <c r="U118" s="63" t="e">
        <f>Saisie!#REF!</f>
        <v>#REF!</v>
      </c>
      <c r="V118" s="63" t="e">
        <f t="array" ref="V118">_xlfn.IFS(Saisie!#REF!="OUI",1,Saisie!#REF!="NON",0)</f>
        <v>#REF!</v>
      </c>
      <c r="W118" s="63" t="e">
        <f t="array" ref="W118">_xlfn.IFS(Saisie!O118="OUI",1,Saisie!O118="NON",0)</f>
        <v>#N/A</v>
      </c>
      <c r="X118" s="63">
        <f>Saisie!P118</f>
        <v>0</v>
      </c>
      <c r="Y118" s="299">
        <f>Saisie!H118</f>
        <v>0</v>
      </c>
      <c r="Z118" s="58" t="e">
        <f>Saisie!#REF!</f>
        <v>#REF!</v>
      </c>
      <c r="AA118" s="299">
        <f>Saisie!Q118</f>
        <v>0</v>
      </c>
      <c r="AB118" s="63" t="e">
        <f t="array" ref="AB118">_xlfn.IFS(Saisie!R118="OUI",1,Saisie!R118="NON",0)</f>
        <v>#N/A</v>
      </c>
      <c r="AC118" s="63">
        <f>Saisie!S118</f>
        <v>0</v>
      </c>
      <c r="AD118" s="63" t="e">
        <f t="array" ref="AD118">_xlfn.IFS(Saisie!T118="OUI",1,Saisie!T118="NON",0)</f>
        <v>#N/A</v>
      </c>
      <c r="AE118" s="171">
        <f>Saisie!U118</f>
        <v>0</v>
      </c>
      <c r="AF118" s="262"/>
      <c r="AG118" s="129">
        <f>Saisie!W118</f>
        <v>0</v>
      </c>
      <c r="AH118" s="20">
        <f>Saisie!X118</f>
        <v>0</v>
      </c>
      <c r="AI118" s="21">
        <f>Saisie!Y118</f>
        <v>0</v>
      </c>
      <c r="AJ118" s="59">
        <f>Saisie!Z118</f>
        <v>0</v>
      </c>
      <c r="AK118" s="20">
        <f>Saisie!AA118</f>
        <v>0</v>
      </c>
      <c r="AL118" s="21">
        <f>Saisie!AB118</f>
        <v>0</v>
      </c>
      <c r="AM118" s="59">
        <f>Saisie!AC118</f>
        <v>0</v>
      </c>
      <c r="AN118" s="20">
        <f>Saisie!AD118</f>
        <v>0</v>
      </c>
      <c r="AO118" s="21">
        <f>Saisie!AE118</f>
        <v>0</v>
      </c>
      <c r="AP118" s="59">
        <f>Saisie!AF118</f>
        <v>0</v>
      </c>
      <c r="AQ118" s="129" t="e">
        <f t="array" ref="AQ118">_xlfn.IFS(Saisie!AG118="OUI",1,Saisie!AG118="NON",0)</f>
        <v>#N/A</v>
      </c>
      <c r="AR118" s="129" t="e">
        <f t="array" ref="AR118">_xlfn.IFS(Saisie!AH118="OUI",1,Saisie!AH118="NON",0)</f>
        <v>#N/A</v>
      </c>
      <c r="AS118" s="171">
        <f>Saisie!AI118</f>
        <v>0</v>
      </c>
      <c r="AT118" s="263" t="e">
        <f t="array" ref="AT118">_xlfn.IFS(Saisie!AJ118="OUI",1,Saisie!AJ118="NON",0)</f>
        <v>#N/A</v>
      </c>
      <c r="AU118" s="173">
        <f>Saisie!AK118</f>
        <v>0</v>
      </c>
      <c r="AV118" s="263" t="e">
        <f t="array" ref="AV118">_xlfn.IFS(Saisie!AL118="OUI",1,Saisie!AL118="NON",0)</f>
        <v>#N/A</v>
      </c>
      <c r="AW118" s="171">
        <f>Saisie!AM118</f>
        <v>0</v>
      </c>
      <c r="AX118" s="68">
        <f>Saisie!AN118</f>
        <v>0</v>
      </c>
      <c r="AY118" s="20">
        <f>Saisie!AO118</f>
        <v>0</v>
      </c>
      <c r="AZ118" s="21">
        <f>Saisie!AP118</f>
        <v>0</v>
      </c>
      <c r="BA118" s="298">
        <f>Saisie!AQ118</f>
        <v>0</v>
      </c>
      <c r="BB118" s="170">
        <f>Saisie!AR118</f>
        <v>0</v>
      </c>
      <c r="BC118" s="174">
        <f>Saisie!AS118</f>
        <v>0</v>
      </c>
      <c r="BD118" s="61">
        <f>Saisie!AT118</f>
        <v>0</v>
      </c>
      <c r="BE118" s="175" t="e">
        <f t="array" ref="BE118">_xlfn.IFS(Saisie!AU118="OUI",1,Saisie!AU118="NON",0)</f>
        <v>#N/A</v>
      </c>
      <c r="BF118" s="267">
        <f>Saisie!AV118</f>
        <v>0</v>
      </c>
      <c r="BG118" s="55">
        <f>Saisie!AW118</f>
        <v>0</v>
      </c>
      <c r="BH118" s="55" t="e">
        <f t="array" ref="BH118">_xlfn.IFS(Saisie!AX118="OUI",1,Saisie!AX118="NON",0)</f>
        <v>#N/A</v>
      </c>
      <c r="BI118" s="62">
        <f>Saisie!AY118</f>
        <v>0</v>
      </c>
      <c r="BJ118" s="55" t="e">
        <f t="array" ref="BJ118">_xlfn.IFS(Saisie!AZ118="OUI",1,Saisie!AZ118="NON",0)</f>
        <v>#N/A</v>
      </c>
      <c r="BK118" s="55" t="e">
        <f t="array" ref="BK118">_xlfn.IFS(Saisie!BA118="OUI",1,Saisie!BA118="NON",0)</f>
        <v>#N/A</v>
      </c>
      <c r="BL118" s="55">
        <f>Saisie!BB118</f>
        <v>0</v>
      </c>
      <c r="BM118" s="49" t="e">
        <f>Saisie!BC118</f>
        <v>#REF!</v>
      </c>
      <c r="BN118" s="175" t="s">
        <v>145</v>
      </c>
    </row>
    <row r="119" spans="1:66" s="176" customFormat="1" x14ac:dyDescent="0.45">
      <c r="A119" s="13">
        <v>113</v>
      </c>
      <c r="B119" s="150">
        <f>Saisie!B119</f>
        <v>0</v>
      </c>
      <c r="C119" s="150">
        <f>Saisie!C119</f>
        <v>0</v>
      </c>
      <c r="D119" s="150">
        <f>Saisie!D119</f>
        <v>0</v>
      </c>
      <c r="E119" s="150">
        <f>Saisie!E119</f>
        <v>0</v>
      </c>
      <c r="F119" s="150">
        <f>Saisie!F119</f>
        <v>0</v>
      </c>
      <c r="G119" s="150">
        <f>Saisie!G119</f>
        <v>0</v>
      </c>
      <c r="H119" s="150">
        <f>Saisie!I119</f>
        <v>0</v>
      </c>
      <c r="I119" s="150">
        <f>Saisie!J119</f>
        <v>0</v>
      </c>
      <c r="J119" s="150">
        <f>Saisie!K119</f>
        <v>0</v>
      </c>
      <c r="K119" s="150">
        <f>Saisie!L119</f>
        <v>0</v>
      </c>
      <c r="L119" s="150" t="e">
        <f>Saisie!#REF!</f>
        <v>#REF!</v>
      </c>
      <c r="M119" s="55" t="e">
        <f t="array" ref="M119">_xlfn.IFS(Saisie!M119="OUI",1,Saisie!M119="NON",0)</f>
        <v>#N/A</v>
      </c>
      <c r="N119" s="64" t="e">
        <f>Saisie!#REF!</f>
        <v>#REF!</v>
      </c>
      <c r="O119" s="63" t="e">
        <f>Saisie!#REF!</f>
        <v>#REF!</v>
      </c>
      <c r="P119" s="63">
        <f>Saisie!N119</f>
        <v>0</v>
      </c>
      <c r="Q119" s="63" t="e">
        <f t="array" ref="Q119">_xlfn.IFS(Saisie!#REF!="OUI",1,Saisie!#REF!="NON",0)</f>
        <v>#REF!</v>
      </c>
      <c r="R119" s="63" t="e">
        <f>Saisie!#REF!</f>
        <v>#REF!</v>
      </c>
      <c r="S119" s="65" t="e">
        <f>Saisie!#REF!</f>
        <v>#REF!</v>
      </c>
      <c r="T119" s="63" t="e">
        <f>Saisie!#REF!</f>
        <v>#REF!</v>
      </c>
      <c r="U119" s="63" t="e">
        <f>Saisie!#REF!</f>
        <v>#REF!</v>
      </c>
      <c r="V119" s="63" t="e">
        <f t="array" ref="V119">_xlfn.IFS(Saisie!#REF!="OUI",1,Saisie!#REF!="NON",0)</f>
        <v>#REF!</v>
      </c>
      <c r="W119" s="63" t="e">
        <f t="array" ref="W119">_xlfn.IFS(Saisie!O119="OUI",1,Saisie!O119="NON",0)</f>
        <v>#N/A</v>
      </c>
      <c r="X119" s="63">
        <f>Saisie!P119</f>
        <v>0</v>
      </c>
      <c r="Y119" s="299">
        <f>Saisie!H119</f>
        <v>0</v>
      </c>
      <c r="Z119" s="58" t="e">
        <f>Saisie!#REF!</f>
        <v>#REF!</v>
      </c>
      <c r="AA119" s="299">
        <f>Saisie!Q119</f>
        <v>0</v>
      </c>
      <c r="AB119" s="63" t="e">
        <f t="array" ref="AB119">_xlfn.IFS(Saisie!R119="OUI",1,Saisie!R119="NON",0)</f>
        <v>#N/A</v>
      </c>
      <c r="AC119" s="63">
        <f>Saisie!S119</f>
        <v>0</v>
      </c>
      <c r="AD119" s="63" t="e">
        <f t="array" ref="AD119">_xlfn.IFS(Saisie!T119="OUI",1,Saisie!T119="NON",0)</f>
        <v>#N/A</v>
      </c>
      <c r="AE119" s="171">
        <f>Saisie!U119</f>
        <v>0</v>
      </c>
      <c r="AF119" s="262"/>
      <c r="AG119" s="129">
        <f>Saisie!W119</f>
        <v>0</v>
      </c>
      <c r="AH119" s="20">
        <f>Saisie!X119</f>
        <v>0</v>
      </c>
      <c r="AI119" s="21">
        <f>Saisie!Y119</f>
        <v>0</v>
      </c>
      <c r="AJ119" s="59">
        <f>Saisie!Z119</f>
        <v>0</v>
      </c>
      <c r="AK119" s="20">
        <f>Saisie!AA119</f>
        <v>0</v>
      </c>
      <c r="AL119" s="21">
        <f>Saisie!AB119</f>
        <v>0</v>
      </c>
      <c r="AM119" s="59">
        <f>Saisie!AC119</f>
        <v>0</v>
      </c>
      <c r="AN119" s="20">
        <f>Saisie!AD119</f>
        <v>0</v>
      </c>
      <c r="AO119" s="21">
        <f>Saisie!AE119</f>
        <v>0</v>
      </c>
      <c r="AP119" s="59">
        <f>Saisie!AF119</f>
        <v>0</v>
      </c>
      <c r="AQ119" s="129" t="e">
        <f t="array" ref="AQ119">_xlfn.IFS(Saisie!AG119="OUI",1,Saisie!AG119="NON",0)</f>
        <v>#N/A</v>
      </c>
      <c r="AR119" s="129" t="e">
        <f t="array" ref="AR119">_xlfn.IFS(Saisie!AH119="OUI",1,Saisie!AH119="NON",0)</f>
        <v>#N/A</v>
      </c>
      <c r="AS119" s="171">
        <f>Saisie!AI119</f>
        <v>0</v>
      </c>
      <c r="AT119" s="263" t="e">
        <f t="array" ref="AT119">_xlfn.IFS(Saisie!AJ119="OUI",1,Saisie!AJ119="NON",0)</f>
        <v>#N/A</v>
      </c>
      <c r="AU119" s="173">
        <f>Saisie!AK119</f>
        <v>0</v>
      </c>
      <c r="AV119" s="263" t="e">
        <f t="array" ref="AV119">_xlfn.IFS(Saisie!AL119="OUI",1,Saisie!AL119="NON",0)</f>
        <v>#N/A</v>
      </c>
      <c r="AW119" s="171">
        <f>Saisie!AM119</f>
        <v>0</v>
      </c>
      <c r="AX119" s="68">
        <f>Saisie!AN119</f>
        <v>0</v>
      </c>
      <c r="AY119" s="20">
        <f>Saisie!AO119</f>
        <v>0</v>
      </c>
      <c r="AZ119" s="21">
        <f>Saisie!AP119</f>
        <v>0</v>
      </c>
      <c r="BA119" s="298">
        <f>Saisie!AQ119</f>
        <v>0</v>
      </c>
      <c r="BB119" s="170">
        <f>Saisie!AR119</f>
        <v>0</v>
      </c>
      <c r="BC119" s="174">
        <f>Saisie!AS119</f>
        <v>0</v>
      </c>
      <c r="BD119" s="61">
        <f>Saisie!AT119</f>
        <v>0</v>
      </c>
      <c r="BE119" s="175" t="e">
        <f t="array" ref="BE119">_xlfn.IFS(Saisie!AU119="OUI",1,Saisie!AU119="NON",0)</f>
        <v>#N/A</v>
      </c>
      <c r="BF119" s="267">
        <f>Saisie!AV119</f>
        <v>0</v>
      </c>
      <c r="BG119" s="55">
        <f>Saisie!AW119</f>
        <v>0</v>
      </c>
      <c r="BH119" s="55" t="e">
        <f t="array" ref="BH119">_xlfn.IFS(Saisie!AX119="OUI",1,Saisie!AX119="NON",0)</f>
        <v>#N/A</v>
      </c>
      <c r="BI119" s="62">
        <f>Saisie!AY119</f>
        <v>0</v>
      </c>
      <c r="BJ119" s="55" t="e">
        <f t="array" ref="BJ119">_xlfn.IFS(Saisie!AZ119="OUI",1,Saisie!AZ119="NON",0)</f>
        <v>#N/A</v>
      </c>
      <c r="BK119" s="55" t="e">
        <f t="array" ref="BK119">_xlfn.IFS(Saisie!BA119="OUI",1,Saisie!BA119="NON",0)</f>
        <v>#N/A</v>
      </c>
      <c r="BL119" s="55">
        <f>Saisie!BB119</f>
        <v>0</v>
      </c>
      <c r="BM119" s="49" t="e">
        <f>Saisie!BC119</f>
        <v>#REF!</v>
      </c>
      <c r="BN119" s="175" t="s">
        <v>145</v>
      </c>
    </row>
    <row r="120" spans="1:66" s="176" customFormat="1" x14ac:dyDescent="0.45">
      <c r="A120" s="13">
        <v>114</v>
      </c>
      <c r="B120" s="150">
        <f>Saisie!B120</f>
        <v>0</v>
      </c>
      <c r="C120" s="150">
        <f>Saisie!C120</f>
        <v>0</v>
      </c>
      <c r="D120" s="150">
        <f>Saisie!D120</f>
        <v>0</v>
      </c>
      <c r="E120" s="150">
        <f>Saisie!E120</f>
        <v>0</v>
      </c>
      <c r="F120" s="150">
        <f>Saisie!F120</f>
        <v>0</v>
      </c>
      <c r="G120" s="150">
        <f>Saisie!G120</f>
        <v>0</v>
      </c>
      <c r="H120" s="150">
        <f>Saisie!I120</f>
        <v>0</v>
      </c>
      <c r="I120" s="150">
        <f>Saisie!J120</f>
        <v>0</v>
      </c>
      <c r="J120" s="150">
        <f>Saisie!K120</f>
        <v>0</v>
      </c>
      <c r="K120" s="150">
        <f>Saisie!L120</f>
        <v>0</v>
      </c>
      <c r="L120" s="150" t="e">
        <f>Saisie!#REF!</f>
        <v>#REF!</v>
      </c>
      <c r="M120" s="55" t="e">
        <f t="array" ref="M120">_xlfn.IFS(Saisie!M120="OUI",1,Saisie!M120="NON",0)</f>
        <v>#N/A</v>
      </c>
      <c r="N120" s="64" t="e">
        <f>Saisie!#REF!</f>
        <v>#REF!</v>
      </c>
      <c r="O120" s="63" t="e">
        <f>Saisie!#REF!</f>
        <v>#REF!</v>
      </c>
      <c r="P120" s="63">
        <f>Saisie!N120</f>
        <v>0</v>
      </c>
      <c r="Q120" s="63" t="e">
        <f t="array" ref="Q120">_xlfn.IFS(Saisie!#REF!="OUI",1,Saisie!#REF!="NON",0)</f>
        <v>#REF!</v>
      </c>
      <c r="R120" s="63" t="e">
        <f>Saisie!#REF!</f>
        <v>#REF!</v>
      </c>
      <c r="S120" s="65" t="e">
        <f>Saisie!#REF!</f>
        <v>#REF!</v>
      </c>
      <c r="T120" s="63" t="e">
        <f>Saisie!#REF!</f>
        <v>#REF!</v>
      </c>
      <c r="U120" s="63" t="e">
        <f>Saisie!#REF!</f>
        <v>#REF!</v>
      </c>
      <c r="V120" s="63" t="e">
        <f t="array" ref="V120">_xlfn.IFS(Saisie!#REF!="OUI",1,Saisie!#REF!="NON",0)</f>
        <v>#REF!</v>
      </c>
      <c r="W120" s="63" t="e">
        <f t="array" ref="W120">_xlfn.IFS(Saisie!O120="OUI",1,Saisie!O120="NON",0)</f>
        <v>#N/A</v>
      </c>
      <c r="X120" s="63">
        <f>Saisie!P120</f>
        <v>0</v>
      </c>
      <c r="Y120" s="299">
        <f>Saisie!H120</f>
        <v>0</v>
      </c>
      <c r="Z120" s="58" t="e">
        <f>Saisie!#REF!</f>
        <v>#REF!</v>
      </c>
      <c r="AA120" s="299">
        <f>Saisie!Q120</f>
        <v>0</v>
      </c>
      <c r="AB120" s="63" t="e">
        <f t="array" ref="AB120">_xlfn.IFS(Saisie!R120="OUI",1,Saisie!R120="NON",0)</f>
        <v>#N/A</v>
      </c>
      <c r="AC120" s="63">
        <f>Saisie!S120</f>
        <v>0</v>
      </c>
      <c r="AD120" s="63" t="e">
        <f t="array" ref="AD120">_xlfn.IFS(Saisie!T120="OUI",1,Saisie!T120="NON",0)</f>
        <v>#N/A</v>
      </c>
      <c r="AE120" s="171">
        <f>Saisie!U120</f>
        <v>0</v>
      </c>
      <c r="AF120" s="262">
        <v>3</v>
      </c>
      <c r="AG120" s="129">
        <f>Saisie!W120</f>
        <v>0</v>
      </c>
      <c r="AH120" s="20">
        <f>Saisie!X120</f>
        <v>0</v>
      </c>
      <c r="AI120" s="21">
        <f>Saisie!Y120</f>
        <v>0</v>
      </c>
      <c r="AJ120" s="59">
        <f>Saisie!Z120</f>
        <v>0</v>
      </c>
      <c r="AK120" s="20">
        <f>Saisie!AA120</f>
        <v>0</v>
      </c>
      <c r="AL120" s="21">
        <f>Saisie!AB120</f>
        <v>0</v>
      </c>
      <c r="AM120" s="59">
        <f>Saisie!AC120</f>
        <v>0</v>
      </c>
      <c r="AN120" s="20">
        <f>Saisie!AD120</f>
        <v>0</v>
      </c>
      <c r="AO120" s="21">
        <f>Saisie!AE120</f>
        <v>0</v>
      </c>
      <c r="AP120" s="59">
        <f>Saisie!AF120</f>
        <v>0</v>
      </c>
      <c r="AQ120" s="129" t="e">
        <f t="array" ref="AQ120">_xlfn.IFS(Saisie!AG120="OUI",1,Saisie!AG120="NON",0)</f>
        <v>#N/A</v>
      </c>
      <c r="AR120" s="129" t="e">
        <f t="array" ref="AR120">_xlfn.IFS(Saisie!AH120="OUI",1,Saisie!AH120="NON",0)</f>
        <v>#N/A</v>
      </c>
      <c r="AS120" s="171">
        <f>Saisie!AI120</f>
        <v>0</v>
      </c>
      <c r="AT120" s="263" t="e">
        <f t="array" ref="AT120">_xlfn.IFS(Saisie!AJ120="OUI",1,Saisie!AJ120="NON",0)</f>
        <v>#N/A</v>
      </c>
      <c r="AU120" s="173">
        <f>Saisie!AK120</f>
        <v>0</v>
      </c>
      <c r="AV120" s="263" t="e">
        <f t="array" ref="AV120">_xlfn.IFS(Saisie!AL120="OUI",1,Saisie!AL120="NON",0)</f>
        <v>#N/A</v>
      </c>
      <c r="AW120" s="171">
        <f>Saisie!AM120</f>
        <v>0</v>
      </c>
      <c r="AX120" s="68">
        <f>Saisie!AN120</f>
        <v>0</v>
      </c>
      <c r="AY120" s="20">
        <f>Saisie!AO120</f>
        <v>0</v>
      </c>
      <c r="AZ120" s="21">
        <f>Saisie!AP120</f>
        <v>0</v>
      </c>
      <c r="BA120" s="298">
        <f>Saisie!AQ120</f>
        <v>0</v>
      </c>
      <c r="BB120" s="170">
        <f>Saisie!AR120</f>
        <v>0</v>
      </c>
      <c r="BC120" s="174">
        <f>Saisie!AS120</f>
        <v>0</v>
      </c>
      <c r="BD120" s="61">
        <f>Saisie!AT120</f>
        <v>0</v>
      </c>
      <c r="BE120" s="175" t="e">
        <f t="array" ref="BE120">_xlfn.IFS(Saisie!AU120="OUI",1,Saisie!AU120="NON",0)</f>
        <v>#N/A</v>
      </c>
      <c r="BF120" s="267">
        <f>Saisie!AV120</f>
        <v>0</v>
      </c>
      <c r="BG120" s="55">
        <f>Saisie!AW120</f>
        <v>0</v>
      </c>
      <c r="BH120" s="55" t="e">
        <f t="array" ref="BH120">_xlfn.IFS(Saisie!AX120="OUI",1,Saisie!AX120="NON",0)</f>
        <v>#N/A</v>
      </c>
      <c r="BI120" s="62">
        <f>Saisie!AY120</f>
        <v>0</v>
      </c>
      <c r="BJ120" s="55" t="e">
        <f t="array" ref="BJ120">_xlfn.IFS(Saisie!AZ120="OUI",1,Saisie!AZ120="NON",0)</f>
        <v>#N/A</v>
      </c>
      <c r="BK120" s="55" t="e">
        <f t="array" ref="BK120">_xlfn.IFS(Saisie!BA120="OUI",1,Saisie!BA120="NON",0)</f>
        <v>#N/A</v>
      </c>
      <c r="BL120" s="55">
        <f>Saisie!BB120</f>
        <v>0</v>
      </c>
      <c r="BM120" s="49" t="e">
        <f>Saisie!BC120</f>
        <v>#REF!</v>
      </c>
      <c r="BN120" s="175" t="s">
        <v>145</v>
      </c>
    </row>
    <row r="121" spans="1:66" s="176" customFormat="1" x14ac:dyDescent="0.45">
      <c r="A121" s="12">
        <v>115</v>
      </c>
      <c r="B121" s="150">
        <f>Saisie!B121</f>
        <v>0</v>
      </c>
      <c r="C121" s="150">
        <f>Saisie!C121</f>
        <v>0</v>
      </c>
      <c r="D121" s="150">
        <f>Saisie!D121</f>
        <v>0</v>
      </c>
      <c r="E121" s="150">
        <f>Saisie!E121</f>
        <v>0</v>
      </c>
      <c r="F121" s="150">
        <f>Saisie!F121</f>
        <v>0</v>
      </c>
      <c r="G121" s="150">
        <f>Saisie!G121</f>
        <v>0</v>
      </c>
      <c r="H121" s="150">
        <f>Saisie!I121</f>
        <v>0</v>
      </c>
      <c r="I121" s="150">
        <f>Saisie!J121</f>
        <v>0</v>
      </c>
      <c r="J121" s="150">
        <f>Saisie!K121</f>
        <v>0</v>
      </c>
      <c r="K121" s="150">
        <f>Saisie!L121</f>
        <v>0</v>
      </c>
      <c r="L121" s="150" t="e">
        <f>Saisie!#REF!</f>
        <v>#REF!</v>
      </c>
      <c r="M121" s="55" t="e">
        <f t="array" ref="M121">_xlfn.IFS(Saisie!M121="OUI",1,Saisie!M121="NON",0)</f>
        <v>#N/A</v>
      </c>
      <c r="N121" s="64" t="e">
        <f>Saisie!#REF!</f>
        <v>#REF!</v>
      </c>
      <c r="O121" s="63" t="e">
        <f>Saisie!#REF!</f>
        <v>#REF!</v>
      </c>
      <c r="P121" s="63">
        <f>Saisie!N121</f>
        <v>0</v>
      </c>
      <c r="Q121" s="63" t="e">
        <f t="array" ref="Q121">_xlfn.IFS(Saisie!#REF!="OUI",1,Saisie!#REF!="NON",0)</f>
        <v>#REF!</v>
      </c>
      <c r="R121" s="63" t="e">
        <f>Saisie!#REF!</f>
        <v>#REF!</v>
      </c>
      <c r="S121" s="65" t="e">
        <f>Saisie!#REF!</f>
        <v>#REF!</v>
      </c>
      <c r="T121" s="63" t="e">
        <f>Saisie!#REF!</f>
        <v>#REF!</v>
      </c>
      <c r="U121" s="63" t="e">
        <f>Saisie!#REF!</f>
        <v>#REF!</v>
      </c>
      <c r="V121" s="63" t="e">
        <f t="array" ref="V121">_xlfn.IFS(Saisie!#REF!="OUI",1,Saisie!#REF!="NON",0)</f>
        <v>#REF!</v>
      </c>
      <c r="W121" s="63" t="e">
        <f t="array" ref="W121">_xlfn.IFS(Saisie!O121="OUI",1,Saisie!O121="NON",0)</f>
        <v>#N/A</v>
      </c>
      <c r="X121" s="63">
        <f>Saisie!P121</f>
        <v>0</v>
      </c>
      <c r="Y121" s="299">
        <f>Saisie!H121</f>
        <v>0</v>
      </c>
      <c r="Z121" s="58" t="e">
        <f>Saisie!#REF!</f>
        <v>#REF!</v>
      </c>
      <c r="AA121" s="299">
        <f>Saisie!Q121</f>
        <v>0</v>
      </c>
      <c r="AB121" s="63" t="e">
        <f t="array" ref="AB121">_xlfn.IFS(Saisie!R121="OUI",1,Saisie!R121="NON",0)</f>
        <v>#N/A</v>
      </c>
      <c r="AC121" s="63">
        <f>Saisie!S121</f>
        <v>0</v>
      </c>
      <c r="AD121" s="63" t="e">
        <f t="array" ref="AD121">_xlfn.IFS(Saisie!T121="OUI",1,Saisie!T121="NON",0)</f>
        <v>#N/A</v>
      </c>
      <c r="AE121" s="171">
        <f>Saisie!U121</f>
        <v>0</v>
      </c>
      <c r="AF121" s="262">
        <v>3</v>
      </c>
      <c r="AG121" s="129">
        <f>Saisie!W121</f>
        <v>0</v>
      </c>
      <c r="AH121" s="20">
        <f>Saisie!X121</f>
        <v>0</v>
      </c>
      <c r="AI121" s="21">
        <f>Saisie!Y121</f>
        <v>0</v>
      </c>
      <c r="AJ121" s="59">
        <f>Saisie!Z121</f>
        <v>0</v>
      </c>
      <c r="AK121" s="20">
        <f>Saisie!AA121</f>
        <v>0</v>
      </c>
      <c r="AL121" s="21">
        <f>Saisie!AB121</f>
        <v>0</v>
      </c>
      <c r="AM121" s="59">
        <f>Saisie!AC121</f>
        <v>0</v>
      </c>
      <c r="AN121" s="20">
        <f>Saisie!AD121</f>
        <v>0</v>
      </c>
      <c r="AO121" s="21">
        <f>Saisie!AE121</f>
        <v>0</v>
      </c>
      <c r="AP121" s="59">
        <f>Saisie!AF121</f>
        <v>0</v>
      </c>
      <c r="AQ121" s="129" t="e">
        <f t="array" ref="AQ121">_xlfn.IFS(Saisie!AG121="OUI",1,Saisie!AG121="NON",0)</f>
        <v>#N/A</v>
      </c>
      <c r="AR121" s="129" t="e">
        <f t="array" ref="AR121">_xlfn.IFS(Saisie!AH121="OUI",1,Saisie!AH121="NON",0)</f>
        <v>#N/A</v>
      </c>
      <c r="AS121" s="171">
        <f>Saisie!AI121</f>
        <v>0</v>
      </c>
      <c r="AT121" s="263" t="e">
        <f t="array" ref="AT121">_xlfn.IFS(Saisie!AJ121="OUI",1,Saisie!AJ121="NON",0)</f>
        <v>#N/A</v>
      </c>
      <c r="AU121" s="173">
        <f>Saisie!AK121</f>
        <v>0</v>
      </c>
      <c r="AV121" s="263" t="e">
        <f t="array" ref="AV121">_xlfn.IFS(Saisie!AL121="OUI",1,Saisie!AL121="NON",0)</f>
        <v>#N/A</v>
      </c>
      <c r="AW121" s="171">
        <f>Saisie!AM121</f>
        <v>0</v>
      </c>
      <c r="AX121" s="68">
        <f>Saisie!AN121</f>
        <v>0</v>
      </c>
      <c r="AY121" s="20">
        <f>Saisie!AO121</f>
        <v>0</v>
      </c>
      <c r="AZ121" s="21">
        <f>Saisie!AP121</f>
        <v>0</v>
      </c>
      <c r="BA121" s="298">
        <f>Saisie!AQ121</f>
        <v>0</v>
      </c>
      <c r="BB121" s="170">
        <f>Saisie!AR121</f>
        <v>0</v>
      </c>
      <c r="BC121" s="174">
        <f>Saisie!AS121</f>
        <v>0</v>
      </c>
      <c r="BD121" s="61">
        <f>Saisie!AT121</f>
        <v>0</v>
      </c>
      <c r="BE121" s="175" t="e">
        <f t="array" ref="BE121">_xlfn.IFS(Saisie!AU121="OUI",1,Saisie!AU121="NON",0)</f>
        <v>#N/A</v>
      </c>
      <c r="BF121" s="267">
        <f>Saisie!AV121</f>
        <v>0</v>
      </c>
      <c r="BG121" s="55">
        <f>Saisie!AW121</f>
        <v>0</v>
      </c>
      <c r="BH121" s="55" t="e">
        <f t="array" ref="BH121">_xlfn.IFS(Saisie!AX121="OUI",1,Saisie!AX121="NON",0)</f>
        <v>#N/A</v>
      </c>
      <c r="BI121" s="62">
        <f>Saisie!AY121</f>
        <v>0</v>
      </c>
      <c r="BJ121" s="55" t="e">
        <f t="array" ref="BJ121">_xlfn.IFS(Saisie!AZ121="OUI",1,Saisie!AZ121="NON",0)</f>
        <v>#N/A</v>
      </c>
      <c r="BK121" s="55" t="e">
        <f t="array" ref="BK121">_xlfn.IFS(Saisie!BA121="OUI",1,Saisie!BA121="NON",0)</f>
        <v>#N/A</v>
      </c>
      <c r="BL121" s="55">
        <f>Saisie!BB121</f>
        <v>0</v>
      </c>
      <c r="BM121" s="49" t="e">
        <f>Saisie!BC121</f>
        <v>#REF!</v>
      </c>
      <c r="BN121" s="175" t="s">
        <v>145</v>
      </c>
    </row>
    <row r="122" spans="1:66" s="176" customFormat="1" x14ac:dyDescent="0.45">
      <c r="A122" s="13">
        <v>116</v>
      </c>
      <c r="B122" s="150">
        <f>Saisie!B122</f>
        <v>0</v>
      </c>
      <c r="C122" s="150">
        <f>Saisie!C122</f>
        <v>0</v>
      </c>
      <c r="D122" s="150">
        <f>Saisie!D122</f>
        <v>0</v>
      </c>
      <c r="E122" s="150">
        <f>Saisie!E122</f>
        <v>0</v>
      </c>
      <c r="F122" s="150">
        <f>Saisie!F122</f>
        <v>0</v>
      </c>
      <c r="G122" s="150">
        <f>Saisie!G122</f>
        <v>0</v>
      </c>
      <c r="H122" s="150">
        <f>Saisie!I122</f>
        <v>0</v>
      </c>
      <c r="I122" s="150">
        <f>Saisie!J122</f>
        <v>0</v>
      </c>
      <c r="J122" s="150">
        <f>Saisie!K122</f>
        <v>0</v>
      </c>
      <c r="K122" s="150">
        <f>Saisie!L122</f>
        <v>0</v>
      </c>
      <c r="L122" s="150" t="e">
        <f>Saisie!#REF!</f>
        <v>#REF!</v>
      </c>
      <c r="M122" s="55" t="e">
        <f t="array" ref="M122">_xlfn.IFS(Saisie!M122="OUI",1,Saisie!M122="NON",0)</f>
        <v>#N/A</v>
      </c>
      <c r="N122" s="64" t="e">
        <f>Saisie!#REF!</f>
        <v>#REF!</v>
      </c>
      <c r="O122" s="63" t="e">
        <f>Saisie!#REF!</f>
        <v>#REF!</v>
      </c>
      <c r="P122" s="63">
        <f>Saisie!N122</f>
        <v>0</v>
      </c>
      <c r="Q122" s="63" t="e">
        <f t="array" ref="Q122">_xlfn.IFS(Saisie!#REF!="OUI",1,Saisie!#REF!="NON",0)</f>
        <v>#REF!</v>
      </c>
      <c r="R122" s="63" t="e">
        <f>Saisie!#REF!</f>
        <v>#REF!</v>
      </c>
      <c r="S122" s="65" t="e">
        <f>Saisie!#REF!</f>
        <v>#REF!</v>
      </c>
      <c r="T122" s="63" t="e">
        <f>Saisie!#REF!</f>
        <v>#REF!</v>
      </c>
      <c r="U122" s="63" t="e">
        <f>Saisie!#REF!</f>
        <v>#REF!</v>
      </c>
      <c r="V122" s="63" t="e">
        <f t="array" ref="V122">_xlfn.IFS(Saisie!#REF!="OUI",1,Saisie!#REF!="NON",0)</f>
        <v>#REF!</v>
      </c>
      <c r="W122" s="63" t="e">
        <f t="array" ref="W122">_xlfn.IFS(Saisie!O122="OUI",1,Saisie!O122="NON",0)</f>
        <v>#N/A</v>
      </c>
      <c r="X122" s="63">
        <f>Saisie!P122</f>
        <v>0</v>
      </c>
      <c r="Y122" s="299">
        <f>Saisie!H122</f>
        <v>0</v>
      </c>
      <c r="Z122" s="58" t="e">
        <f>Saisie!#REF!</f>
        <v>#REF!</v>
      </c>
      <c r="AA122" s="299">
        <f>Saisie!Q122</f>
        <v>0</v>
      </c>
      <c r="AB122" s="63" t="e">
        <f t="array" ref="AB122">_xlfn.IFS(Saisie!R122="OUI",1,Saisie!R122="NON",0)</f>
        <v>#N/A</v>
      </c>
      <c r="AC122" s="63">
        <f>Saisie!S122</f>
        <v>0</v>
      </c>
      <c r="AD122" s="63" t="e">
        <f t="array" ref="AD122">_xlfn.IFS(Saisie!T122="OUI",1,Saisie!T122="NON",0)</f>
        <v>#N/A</v>
      </c>
      <c r="AE122" s="171">
        <f>Saisie!U122</f>
        <v>0</v>
      </c>
      <c r="AF122" s="262">
        <v>3</v>
      </c>
      <c r="AG122" s="129">
        <f>Saisie!W122</f>
        <v>0</v>
      </c>
      <c r="AH122" s="20">
        <f>Saisie!X122</f>
        <v>0</v>
      </c>
      <c r="AI122" s="21">
        <f>Saisie!Y122</f>
        <v>0</v>
      </c>
      <c r="AJ122" s="59">
        <f>Saisie!Z122</f>
        <v>0</v>
      </c>
      <c r="AK122" s="20">
        <f>Saisie!AA122</f>
        <v>0</v>
      </c>
      <c r="AL122" s="21">
        <f>Saisie!AB122</f>
        <v>0</v>
      </c>
      <c r="AM122" s="59">
        <f>Saisie!AC122</f>
        <v>0</v>
      </c>
      <c r="AN122" s="20">
        <f>Saisie!AD122</f>
        <v>0</v>
      </c>
      <c r="AO122" s="21">
        <f>Saisie!AE122</f>
        <v>0</v>
      </c>
      <c r="AP122" s="59">
        <f>Saisie!AF122</f>
        <v>0</v>
      </c>
      <c r="AQ122" s="129" t="e">
        <f t="array" ref="AQ122">_xlfn.IFS(Saisie!AG122="OUI",1,Saisie!AG122="NON",0)</f>
        <v>#N/A</v>
      </c>
      <c r="AR122" s="129" t="e">
        <f t="array" ref="AR122">_xlfn.IFS(Saisie!AH122="OUI",1,Saisie!AH122="NON",0)</f>
        <v>#N/A</v>
      </c>
      <c r="AS122" s="171">
        <f>Saisie!AI122</f>
        <v>0</v>
      </c>
      <c r="AT122" s="263" t="e">
        <f t="array" ref="AT122">_xlfn.IFS(Saisie!AJ122="OUI",1,Saisie!AJ122="NON",0)</f>
        <v>#N/A</v>
      </c>
      <c r="AU122" s="173">
        <f>Saisie!AK122</f>
        <v>0</v>
      </c>
      <c r="AV122" s="263" t="e">
        <f t="array" ref="AV122">_xlfn.IFS(Saisie!AL122="OUI",1,Saisie!AL122="NON",0)</f>
        <v>#N/A</v>
      </c>
      <c r="AW122" s="171">
        <f>Saisie!AM122</f>
        <v>0</v>
      </c>
      <c r="AX122" s="68">
        <f>Saisie!AN122</f>
        <v>0</v>
      </c>
      <c r="AY122" s="20">
        <f>Saisie!AO122</f>
        <v>0</v>
      </c>
      <c r="AZ122" s="21">
        <f>Saisie!AP122</f>
        <v>0</v>
      </c>
      <c r="BA122" s="298">
        <f>Saisie!AQ122</f>
        <v>0</v>
      </c>
      <c r="BB122" s="170">
        <f>Saisie!AR122</f>
        <v>0</v>
      </c>
      <c r="BC122" s="174">
        <f>Saisie!AS122</f>
        <v>0</v>
      </c>
      <c r="BD122" s="61">
        <f>Saisie!AT122</f>
        <v>0</v>
      </c>
      <c r="BE122" s="175" t="e">
        <f t="array" ref="BE122">_xlfn.IFS(Saisie!AU122="OUI",1,Saisie!AU122="NON",0)</f>
        <v>#N/A</v>
      </c>
      <c r="BF122" s="267">
        <f>Saisie!AV122</f>
        <v>0</v>
      </c>
      <c r="BG122" s="55">
        <f>Saisie!AW122</f>
        <v>0</v>
      </c>
      <c r="BH122" s="55" t="e">
        <f t="array" ref="BH122">_xlfn.IFS(Saisie!AX122="OUI",1,Saisie!AX122="NON",0)</f>
        <v>#N/A</v>
      </c>
      <c r="BI122" s="62">
        <f>Saisie!AY122</f>
        <v>0</v>
      </c>
      <c r="BJ122" s="55" t="e">
        <f t="array" ref="BJ122">_xlfn.IFS(Saisie!AZ122="OUI",1,Saisie!AZ122="NON",0)</f>
        <v>#N/A</v>
      </c>
      <c r="BK122" s="55" t="e">
        <f t="array" ref="BK122">_xlfn.IFS(Saisie!BA122="OUI",1,Saisie!BA122="NON",0)</f>
        <v>#N/A</v>
      </c>
      <c r="BL122" s="55">
        <f>Saisie!BB122</f>
        <v>0</v>
      </c>
      <c r="BM122" s="49" t="e">
        <f>Saisie!BC122</f>
        <v>#REF!</v>
      </c>
      <c r="BN122" s="175" t="s">
        <v>145</v>
      </c>
    </row>
    <row r="123" spans="1:66" s="176" customFormat="1" x14ac:dyDescent="0.45">
      <c r="A123" s="13">
        <v>117</v>
      </c>
      <c r="B123" s="150">
        <f>Saisie!B123</f>
        <v>0</v>
      </c>
      <c r="C123" s="150">
        <f>Saisie!C123</f>
        <v>0</v>
      </c>
      <c r="D123" s="150">
        <f>Saisie!D123</f>
        <v>0</v>
      </c>
      <c r="E123" s="150">
        <f>Saisie!E123</f>
        <v>0</v>
      </c>
      <c r="F123" s="150">
        <f>Saisie!F123</f>
        <v>0</v>
      </c>
      <c r="G123" s="150">
        <f>Saisie!G123</f>
        <v>0</v>
      </c>
      <c r="H123" s="150">
        <f>Saisie!I123</f>
        <v>0</v>
      </c>
      <c r="I123" s="150">
        <f>Saisie!J123</f>
        <v>0</v>
      </c>
      <c r="J123" s="150">
        <f>Saisie!K123</f>
        <v>0</v>
      </c>
      <c r="K123" s="150">
        <f>Saisie!L123</f>
        <v>0</v>
      </c>
      <c r="L123" s="150" t="e">
        <f>Saisie!#REF!</f>
        <v>#REF!</v>
      </c>
      <c r="M123" s="55" t="e">
        <f t="array" ref="M123">_xlfn.IFS(Saisie!M123="OUI",1,Saisie!M123="NON",0)</f>
        <v>#N/A</v>
      </c>
      <c r="N123" s="64" t="e">
        <f>Saisie!#REF!</f>
        <v>#REF!</v>
      </c>
      <c r="O123" s="63" t="e">
        <f>Saisie!#REF!</f>
        <v>#REF!</v>
      </c>
      <c r="P123" s="63">
        <f>Saisie!N123</f>
        <v>0</v>
      </c>
      <c r="Q123" s="63" t="e">
        <f t="array" ref="Q123">_xlfn.IFS(Saisie!#REF!="OUI",1,Saisie!#REF!="NON",0)</f>
        <v>#REF!</v>
      </c>
      <c r="R123" s="63" t="e">
        <f>Saisie!#REF!</f>
        <v>#REF!</v>
      </c>
      <c r="S123" s="65" t="e">
        <f>Saisie!#REF!</f>
        <v>#REF!</v>
      </c>
      <c r="T123" s="63" t="e">
        <f>Saisie!#REF!</f>
        <v>#REF!</v>
      </c>
      <c r="U123" s="63" t="e">
        <f>Saisie!#REF!</f>
        <v>#REF!</v>
      </c>
      <c r="V123" s="63" t="e">
        <f t="array" ref="V123">_xlfn.IFS(Saisie!#REF!="OUI",1,Saisie!#REF!="NON",0)</f>
        <v>#REF!</v>
      </c>
      <c r="W123" s="63" t="e">
        <f t="array" ref="W123">_xlfn.IFS(Saisie!O123="OUI",1,Saisie!O123="NON",0)</f>
        <v>#N/A</v>
      </c>
      <c r="X123" s="63">
        <f>Saisie!P123</f>
        <v>0</v>
      </c>
      <c r="Y123" s="299">
        <f>Saisie!H123</f>
        <v>0</v>
      </c>
      <c r="Z123" s="58" t="e">
        <f>Saisie!#REF!</f>
        <v>#REF!</v>
      </c>
      <c r="AA123" s="299">
        <f>Saisie!Q123</f>
        <v>0</v>
      </c>
      <c r="AB123" s="63" t="e">
        <f t="array" ref="AB123">_xlfn.IFS(Saisie!R123="OUI",1,Saisie!R123="NON",0)</f>
        <v>#N/A</v>
      </c>
      <c r="AC123" s="63">
        <f>Saisie!S123</f>
        <v>0</v>
      </c>
      <c r="AD123" s="63" t="e">
        <f t="array" ref="AD123">_xlfn.IFS(Saisie!T123="OUI",1,Saisie!T123="NON",0)</f>
        <v>#N/A</v>
      </c>
      <c r="AE123" s="171">
        <f>Saisie!U123</f>
        <v>0</v>
      </c>
      <c r="AF123" s="262">
        <v>3</v>
      </c>
      <c r="AG123" s="129">
        <f>Saisie!W123</f>
        <v>0</v>
      </c>
      <c r="AH123" s="20">
        <f>Saisie!X123</f>
        <v>0</v>
      </c>
      <c r="AI123" s="21">
        <f>Saisie!Y123</f>
        <v>0</v>
      </c>
      <c r="AJ123" s="59">
        <f>Saisie!Z123</f>
        <v>0</v>
      </c>
      <c r="AK123" s="20">
        <f>Saisie!AA123</f>
        <v>0</v>
      </c>
      <c r="AL123" s="21">
        <f>Saisie!AB123</f>
        <v>0</v>
      </c>
      <c r="AM123" s="59">
        <f>Saisie!AC123</f>
        <v>0</v>
      </c>
      <c r="AN123" s="20">
        <f>Saisie!AD123</f>
        <v>0</v>
      </c>
      <c r="AO123" s="21">
        <f>Saisie!AE123</f>
        <v>0</v>
      </c>
      <c r="AP123" s="59">
        <f>Saisie!AF123</f>
        <v>0</v>
      </c>
      <c r="AQ123" s="129" t="e">
        <f t="array" ref="AQ123">_xlfn.IFS(Saisie!AG123="OUI",1,Saisie!AG123="NON",0)</f>
        <v>#N/A</v>
      </c>
      <c r="AR123" s="129" t="e">
        <f t="array" ref="AR123">_xlfn.IFS(Saisie!AH123="OUI",1,Saisie!AH123="NON",0)</f>
        <v>#N/A</v>
      </c>
      <c r="AS123" s="171">
        <f>Saisie!AI123</f>
        <v>0</v>
      </c>
      <c r="AT123" s="263" t="e">
        <f t="array" ref="AT123">_xlfn.IFS(Saisie!AJ123="OUI",1,Saisie!AJ123="NON",0)</f>
        <v>#N/A</v>
      </c>
      <c r="AU123" s="173">
        <f>Saisie!AK123</f>
        <v>0</v>
      </c>
      <c r="AV123" s="263" t="e">
        <f t="array" ref="AV123">_xlfn.IFS(Saisie!AL123="OUI",1,Saisie!AL123="NON",0)</f>
        <v>#N/A</v>
      </c>
      <c r="AW123" s="171">
        <f>Saisie!AM123</f>
        <v>0</v>
      </c>
      <c r="AX123" s="68">
        <f>Saisie!AN123</f>
        <v>0</v>
      </c>
      <c r="AY123" s="20">
        <f>Saisie!AO123</f>
        <v>0</v>
      </c>
      <c r="AZ123" s="21">
        <f>Saisie!AP123</f>
        <v>0</v>
      </c>
      <c r="BA123" s="298">
        <f>Saisie!AQ123</f>
        <v>0</v>
      </c>
      <c r="BB123" s="170">
        <f>Saisie!AR123</f>
        <v>0</v>
      </c>
      <c r="BC123" s="174">
        <f>Saisie!AS123</f>
        <v>0</v>
      </c>
      <c r="BD123" s="61">
        <f>Saisie!AT123</f>
        <v>0</v>
      </c>
      <c r="BE123" s="175" t="e">
        <f t="array" ref="BE123">_xlfn.IFS(Saisie!AU123="OUI",1,Saisie!AU123="NON",0)</f>
        <v>#N/A</v>
      </c>
      <c r="BF123" s="267">
        <f>Saisie!AV123</f>
        <v>0</v>
      </c>
      <c r="BG123" s="55">
        <f>Saisie!AW123</f>
        <v>0</v>
      </c>
      <c r="BH123" s="55" t="e">
        <f t="array" ref="BH123">_xlfn.IFS(Saisie!AX123="OUI",1,Saisie!AX123="NON",0)</f>
        <v>#N/A</v>
      </c>
      <c r="BI123" s="62">
        <f>Saisie!AY123</f>
        <v>0</v>
      </c>
      <c r="BJ123" s="55" t="e">
        <f t="array" ref="BJ123">_xlfn.IFS(Saisie!AZ123="OUI",1,Saisie!AZ123="NON",0)</f>
        <v>#N/A</v>
      </c>
      <c r="BK123" s="55" t="e">
        <f t="array" ref="BK123">_xlfn.IFS(Saisie!BA123="OUI",1,Saisie!BA123="NON",0)</f>
        <v>#N/A</v>
      </c>
      <c r="BL123" s="55">
        <f>Saisie!BB123</f>
        <v>0</v>
      </c>
      <c r="BM123" s="49" t="e">
        <f>Saisie!BC123</f>
        <v>#REF!</v>
      </c>
      <c r="BN123" s="175" t="s">
        <v>145</v>
      </c>
    </row>
    <row r="124" spans="1:66" s="176" customFormat="1" x14ac:dyDescent="0.45">
      <c r="A124" s="12">
        <v>118</v>
      </c>
      <c r="B124" s="150">
        <f>Saisie!B124</f>
        <v>0</v>
      </c>
      <c r="C124" s="150">
        <f>Saisie!C124</f>
        <v>0</v>
      </c>
      <c r="D124" s="150">
        <f>Saisie!D124</f>
        <v>0</v>
      </c>
      <c r="E124" s="150">
        <f>Saisie!E124</f>
        <v>0</v>
      </c>
      <c r="F124" s="150">
        <f>Saisie!F124</f>
        <v>0</v>
      </c>
      <c r="G124" s="150">
        <f>Saisie!G124</f>
        <v>0</v>
      </c>
      <c r="H124" s="150">
        <f>Saisie!I124</f>
        <v>0</v>
      </c>
      <c r="I124" s="150">
        <f>Saisie!J124</f>
        <v>0</v>
      </c>
      <c r="J124" s="150">
        <f>Saisie!K124</f>
        <v>0</v>
      </c>
      <c r="K124" s="150">
        <f>Saisie!L124</f>
        <v>0</v>
      </c>
      <c r="L124" s="150" t="e">
        <f>Saisie!#REF!</f>
        <v>#REF!</v>
      </c>
      <c r="M124" s="55" t="e">
        <f t="array" ref="M124">_xlfn.IFS(Saisie!M124="OUI",1,Saisie!M124="NON",0)</f>
        <v>#N/A</v>
      </c>
      <c r="N124" s="64" t="e">
        <f>Saisie!#REF!</f>
        <v>#REF!</v>
      </c>
      <c r="O124" s="63" t="e">
        <f>Saisie!#REF!</f>
        <v>#REF!</v>
      </c>
      <c r="P124" s="63">
        <f>Saisie!N124</f>
        <v>0</v>
      </c>
      <c r="Q124" s="63" t="e">
        <f t="array" ref="Q124">_xlfn.IFS(Saisie!#REF!="OUI",1,Saisie!#REF!="NON",0)</f>
        <v>#REF!</v>
      </c>
      <c r="R124" s="63" t="e">
        <f>Saisie!#REF!</f>
        <v>#REF!</v>
      </c>
      <c r="S124" s="65" t="e">
        <f>Saisie!#REF!</f>
        <v>#REF!</v>
      </c>
      <c r="T124" s="63" t="e">
        <f>Saisie!#REF!</f>
        <v>#REF!</v>
      </c>
      <c r="U124" s="63" t="e">
        <f>Saisie!#REF!</f>
        <v>#REF!</v>
      </c>
      <c r="V124" s="63" t="e">
        <f t="array" ref="V124">_xlfn.IFS(Saisie!#REF!="OUI",1,Saisie!#REF!="NON",0)</f>
        <v>#REF!</v>
      </c>
      <c r="W124" s="63" t="e">
        <f t="array" ref="W124">_xlfn.IFS(Saisie!O124="OUI",1,Saisie!O124="NON",0)</f>
        <v>#N/A</v>
      </c>
      <c r="X124" s="63">
        <f>Saisie!P124</f>
        <v>0</v>
      </c>
      <c r="Y124" s="299">
        <f>Saisie!H124</f>
        <v>0</v>
      </c>
      <c r="Z124" s="58" t="e">
        <f>Saisie!#REF!</f>
        <v>#REF!</v>
      </c>
      <c r="AA124" s="299">
        <f>Saisie!Q124</f>
        <v>0</v>
      </c>
      <c r="AB124" s="63" t="e">
        <f t="array" ref="AB124">_xlfn.IFS(Saisie!R124="OUI",1,Saisie!R124="NON",0)</f>
        <v>#N/A</v>
      </c>
      <c r="AC124" s="63">
        <f>Saisie!S124</f>
        <v>0</v>
      </c>
      <c r="AD124" s="63" t="e">
        <f t="array" ref="AD124">_xlfn.IFS(Saisie!T124="OUI",1,Saisie!T124="NON",0)</f>
        <v>#N/A</v>
      </c>
      <c r="AE124" s="171">
        <f>Saisie!U124</f>
        <v>0</v>
      </c>
      <c r="AF124" s="262">
        <v>3</v>
      </c>
      <c r="AG124" s="129">
        <f>Saisie!W124</f>
        <v>0</v>
      </c>
      <c r="AH124" s="20">
        <f>Saisie!X124</f>
        <v>0</v>
      </c>
      <c r="AI124" s="21">
        <f>Saisie!Y124</f>
        <v>0</v>
      </c>
      <c r="AJ124" s="59">
        <f>Saisie!Z124</f>
        <v>0</v>
      </c>
      <c r="AK124" s="20">
        <f>Saisie!AA124</f>
        <v>0</v>
      </c>
      <c r="AL124" s="21">
        <f>Saisie!AB124</f>
        <v>0</v>
      </c>
      <c r="AM124" s="59">
        <f>Saisie!AC124</f>
        <v>0</v>
      </c>
      <c r="AN124" s="20">
        <f>Saisie!AD124</f>
        <v>0</v>
      </c>
      <c r="AO124" s="21">
        <f>Saisie!AE124</f>
        <v>0</v>
      </c>
      <c r="AP124" s="59">
        <f>Saisie!AF124</f>
        <v>0</v>
      </c>
      <c r="AQ124" s="129" t="e">
        <f t="array" ref="AQ124">_xlfn.IFS(Saisie!AG124="OUI",1,Saisie!AG124="NON",0)</f>
        <v>#N/A</v>
      </c>
      <c r="AR124" s="129" t="e">
        <f t="array" ref="AR124">_xlfn.IFS(Saisie!AH124="OUI",1,Saisie!AH124="NON",0)</f>
        <v>#N/A</v>
      </c>
      <c r="AS124" s="171">
        <f>Saisie!AI124</f>
        <v>0</v>
      </c>
      <c r="AT124" s="263" t="e">
        <f t="array" ref="AT124">_xlfn.IFS(Saisie!AJ124="OUI",1,Saisie!AJ124="NON",0)</f>
        <v>#N/A</v>
      </c>
      <c r="AU124" s="173">
        <f>Saisie!AK124</f>
        <v>0</v>
      </c>
      <c r="AV124" s="263" t="e">
        <f t="array" ref="AV124">_xlfn.IFS(Saisie!AL124="OUI",1,Saisie!AL124="NON",0)</f>
        <v>#N/A</v>
      </c>
      <c r="AW124" s="171">
        <f>Saisie!AM124</f>
        <v>0</v>
      </c>
      <c r="AX124" s="68">
        <f>Saisie!AN124</f>
        <v>0</v>
      </c>
      <c r="AY124" s="20">
        <f>Saisie!AO124</f>
        <v>0</v>
      </c>
      <c r="AZ124" s="21">
        <f>Saisie!AP124</f>
        <v>0</v>
      </c>
      <c r="BA124" s="298">
        <f>Saisie!AQ124</f>
        <v>0</v>
      </c>
      <c r="BB124" s="170">
        <f>Saisie!AR124</f>
        <v>0</v>
      </c>
      <c r="BC124" s="174">
        <f>Saisie!AS124</f>
        <v>0</v>
      </c>
      <c r="BD124" s="61">
        <f>Saisie!AT124</f>
        <v>0</v>
      </c>
      <c r="BE124" s="175" t="e">
        <f t="array" ref="BE124">_xlfn.IFS(Saisie!AU124="OUI",1,Saisie!AU124="NON",0)</f>
        <v>#N/A</v>
      </c>
      <c r="BF124" s="267">
        <f>Saisie!AV124</f>
        <v>0</v>
      </c>
      <c r="BG124" s="55">
        <f>Saisie!AW124</f>
        <v>0</v>
      </c>
      <c r="BH124" s="55" t="e">
        <f t="array" ref="BH124">_xlfn.IFS(Saisie!AX124="OUI",1,Saisie!AX124="NON",0)</f>
        <v>#N/A</v>
      </c>
      <c r="BI124" s="62">
        <f>Saisie!AY124</f>
        <v>0</v>
      </c>
      <c r="BJ124" s="55" t="e">
        <f t="array" ref="BJ124">_xlfn.IFS(Saisie!AZ124="OUI",1,Saisie!AZ124="NON",0)</f>
        <v>#N/A</v>
      </c>
      <c r="BK124" s="55" t="e">
        <f t="array" ref="BK124">_xlfn.IFS(Saisie!BA124="OUI",1,Saisie!BA124="NON",0)</f>
        <v>#N/A</v>
      </c>
      <c r="BL124" s="55">
        <f>Saisie!BB124</f>
        <v>0</v>
      </c>
      <c r="BM124" s="49" t="e">
        <f>Saisie!BC124</f>
        <v>#REF!</v>
      </c>
      <c r="BN124" s="175"/>
    </row>
    <row r="125" spans="1:66" s="176" customFormat="1" x14ac:dyDescent="0.45">
      <c r="A125" s="13">
        <v>119</v>
      </c>
      <c r="B125" s="150">
        <f>Saisie!B125</f>
        <v>0</v>
      </c>
      <c r="C125" s="150">
        <f>Saisie!C125</f>
        <v>0</v>
      </c>
      <c r="D125" s="150">
        <f>Saisie!D125</f>
        <v>0</v>
      </c>
      <c r="E125" s="150">
        <f>Saisie!E125</f>
        <v>0</v>
      </c>
      <c r="F125" s="150">
        <f>Saisie!F125</f>
        <v>0</v>
      </c>
      <c r="G125" s="150">
        <f>Saisie!G125</f>
        <v>0</v>
      </c>
      <c r="H125" s="150">
        <f>Saisie!I125</f>
        <v>0</v>
      </c>
      <c r="I125" s="150">
        <f>Saisie!J125</f>
        <v>0</v>
      </c>
      <c r="J125" s="150">
        <f>Saisie!K125</f>
        <v>0</v>
      </c>
      <c r="K125" s="150">
        <f>Saisie!L125</f>
        <v>0</v>
      </c>
      <c r="L125" s="150" t="e">
        <f>Saisie!#REF!</f>
        <v>#REF!</v>
      </c>
      <c r="M125" s="55" t="e">
        <f t="array" ref="M125">_xlfn.IFS(Saisie!M125="OUI",1,Saisie!M125="NON",0)</f>
        <v>#N/A</v>
      </c>
      <c r="N125" s="64" t="e">
        <f>Saisie!#REF!</f>
        <v>#REF!</v>
      </c>
      <c r="O125" s="63" t="e">
        <f>Saisie!#REF!</f>
        <v>#REF!</v>
      </c>
      <c r="P125" s="63">
        <f>Saisie!N125</f>
        <v>0</v>
      </c>
      <c r="Q125" s="63" t="e">
        <f t="array" ref="Q125">_xlfn.IFS(Saisie!#REF!="OUI",1,Saisie!#REF!="NON",0)</f>
        <v>#REF!</v>
      </c>
      <c r="R125" s="63" t="e">
        <f>Saisie!#REF!</f>
        <v>#REF!</v>
      </c>
      <c r="S125" s="65" t="e">
        <f>Saisie!#REF!</f>
        <v>#REF!</v>
      </c>
      <c r="T125" s="63" t="e">
        <f>Saisie!#REF!</f>
        <v>#REF!</v>
      </c>
      <c r="U125" s="63" t="e">
        <f>Saisie!#REF!</f>
        <v>#REF!</v>
      </c>
      <c r="V125" s="63" t="e">
        <f t="array" ref="V125">_xlfn.IFS(Saisie!#REF!="OUI",1,Saisie!#REF!="NON",0)</f>
        <v>#REF!</v>
      </c>
      <c r="W125" s="63" t="e">
        <f t="array" ref="W125">_xlfn.IFS(Saisie!O125="OUI",1,Saisie!O125="NON",0)</f>
        <v>#N/A</v>
      </c>
      <c r="X125" s="63">
        <f>Saisie!P125</f>
        <v>0</v>
      </c>
      <c r="Y125" s="299">
        <f>Saisie!H125</f>
        <v>0</v>
      </c>
      <c r="Z125" s="58" t="e">
        <f>Saisie!#REF!</f>
        <v>#REF!</v>
      </c>
      <c r="AA125" s="299">
        <f>Saisie!Q125</f>
        <v>0</v>
      </c>
      <c r="AB125" s="63" t="e">
        <f t="array" ref="AB125">_xlfn.IFS(Saisie!R125="OUI",1,Saisie!R125="NON",0)</f>
        <v>#N/A</v>
      </c>
      <c r="AC125" s="63">
        <f>Saisie!S125</f>
        <v>0</v>
      </c>
      <c r="AD125" s="63" t="e">
        <f t="array" ref="AD125">_xlfn.IFS(Saisie!T125="OUI",1,Saisie!T125="NON",0)</f>
        <v>#N/A</v>
      </c>
      <c r="AE125" s="171">
        <f>Saisie!U125</f>
        <v>0</v>
      </c>
      <c r="AF125" s="262">
        <v>3</v>
      </c>
      <c r="AG125" s="129">
        <f>Saisie!W125</f>
        <v>0</v>
      </c>
      <c r="AH125" s="20">
        <f>Saisie!X125</f>
        <v>0</v>
      </c>
      <c r="AI125" s="21">
        <f>Saisie!Y125</f>
        <v>0</v>
      </c>
      <c r="AJ125" s="59">
        <f>Saisie!Z125</f>
        <v>0</v>
      </c>
      <c r="AK125" s="20">
        <f>Saisie!AA125</f>
        <v>0</v>
      </c>
      <c r="AL125" s="21">
        <f>Saisie!AB125</f>
        <v>0</v>
      </c>
      <c r="AM125" s="59">
        <f>Saisie!AC125</f>
        <v>0</v>
      </c>
      <c r="AN125" s="20">
        <f>Saisie!AD125</f>
        <v>0</v>
      </c>
      <c r="AO125" s="21">
        <f>Saisie!AE125</f>
        <v>0</v>
      </c>
      <c r="AP125" s="59">
        <f>Saisie!AF125</f>
        <v>0</v>
      </c>
      <c r="AQ125" s="129" t="e">
        <f t="array" ref="AQ125">_xlfn.IFS(Saisie!AG125="OUI",1,Saisie!AG125="NON",0)</f>
        <v>#N/A</v>
      </c>
      <c r="AR125" s="129" t="e">
        <f t="array" ref="AR125">_xlfn.IFS(Saisie!AH125="OUI",1,Saisie!AH125="NON",0)</f>
        <v>#N/A</v>
      </c>
      <c r="AS125" s="171">
        <f>Saisie!AI125</f>
        <v>0</v>
      </c>
      <c r="AT125" s="263" t="e">
        <f t="array" ref="AT125">_xlfn.IFS(Saisie!AJ125="OUI",1,Saisie!AJ125="NON",0)</f>
        <v>#N/A</v>
      </c>
      <c r="AU125" s="173">
        <f>Saisie!AK125</f>
        <v>0</v>
      </c>
      <c r="AV125" s="263" t="e">
        <f t="array" ref="AV125">_xlfn.IFS(Saisie!AL125="OUI",1,Saisie!AL125="NON",0)</f>
        <v>#N/A</v>
      </c>
      <c r="AW125" s="171">
        <f>Saisie!AM125</f>
        <v>0</v>
      </c>
      <c r="AX125" s="68">
        <f>Saisie!AN125</f>
        <v>0</v>
      </c>
      <c r="AY125" s="20">
        <f>Saisie!AO125</f>
        <v>0</v>
      </c>
      <c r="AZ125" s="21">
        <f>Saisie!AP125</f>
        <v>0</v>
      </c>
      <c r="BA125" s="298">
        <f>Saisie!AQ125</f>
        <v>0</v>
      </c>
      <c r="BB125" s="170">
        <f>Saisie!AR125</f>
        <v>0</v>
      </c>
      <c r="BC125" s="174">
        <f>Saisie!AS125</f>
        <v>0</v>
      </c>
      <c r="BD125" s="61">
        <f>Saisie!AT125</f>
        <v>0</v>
      </c>
      <c r="BE125" s="175" t="e">
        <f t="array" ref="BE125">_xlfn.IFS(Saisie!AU125="OUI",1,Saisie!AU125="NON",0)</f>
        <v>#N/A</v>
      </c>
      <c r="BF125" s="267">
        <f>Saisie!AV125</f>
        <v>0</v>
      </c>
      <c r="BG125" s="55">
        <f>Saisie!AW125</f>
        <v>0</v>
      </c>
      <c r="BH125" s="55" t="e">
        <f t="array" ref="BH125">_xlfn.IFS(Saisie!AX125="OUI",1,Saisie!AX125="NON",0)</f>
        <v>#N/A</v>
      </c>
      <c r="BI125" s="62">
        <f>Saisie!AY125</f>
        <v>0</v>
      </c>
      <c r="BJ125" s="55" t="e">
        <f t="array" ref="BJ125">_xlfn.IFS(Saisie!AZ125="OUI",1,Saisie!AZ125="NON",0)</f>
        <v>#N/A</v>
      </c>
      <c r="BK125" s="55" t="e">
        <f t="array" ref="BK125">_xlfn.IFS(Saisie!BA125="OUI",1,Saisie!BA125="NON",0)</f>
        <v>#N/A</v>
      </c>
      <c r="BL125" s="55">
        <f>Saisie!BB125</f>
        <v>0</v>
      </c>
      <c r="BM125" s="49" t="e">
        <f>Saisie!BC125</f>
        <v>#REF!</v>
      </c>
      <c r="BN125" s="175"/>
    </row>
    <row r="126" spans="1:66" s="176" customFormat="1" x14ac:dyDescent="0.45">
      <c r="A126" s="13">
        <v>120</v>
      </c>
      <c r="B126" s="150">
        <f>Saisie!B126</f>
        <v>0</v>
      </c>
      <c r="C126" s="150">
        <f>Saisie!C126</f>
        <v>0</v>
      </c>
      <c r="D126" s="150">
        <f>Saisie!D126</f>
        <v>0</v>
      </c>
      <c r="E126" s="150">
        <f>Saisie!E126</f>
        <v>0</v>
      </c>
      <c r="F126" s="150">
        <f>Saisie!F126</f>
        <v>0</v>
      </c>
      <c r="G126" s="150">
        <f>Saisie!G126</f>
        <v>0</v>
      </c>
      <c r="H126" s="150">
        <f>Saisie!I126</f>
        <v>0</v>
      </c>
      <c r="I126" s="150">
        <f>Saisie!J126</f>
        <v>0</v>
      </c>
      <c r="J126" s="150">
        <f>Saisie!K126</f>
        <v>0</v>
      </c>
      <c r="K126" s="150">
        <f>Saisie!L126</f>
        <v>0</v>
      </c>
      <c r="L126" s="150" t="e">
        <f>Saisie!#REF!</f>
        <v>#REF!</v>
      </c>
      <c r="M126" s="55" t="e">
        <f t="array" ref="M126">_xlfn.IFS(Saisie!M126="OUI",1,Saisie!M126="NON",0)</f>
        <v>#N/A</v>
      </c>
      <c r="N126" s="64" t="e">
        <f>Saisie!#REF!</f>
        <v>#REF!</v>
      </c>
      <c r="O126" s="63" t="e">
        <f>Saisie!#REF!</f>
        <v>#REF!</v>
      </c>
      <c r="P126" s="63">
        <f>Saisie!N126</f>
        <v>0</v>
      </c>
      <c r="Q126" s="63" t="e">
        <f t="array" ref="Q126">_xlfn.IFS(Saisie!#REF!="OUI",1,Saisie!#REF!="NON",0)</f>
        <v>#REF!</v>
      </c>
      <c r="R126" s="63" t="e">
        <f>Saisie!#REF!</f>
        <v>#REF!</v>
      </c>
      <c r="S126" s="65" t="e">
        <f>Saisie!#REF!</f>
        <v>#REF!</v>
      </c>
      <c r="T126" s="63" t="e">
        <f>Saisie!#REF!</f>
        <v>#REF!</v>
      </c>
      <c r="U126" s="63" t="e">
        <f>Saisie!#REF!</f>
        <v>#REF!</v>
      </c>
      <c r="V126" s="63" t="e">
        <f t="array" ref="V126">_xlfn.IFS(Saisie!#REF!="OUI",1,Saisie!#REF!="NON",0)</f>
        <v>#REF!</v>
      </c>
      <c r="W126" s="63" t="e">
        <f t="array" ref="W126">_xlfn.IFS(Saisie!O126="OUI",1,Saisie!O126="NON",0)</f>
        <v>#N/A</v>
      </c>
      <c r="X126" s="63">
        <f>Saisie!P126</f>
        <v>0</v>
      </c>
      <c r="Y126" s="299">
        <f>Saisie!H126</f>
        <v>0</v>
      </c>
      <c r="Z126" s="58" t="e">
        <f>Saisie!#REF!</f>
        <v>#REF!</v>
      </c>
      <c r="AA126" s="299">
        <f>Saisie!Q126</f>
        <v>0</v>
      </c>
      <c r="AB126" s="63" t="e">
        <f t="array" ref="AB126">_xlfn.IFS(Saisie!R126="OUI",1,Saisie!R126="NON",0)</f>
        <v>#N/A</v>
      </c>
      <c r="AC126" s="63">
        <f>Saisie!S126</f>
        <v>0</v>
      </c>
      <c r="AD126" s="63" t="e">
        <f t="array" ref="AD126">_xlfn.IFS(Saisie!T126="OUI",1,Saisie!T126="NON",0)</f>
        <v>#N/A</v>
      </c>
      <c r="AE126" s="171">
        <f>Saisie!U126</f>
        <v>0</v>
      </c>
      <c r="AF126" s="262">
        <v>3</v>
      </c>
      <c r="AG126" s="129">
        <f>Saisie!W126</f>
        <v>0</v>
      </c>
      <c r="AH126" s="20">
        <f>Saisie!X126</f>
        <v>0</v>
      </c>
      <c r="AI126" s="21">
        <f>Saisie!Y126</f>
        <v>0</v>
      </c>
      <c r="AJ126" s="59">
        <f>Saisie!Z126</f>
        <v>0</v>
      </c>
      <c r="AK126" s="20">
        <f>Saisie!AA126</f>
        <v>0</v>
      </c>
      <c r="AL126" s="21">
        <f>Saisie!AB126</f>
        <v>0</v>
      </c>
      <c r="AM126" s="59">
        <f>Saisie!AC126</f>
        <v>0</v>
      </c>
      <c r="AN126" s="20">
        <f>Saisie!AD126</f>
        <v>0</v>
      </c>
      <c r="AO126" s="21">
        <f>Saisie!AE126</f>
        <v>0</v>
      </c>
      <c r="AP126" s="59">
        <f>Saisie!AF126</f>
        <v>0</v>
      </c>
      <c r="AQ126" s="129" t="e">
        <f t="array" ref="AQ126">_xlfn.IFS(Saisie!AG126="OUI",1,Saisie!AG126="NON",0)</f>
        <v>#N/A</v>
      </c>
      <c r="AR126" s="129" t="e">
        <f t="array" ref="AR126">_xlfn.IFS(Saisie!AH126="OUI",1,Saisie!AH126="NON",0)</f>
        <v>#N/A</v>
      </c>
      <c r="AS126" s="171">
        <f>Saisie!AI126</f>
        <v>0</v>
      </c>
      <c r="AT126" s="263" t="e">
        <f t="array" ref="AT126">_xlfn.IFS(Saisie!AJ126="OUI",1,Saisie!AJ126="NON",0)</f>
        <v>#N/A</v>
      </c>
      <c r="AU126" s="173">
        <f>Saisie!AK126</f>
        <v>0</v>
      </c>
      <c r="AV126" s="263" t="e">
        <f t="array" ref="AV126">_xlfn.IFS(Saisie!AL126="OUI",1,Saisie!AL126="NON",0)</f>
        <v>#N/A</v>
      </c>
      <c r="AW126" s="171">
        <f>Saisie!AM126</f>
        <v>0</v>
      </c>
      <c r="AX126" s="68">
        <f>Saisie!AN126</f>
        <v>0</v>
      </c>
      <c r="AY126" s="20">
        <f>Saisie!AO126</f>
        <v>0</v>
      </c>
      <c r="AZ126" s="21">
        <f>Saisie!AP126</f>
        <v>0</v>
      </c>
      <c r="BA126" s="298">
        <f>Saisie!AQ126</f>
        <v>0</v>
      </c>
      <c r="BB126" s="170">
        <f>Saisie!AR126</f>
        <v>0</v>
      </c>
      <c r="BC126" s="174">
        <f>Saisie!AS126</f>
        <v>0</v>
      </c>
      <c r="BD126" s="61">
        <f>Saisie!AT126</f>
        <v>0</v>
      </c>
      <c r="BE126" s="175" t="e">
        <f t="array" ref="BE126">_xlfn.IFS(Saisie!AU126="OUI",1,Saisie!AU126="NON",0)</f>
        <v>#N/A</v>
      </c>
      <c r="BF126" s="267">
        <f>Saisie!AV126</f>
        <v>0</v>
      </c>
      <c r="BG126" s="55">
        <f>Saisie!AW126</f>
        <v>0</v>
      </c>
      <c r="BH126" s="55" t="e">
        <f t="array" ref="BH126">_xlfn.IFS(Saisie!AX126="OUI",1,Saisie!AX126="NON",0)</f>
        <v>#N/A</v>
      </c>
      <c r="BI126" s="62">
        <f>Saisie!AY126</f>
        <v>0</v>
      </c>
      <c r="BJ126" s="55" t="e">
        <f t="array" ref="BJ126">_xlfn.IFS(Saisie!AZ126="OUI",1,Saisie!AZ126="NON",0)</f>
        <v>#N/A</v>
      </c>
      <c r="BK126" s="55" t="e">
        <f t="array" ref="BK126">_xlfn.IFS(Saisie!BA126="OUI",1,Saisie!BA126="NON",0)</f>
        <v>#N/A</v>
      </c>
      <c r="BL126" s="55">
        <f>Saisie!BB126</f>
        <v>0</v>
      </c>
      <c r="BM126" s="49" t="e">
        <f>Saisie!BC126</f>
        <v>#REF!</v>
      </c>
      <c r="BN126" s="175"/>
    </row>
    <row r="127" spans="1:66" s="176" customFormat="1" x14ac:dyDescent="0.45">
      <c r="A127" s="12">
        <v>121</v>
      </c>
      <c r="B127" s="150">
        <f>Saisie!B127</f>
        <v>0</v>
      </c>
      <c r="C127" s="150">
        <f>Saisie!C127</f>
        <v>0</v>
      </c>
      <c r="D127" s="150">
        <f>Saisie!D127</f>
        <v>0</v>
      </c>
      <c r="E127" s="150">
        <f>Saisie!E127</f>
        <v>0</v>
      </c>
      <c r="F127" s="150">
        <f>Saisie!F127</f>
        <v>0</v>
      </c>
      <c r="G127" s="150">
        <f>Saisie!G127</f>
        <v>0</v>
      </c>
      <c r="H127" s="150">
        <f>Saisie!I127</f>
        <v>0</v>
      </c>
      <c r="I127" s="150">
        <f>Saisie!J127</f>
        <v>0</v>
      </c>
      <c r="J127" s="150">
        <f>Saisie!K127</f>
        <v>0</v>
      </c>
      <c r="K127" s="150">
        <f>Saisie!L127</f>
        <v>0</v>
      </c>
      <c r="L127" s="150" t="e">
        <f>Saisie!#REF!</f>
        <v>#REF!</v>
      </c>
      <c r="M127" s="55" t="e">
        <f t="array" ref="M127">_xlfn.IFS(Saisie!M127="OUI",1,Saisie!M127="NON",0)</f>
        <v>#N/A</v>
      </c>
      <c r="N127" s="64" t="e">
        <f>Saisie!#REF!</f>
        <v>#REF!</v>
      </c>
      <c r="O127" s="63" t="e">
        <f>Saisie!#REF!</f>
        <v>#REF!</v>
      </c>
      <c r="P127" s="63">
        <f>Saisie!N127</f>
        <v>0</v>
      </c>
      <c r="Q127" s="63" t="e">
        <f t="array" ref="Q127">_xlfn.IFS(Saisie!#REF!="OUI",1,Saisie!#REF!="NON",0)</f>
        <v>#REF!</v>
      </c>
      <c r="R127" s="63" t="e">
        <f>Saisie!#REF!</f>
        <v>#REF!</v>
      </c>
      <c r="S127" s="65" t="e">
        <f>Saisie!#REF!</f>
        <v>#REF!</v>
      </c>
      <c r="T127" s="63" t="e">
        <f>Saisie!#REF!</f>
        <v>#REF!</v>
      </c>
      <c r="U127" s="63" t="e">
        <f>Saisie!#REF!</f>
        <v>#REF!</v>
      </c>
      <c r="V127" s="63" t="e">
        <f t="array" ref="V127">_xlfn.IFS(Saisie!#REF!="OUI",1,Saisie!#REF!="NON",0)</f>
        <v>#REF!</v>
      </c>
      <c r="W127" s="63" t="e">
        <f t="array" ref="W127">_xlfn.IFS(Saisie!O127="OUI",1,Saisie!O127="NON",0)</f>
        <v>#N/A</v>
      </c>
      <c r="X127" s="63">
        <f>Saisie!P127</f>
        <v>0</v>
      </c>
      <c r="Y127" s="299">
        <f>Saisie!H127</f>
        <v>0</v>
      </c>
      <c r="Z127" s="58" t="e">
        <f>Saisie!#REF!</f>
        <v>#REF!</v>
      </c>
      <c r="AA127" s="299">
        <f>Saisie!Q127</f>
        <v>0</v>
      </c>
      <c r="AB127" s="63" t="e">
        <f t="array" ref="AB127">_xlfn.IFS(Saisie!R127="OUI",1,Saisie!R127="NON",0)</f>
        <v>#N/A</v>
      </c>
      <c r="AC127" s="63">
        <f>Saisie!S127</f>
        <v>0</v>
      </c>
      <c r="AD127" s="63" t="e">
        <f t="array" ref="AD127">_xlfn.IFS(Saisie!T127="OUI",1,Saisie!T127="NON",0)</f>
        <v>#N/A</v>
      </c>
      <c r="AE127" s="171">
        <f>Saisie!U127</f>
        <v>0</v>
      </c>
      <c r="AF127" s="262">
        <v>3</v>
      </c>
      <c r="AG127" s="129">
        <f>Saisie!W127</f>
        <v>0</v>
      </c>
      <c r="AH127" s="20">
        <f>Saisie!X127</f>
        <v>0</v>
      </c>
      <c r="AI127" s="21">
        <f>Saisie!Y127</f>
        <v>0</v>
      </c>
      <c r="AJ127" s="59">
        <f>Saisie!Z127</f>
        <v>0</v>
      </c>
      <c r="AK127" s="20">
        <f>Saisie!AA127</f>
        <v>0</v>
      </c>
      <c r="AL127" s="21">
        <f>Saisie!AB127</f>
        <v>0</v>
      </c>
      <c r="AM127" s="59">
        <f>Saisie!AC127</f>
        <v>0</v>
      </c>
      <c r="AN127" s="20">
        <f>Saisie!AD127</f>
        <v>0</v>
      </c>
      <c r="AO127" s="21">
        <f>Saisie!AE127</f>
        <v>0</v>
      </c>
      <c r="AP127" s="59">
        <f>Saisie!AF127</f>
        <v>0</v>
      </c>
      <c r="AQ127" s="129" t="e">
        <f t="array" ref="AQ127">_xlfn.IFS(Saisie!AG127="OUI",1,Saisie!AG127="NON",0)</f>
        <v>#N/A</v>
      </c>
      <c r="AR127" s="129" t="e">
        <f t="array" ref="AR127">_xlfn.IFS(Saisie!AH127="OUI",1,Saisie!AH127="NON",0)</f>
        <v>#N/A</v>
      </c>
      <c r="AS127" s="171">
        <f>Saisie!AI127</f>
        <v>0</v>
      </c>
      <c r="AT127" s="263" t="e">
        <f t="array" ref="AT127">_xlfn.IFS(Saisie!AJ127="OUI",1,Saisie!AJ127="NON",0)</f>
        <v>#N/A</v>
      </c>
      <c r="AU127" s="173">
        <f>Saisie!AK127</f>
        <v>0</v>
      </c>
      <c r="AV127" s="263" t="e">
        <f t="array" ref="AV127">_xlfn.IFS(Saisie!AL127="OUI",1,Saisie!AL127="NON",0)</f>
        <v>#N/A</v>
      </c>
      <c r="AW127" s="171">
        <f>Saisie!AM127</f>
        <v>0</v>
      </c>
      <c r="AX127" s="68">
        <f>Saisie!AN127</f>
        <v>0</v>
      </c>
      <c r="AY127" s="20">
        <f>Saisie!AO127</f>
        <v>0</v>
      </c>
      <c r="AZ127" s="21">
        <f>Saisie!AP127</f>
        <v>0</v>
      </c>
      <c r="BA127" s="298">
        <f>Saisie!AQ127</f>
        <v>0</v>
      </c>
      <c r="BB127" s="170">
        <f>Saisie!AR127</f>
        <v>0</v>
      </c>
      <c r="BC127" s="174">
        <f>Saisie!AS127</f>
        <v>0</v>
      </c>
      <c r="BD127" s="61">
        <f>Saisie!AT127</f>
        <v>0</v>
      </c>
      <c r="BE127" s="175" t="e">
        <f t="array" ref="BE127">_xlfn.IFS(Saisie!AU127="OUI",1,Saisie!AU127="NON",0)</f>
        <v>#N/A</v>
      </c>
      <c r="BF127" s="267">
        <f>Saisie!AV127</f>
        <v>0</v>
      </c>
      <c r="BG127" s="55">
        <f>Saisie!AW127</f>
        <v>0</v>
      </c>
      <c r="BH127" s="55" t="e">
        <f t="array" ref="BH127">_xlfn.IFS(Saisie!AX127="OUI",1,Saisie!AX127="NON",0)</f>
        <v>#N/A</v>
      </c>
      <c r="BI127" s="62">
        <f>Saisie!AY127</f>
        <v>0</v>
      </c>
      <c r="BJ127" s="55" t="e">
        <f t="array" ref="BJ127">_xlfn.IFS(Saisie!AZ127="OUI",1,Saisie!AZ127="NON",0)</f>
        <v>#N/A</v>
      </c>
      <c r="BK127" s="55" t="e">
        <f t="array" ref="BK127">_xlfn.IFS(Saisie!BA127="OUI",1,Saisie!BA127="NON",0)</f>
        <v>#N/A</v>
      </c>
      <c r="BL127" s="55">
        <f>Saisie!BB127</f>
        <v>0</v>
      </c>
      <c r="BM127" s="49" t="e">
        <f>Saisie!BC127</f>
        <v>#REF!</v>
      </c>
      <c r="BN127" s="175"/>
    </row>
    <row r="128" spans="1:66" s="176" customFormat="1" x14ac:dyDescent="0.45">
      <c r="A128" s="13">
        <v>122</v>
      </c>
      <c r="B128" s="150">
        <f>Saisie!B128</f>
        <v>0</v>
      </c>
      <c r="C128" s="150">
        <f>Saisie!C128</f>
        <v>0</v>
      </c>
      <c r="D128" s="150">
        <f>Saisie!D128</f>
        <v>0</v>
      </c>
      <c r="E128" s="150">
        <f>Saisie!E128</f>
        <v>0</v>
      </c>
      <c r="F128" s="150">
        <f>Saisie!F128</f>
        <v>0</v>
      </c>
      <c r="G128" s="150">
        <f>Saisie!G128</f>
        <v>0</v>
      </c>
      <c r="H128" s="150">
        <f>Saisie!I128</f>
        <v>0</v>
      </c>
      <c r="I128" s="150">
        <f>Saisie!J128</f>
        <v>0</v>
      </c>
      <c r="J128" s="150">
        <f>Saisie!K128</f>
        <v>0</v>
      </c>
      <c r="K128" s="150">
        <f>Saisie!L128</f>
        <v>0</v>
      </c>
      <c r="L128" s="150" t="e">
        <f>Saisie!#REF!</f>
        <v>#REF!</v>
      </c>
      <c r="M128" s="55" t="e">
        <f t="array" ref="M128">_xlfn.IFS(Saisie!M128="OUI",1,Saisie!M128="NON",0)</f>
        <v>#N/A</v>
      </c>
      <c r="N128" s="64" t="e">
        <f>Saisie!#REF!</f>
        <v>#REF!</v>
      </c>
      <c r="O128" s="63" t="e">
        <f>Saisie!#REF!</f>
        <v>#REF!</v>
      </c>
      <c r="P128" s="63">
        <f>Saisie!N128</f>
        <v>0</v>
      </c>
      <c r="Q128" s="63" t="e">
        <f t="array" ref="Q128">_xlfn.IFS(Saisie!#REF!="OUI",1,Saisie!#REF!="NON",0)</f>
        <v>#REF!</v>
      </c>
      <c r="R128" s="63" t="e">
        <f>Saisie!#REF!</f>
        <v>#REF!</v>
      </c>
      <c r="S128" s="65" t="e">
        <f>Saisie!#REF!</f>
        <v>#REF!</v>
      </c>
      <c r="T128" s="63" t="e">
        <f>Saisie!#REF!</f>
        <v>#REF!</v>
      </c>
      <c r="U128" s="63" t="e">
        <f>Saisie!#REF!</f>
        <v>#REF!</v>
      </c>
      <c r="V128" s="63" t="e">
        <f t="array" ref="V128">_xlfn.IFS(Saisie!#REF!="OUI",1,Saisie!#REF!="NON",0)</f>
        <v>#REF!</v>
      </c>
      <c r="W128" s="63" t="e">
        <f t="array" ref="W128">_xlfn.IFS(Saisie!O128="OUI",1,Saisie!O128="NON",0)</f>
        <v>#N/A</v>
      </c>
      <c r="X128" s="63">
        <f>Saisie!P128</f>
        <v>0</v>
      </c>
      <c r="Y128" s="299">
        <f>Saisie!H128</f>
        <v>0</v>
      </c>
      <c r="Z128" s="58" t="e">
        <f>Saisie!#REF!</f>
        <v>#REF!</v>
      </c>
      <c r="AA128" s="299">
        <f>Saisie!Q128</f>
        <v>0</v>
      </c>
      <c r="AB128" s="63" t="e">
        <f t="array" ref="AB128">_xlfn.IFS(Saisie!R128="OUI",1,Saisie!R128="NON",0)</f>
        <v>#N/A</v>
      </c>
      <c r="AC128" s="63">
        <f>Saisie!S128</f>
        <v>0</v>
      </c>
      <c r="AD128" s="63" t="e">
        <f t="array" ref="AD128">_xlfn.IFS(Saisie!T128="OUI",1,Saisie!T128="NON",0)</f>
        <v>#N/A</v>
      </c>
      <c r="AE128" s="171">
        <f>Saisie!U128</f>
        <v>0</v>
      </c>
      <c r="AF128" s="262">
        <v>3</v>
      </c>
      <c r="AG128" s="129">
        <f>Saisie!W128</f>
        <v>0</v>
      </c>
      <c r="AH128" s="20">
        <f>Saisie!X128</f>
        <v>0</v>
      </c>
      <c r="AI128" s="21">
        <f>Saisie!Y128</f>
        <v>0</v>
      </c>
      <c r="AJ128" s="59">
        <f>Saisie!Z128</f>
        <v>0</v>
      </c>
      <c r="AK128" s="20">
        <f>Saisie!AA128</f>
        <v>0</v>
      </c>
      <c r="AL128" s="21">
        <f>Saisie!AB128</f>
        <v>0</v>
      </c>
      <c r="AM128" s="59">
        <f>Saisie!AC128</f>
        <v>0</v>
      </c>
      <c r="AN128" s="20">
        <f>Saisie!AD128</f>
        <v>0</v>
      </c>
      <c r="AO128" s="21">
        <f>Saisie!AE128</f>
        <v>0</v>
      </c>
      <c r="AP128" s="59">
        <f>Saisie!AF128</f>
        <v>0</v>
      </c>
      <c r="AQ128" s="129" t="e">
        <f t="array" ref="AQ128">_xlfn.IFS(Saisie!AG128="OUI",1,Saisie!AG128="NON",0)</f>
        <v>#N/A</v>
      </c>
      <c r="AR128" s="129" t="e">
        <f t="array" ref="AR128">_xlfn.IFS(Saisie!AH128="OUI",1,Saisie!AH128="NON",0)</f>
        <v>#N/A</v>
      </c>
      <c r="AS128" s="171">
        <f>Saisie!AI128</f>
        <v>0</v>
      </c>
      <c r="AT128" s="263" t="e">
        <f t="array" ref="AT128">_xlfn.IFS(Saisie!AJ128="OUI",1,Saisie!AJ128="NON",0)</f>
        <v>#N/A</v>
      </c>
      <c r="AU128" s="173">
        <f>Saisie!AK128</f>
        <v>0</v>
      </c>
      <c r="AV128" s="263" t="e">
        <f t="array" ref="AV128">_xlfn.IFS(Saisie!AL128="OUI",1,Saisie!AL128="NON",0)</f>
        <v>#N/A</v>
      </c>
      <c r="AW128" s="171">
        <f>Saisie!AM128</f>
        <v>0</v>
      </c>
      <c r="AX128" s="68">
        <f>Saisie!AN128</f>
        <v>0</v>
      </c>
      <c r="AY128" s="20">
        <f>Saisie!AO128</f>
        <v>0</v>
      </c>
      <c r="AZ128" s="21">
        <f>Saisie!AP128</f>
        <v>0</v>
      </c>
      <c r="BA128" s="298">
        <f>Saisie!AQ128</f>
        <v>0</v>
      </c>
      <c r="BB128" s="170">
        <f>Saisie!AR128</f>
        <v>0</v>
      </c>
      <c r="BC128" s="174">
        <f>Saisie!AS128</f>
        <v>0</v>
      </c>
      <c r="BD128" s="61">
        <f>Saisie!AT128</f>
        <v>0</v>
      </c>
      <c r="BE128" s="175" t="e">
        <f t="array" ref="BE128">_xlfn.IFS(Saisie!AU128="OUI",1,Saisie!AU128="NON",0)</f>
        <v>#N/A</v>
      </c>
      <c r="BF128" s="267">
        <f>Saisie!AV128</f>
        <v>0</v>
      </c>
      <c r="BG128" s="55">
        <f>Saisie!AW128</f>
        <v>0</v>
      </c>
      <c r="BH128" s="55" t="e">
        <f t="array" ref="BH128">_xlfn.IFS(Saisie!AX128="OUI",1,Saisie!AX128="NON",0)</f>
        <v>#N/A</v>
      </c>
      <c r="BI128" s="62">
        <f>Saisie!AY128</f>
        <v>0</v>
      </c>
      <c r="BJ128" s="55" t="e">
        <f t="array" ref="BJ128">_xlfn.IFS(Saisie!AZ128="OUI",1,Saisie!AZ128="NON",0)</f>
        <v>#N/A</v>
      </c>
      <c r="BK128" s="55" t="e">
        <f t="array" ref="BK128">_xlfn.IFS(Saisie!BA128="OUI",1,Saisie!BA128="NON",0)</f>
        <v>#N/A</v>
      </c>
      <c r="BL128" s="55">
        <f>Saisie!BB128</f>
        <v>0</v>
      </c>
      <c r="BM128" s="49" t="e">
        <f>Saisie!BC128</f>
        <v>#REF!</v>
      </c>
      <c r="BN128" s="175"/>
    </row>
    <row r="129" spans="1:66" s="176" customFormat="1" x14ac:dyDescent="0.45">
      <c r="A129" s="13">
        <v>123</v>
      </c>
      <c r="B129" s="150">
        <f>Saisie!B129</f>
        <v>0</v>
      </c>
      <c r="C129" s="150">
        <f>Saisie!C129</f>
        <v>0</v>
      </c>
      <c r="D129" s="150">
        <f>Saisie!D129</f>
        <v>0</v>
      </c>
      <c r="E129" s="150">
        <f>Saisie!E129</f>
        <v>0</v>
      </c>
      <c r="F129" s="150">
        <f>Saisie!F129</f>
        <v>0</v>
      </c>
      <c r="G129" s="150">
        <f>Saisie!G129</f>
        <v>0</v>
      </c>
      <c r="H129" s="150">
        <f>Saisie!I129</f>
        <v>0</v>
      </c>
      <c r="I129" s="150">
        <f>Saisie!J129</f>
        <v>0</v>
      </c>
      <c r="J129" s="150">
        <f>Saisie!K129</f>
        <v>0</v>
      </c>
      <c r="K129" s="150">
        <f>Saisie!L129</f>
        <v>0</v>
      </c>
      <c r="L129" s="150" t="e">
        <f>Saisie!#REF!</f>
        <v>#REF!</v>
      </c>
      <c r="M129" s="55" t="e">
        <f t="array" ref="M129">_xlfn.IFS(Saisie!M129="OUI",1,Saisie!M129="NON",0)</f>
        <v>#N/A</v>
      </c>
      <c r="N129" s="64" t="e">
        <f>Saisie!#REF!</f>
        <v>#REF!</v>
      </c>
      <c r="O129" s="63" t="e">
        <f>Saisie!#REF!</f>
        <v>#REF!</v>
      </c>
      <c r="P129" s="63">
        <f>Saisie!N129</f>
        <v>0</v>
      </c>
      <c r="Q129" s="63" t="e">
        <f t="array" ref="Q129">_xlfn.IFS(Saisie!#REF!="OUI",1,Saisie!#REF!="NON",0)</f>
        <v>#REF!</v>
      </c>
      <c r="R129" s="63" t="e">
        <f>Saisie!#REF!</f>
        <v>#REF!</v>
      </c>
      <c r="S129" s="65" t="e">
        <f>Saisie!#REF!</f>
        <v>#REF!</v>
      </c>
      <c r="T129" s="63" t="e">
        <f>Saisie!#REF!</f>
        <v>#REF!</v>
      </c>
      <c r="U129" s="63" t="e">
        <f>Saisie!#REF!</f>
        <v>#REF!</v>
      </c>
      <c r="V129" s="63" t="e">
        <f t="array" ref="V129">_xlfn.IFS(Saisie!#REF!="OUI",1,Saisie!#REF!="NON",0)</f>
        <v>#REF!</v>
      </c>
      <c r="W129" s="63" t="e">
        <f t="array" ref="W129">_xlfn.IFS(Saisie!O129="OUI",1,Saisie!O129="NON",0)</f>
        <v>#N/A</v>
      </c>
      <c r="X129" s="63">
        <f>Saisie!P129</f>
        <v>0</v>
      </c>
      <c r="Y129" s="299">
        <f>Saisie!H129</f>
        <v>0</v>
      </c>
      <c r="Z129" s="58" t="e">
        <f>Saisie!#REF!</f>
        <v>#REF!</v>
      </c>
      <c r="AA129" s="299">
        <f>Saisie!Q129</f>
        <v>0</v>
      </c>
      <c r="AB129" s="63" t="e">
        <f t="array" ref="AB129">_xlfn.IFS(Saisie!R129="OUI",1,Saisie!R129="NON",0)</f>
        <v>#N/A</v>
      </c>
      <c r="AC129" s="63">
        <f>Saisie!S129</f>
        <v>0</v>
      </c>
      <c r="AD129" s="63" t="e">
        <f t="array" ref="AD129">_xlfn.IFS(Saisie!T129="OUI",1,Saisie!T129="NON",0)</f>
        <v>#N/A</v>
      </c>
      <c r="AE129" s="171">
        <f>Saisie!U129</f>
        <v>0</v>
      </c>
      <c r="AF129" s="262">
        <v>3</v>
      </c>
      <c r="AG129" s="129">
        <f>Saisie!W129</f>
        <v>0</v>
      </c>
      <c r="AH129" s="20">
        <f>Saisie!X129</f>
        <v>0</v>
      </c>
      <c r="AI129" s="21">
        <f>Saisie!Y129</f>
        <v>0</v>
      </c>
      <c r="AJ129" s="59">
        <f>Saisie!Z129</f>
        <v>0</v>
      </c>
      <c r="AK129" s="20">
        <f>Saisie!AA129</f>
        <v>0</v>
      </c>
      <c r="AL129" s="21">
        <f>Saisie!AB129</f>
        <v>0</v>
      </c>
      <c r="AM129" s="59">
        <f>Saisie!AC129</f>
        <v>0</v>
      </c>
      <c r="AN129" s="20">
        <f>Saisie!AD129</f>
        <v>0</v>
      </c>
      <c r="AO129" s="21">
        <f>Saisie!AE129</f>
        <v>0</v>
      </c>
      <c r="AP129" s="59">
        <f>Saisie!AF129</f>
        <v>0</v>
      </c>
      <c r="AQ129" s="129" t="e">
        <f t="array" ref="AQ129">_xlfn.IFS(Saisie!AG129="OUI",1,Saisie!AG129="NON",0)</f>
        <v>#N/A</v>
      </c>
      <c r="AR129" s="129" t="e">
        <f t="array" ref="AR129">_xlfn.IFS(Saisie!AH129="OUI",1,Saisie!AH129="NON",0)</f>
        <v>#N/A</v>
      </c>
      <c r="AS129" s="171">
        <f>Saisie!AI129</f>
        <v>0</v>
      </c>
      <c r="AT129" s="263" t="e">
        <f t="array" ref="AT129">_xlfn.IFS(Saisie!AJ129="OUI",1,Saisie!AJ129="NON",0)</f>
        <v>#N/A</v>
      </c>
      <c r="AU129" s="173">
        <f>Saisie!AK129</f>
        <v>0</v>
      </c>
      <c r="AV129" s="263" t="e">
        <f t="array" ref="AV129">_xlfn.IFS(Saisie!AL129="OUI",1,Saisie!AL129="NON",0)</f>
        <v>#N/A</v>
      </c>
      <c r="AW129" s="171">
        <f>Saisie!AM129</f>
        <v>0</v>
      </c>
      <c r="AX129" s="68">
        <f>Saisie!AN129</f>
        <v>0</v>
      </c>
      <c r="AY129" s="20">
        <f>Saisie!AO129</f>
        <v>0</v>
      </c>
      <c r="AZ129" s="21">
        <f>Saisie!AP129</f>
        <v>0</v>
      </c>
      <c r="BA129" s="298">
        <f>Saisie!AQ129</f>
        <v>0</v>
      </c>
      <c r="BB129" s="170">
        <f>Saisie!AR129</f>
        <v>0</v>
      </c>
      <c r="BC129" s="174">
        <f>Saisie!AS129</f>
        <v>0</v>
      </c>
      <c r="BD129" s="61">
        <f>Saisie!AT129</f>
        <v>0</v>
      </c>
      <c r="BE129" s="175" t="e">
        <f t="array" ref="BE129">_xlfn.IFS(Saisie!AU129="OUI",1,Saisie!AU129="NON",0)</f>
        <v>#N/A</v>
      </c>
      <c r="BF129" s="267">
        <f>Saisie!AV129</f>
        <v>0</v>
      </c>
      <c r="BG129" s="55">
        <f>Saisie!AW129</f>
        <v>0</v>
      </c>
      <c r="BH129" s="55" t="e">
        <f t="array" ref="BH129">_xlfn.IFS(Saisie!AX129="OUI",1,Saisie!AX129="NON",0)</f>
        <v>#N/A</v>
      </c>
      <c r="BI129" s="62">
        <f>Saisie!AY129</f>
        <v>0</v>
      </c>
      <c r="BJ129" s="55" t="e">
        <f t="array" ref="BJ129">_xlfn.IFS(Saisie!AZ129="OUI",1,Saisie!AZ129="NON",0)</f>
        <v>#N/A</v>
      </c>
      <c r="BK129" s="55" t="e">
        <f t="array" ref="BK129">_xlfn.IFS(Saisie!BA129="OUI",1,Saisie!BA129="NON",0)</f>
        <v>#N/A</v>
      </c>
      <c r="BL129" s="55">
        <f>Saisie!BB129</f>
        <v>0</v>
      </c>
      <c r="BM129" s="49" t="e">
        <f>Saisie!BC129</f>
        <v>#REF!</v>
      </c>
      <c r="BN129" s="175"/>
    </row>
    <row r="130" spans="1:66" s="176" customFormat="1" x14ac:dyDescent="0.45">
      <c r="A130" s="12">
        <v>124</v>
      </c>
      <c r="B130" s="150">
        <f>Saisie!B130</f>
        <v>0</v>
      </c>
      <c r="C130" s="150">
        <f>Saisie!C130</f>
        <v>0</v>
      </c>
      <c r="D130" s="150">
        <f>Saisie!D130</f>
        <v>0</v>
      </c>
      <c r="E130" s="150">
        <f>Saisie!E130</f>
        <v>0</v>
      </c>
      <c r="F130" s="150">
        <f>Saisie!F130</f>
        <v>0</v>
      </c>
      <c r="G130" s="150">
        <f>Saisie!G130</f>
        <v>0</v>
      </c>
      <c r="H130" s="150">
        <f>Saisie!I130</f>
        <v>0</v>
      </c>
      <c r="I130" s="150">
        <f>Saisie!J130</f>
        <v>0</v>
      </c>
      <c r="J130" s="150">
        <f>Saisie!K130</f>
        <v>0</v>
      </c>
      <c r="K130" s="150">
        <f>Saisie!L130</f>
        <v>0</v>
      </c>
      <c r="L130" s="150" t="e">
        <f>Saisie!#REF!</f>
        <v>#REF!</v>
      </c>
      <c r="M130" s="55" t="e">
        <f t="array" ref="M130">_xlfn.IFS(Saisie!M130="OUI",1,Saisie!M130="NON",0)</f>
        <v>#N/A</v>
      </c>
      <c r="N130" s="64" t="e">
        <f>Saisie!#REF!</f>
        <v>#REF!</v>
      </c>
      <c r="O130" s="63" t="e">
        <f>Saisie!#REF!</f>
        <v>#REF!</v>
      </c>
      <c r="P130" s="63">
        <f>Saisie!N130</f>
        <v>0</v>
      </c>
      <c r="Q130" s="63" t="e">
        <f t="array" ref="Q130">_xlfn.IFS(Saisie!#REF!="OUI",1,Saisie!#REF!="NON",0)</f>
        <v>#REF!</v>
      </c>
      <c r="R130" s="63" t="e">
        <f>Saisie!#REF!</f>
        <v>#REF!</v>
      </c>
      <c r="S130" s="65" t="e">
        <f>Saisie!#REF!</f>
        <v>#REF!</v>
      </c>
      <c r="T130" s="63" t="e">
        <f>Saisie!#REF!</f>
        <v>#REF!</v>
      </c>
      <c r="U130" s="63" t="e">
        <f>Saisie!#REF!</f>
        <v>#REF!</v>
      </c>
      <c r="V130" s="63" t="e">
        <f t="array" ref="V130">_xlfn.IFS(Saisie!#REF!="OUI",1,Saisie!#REF!="NON",0)</f>
        <v>#REF!</v>
      </c>
      <c r="W130" s="63" t="e">
        <f t="array" ref="W130">_xlfn.IFS(Saisie!O130="OUI",1,Saisie!O130="NON",0)</f>
        <v>#N/A</v>
      </c>
      <c r="X130" s="63">
        <f>Saisie!P130</f>
        <v>0</v>
      </c>
      <c r="Y130" s="299">
        <f>Saisie!H130</f>
        <v>0</v>
      </c>
      <c r="Z130" s="58" t="e">
        <f>Saisie!#REF!</f>
        <v>#REF!</v>
      </c>
      <c r="AA130" s="299">
        <f>Saisie!Q130</f>
        <v>0</v>
      </c>
      <c r="AB130" s="63" t="e">
        <f t="array" ref="AB130">_xlfn.IFS(Saisie!R130="OUI",1,Saisie!R130="NON",0)</f>
        <v>#N/A</v>
      </c>
      <c r="AC130" s="63">
        <f>Saisie!S130</f>
        <v>0</v>
      </c>
      <c r="AD130" s="63" t="e">
        <f t="array" ref="AD130">_xlfn.IFS(Saisie!T130="OUI",1,Saisie!T130="NON",0)</f>
        <v>#N/A</v>
      </c>
      <c r="AE130" s="171">
        <f>Saisie!U130</f>
        <v>0</v>
      </c>
      <c r="AF130" s="262">
        <v>3</v>
      </c>
      <c r="AG130" s="129">
        <f>Saisie!W130</f>
        <v>0</v>
      </c>
      <c r="AH130" s="20">
        <f>Saisie!X130</f>
        <v>0</v>
      </c>
      <c r="AI130" s="21">
        <f>Saisie!Y130</f>
        <v>0</v>
      </c>
      <c r="AJ130" s="59">
        <f>Saisie!Z130</f>
        <v>0</v>
      </c>
      <c r="AK130" s="20">
        <f>Saisie!AA130</f>
        <v>0</v>
      </c>
      <c r="AL130" s="21">
        <f>Saisie!AB130</f>
        <v>0</v>
      </c>
      <c r="AM130" s="59">
        <f>Saisie!AC130</f>
        <v>0</v>
      </c>
      <c r="AN130" s="20">
        <f>Saisie!AD130</f>
        <v>0</v>
      </c>
      <c r="AO130" s="21">
        <f>Saisie!AE130</f>
        <v>0</v>
      </c>
      <c r="AP130" s="59">
        <f>Saisie!AF130</f>
        <v>0</v>
      </c>
      <c r="AQ130" s="129" t="e">
        <f t="array" ref="AQ130">_xlfn.IFS(Saisie!AG130="OUI",1,Saisie!AG130="NON",0)</f>
        <v>#N/A</v>
      </c>
      <c r="AR130" s="129" t="e">
        <f t="array" ref="AR130">_xlfn.IFS(Saisie!AH130="OUI",1,Saisie!AH130="NON",0)</f>
        <v>#N/A</v>
      </c>
      <c r="AS130" s="171">
        <f>Saisie!AI130</f>
        <v>0</v>
      </c>
      <c r="AT130" s="263" t="e">
        <f t="array" ref="AT130">_xlfn.IFS(Saisie!AJ130="OUI",1,Saisie!AJ130="NON",0)</f>
        <v>#N/A</v>
      </c>
      <c r="AU130" s="173">
        <f>Saisie!AK130</f>
        <v>0</v>
      </c>
      <c r="AV130" s="263" t="e">
        <f t="array" ref="AV130">_xlfn.IFS(Saisie!AL130="OUI",1,Saisie!AL130="NON",0)</f>
        <v>#N/A</v>
      </c>
      <c r="AW130" s="171">
        <f>Saisie!AM130</f>
        <v>0</v>
      </c>
      <c r="AX130" s="68">
        <f>Saisie!AN130</f>
        <v>0</v>
      </c>
      <c r="AY130" s="20">
        <f>Saisie!AO130</f>
        <v>0</v>
      </c>
      <c r="AZ130" s="21">
        <f>Saisie!AP130</f>
        <v>0</v>
      </c>
      <c r="BA130" s="298">
        <f>Saisie!AQ130</f>
        <v>0</v>
      </c>
      <c r="BB130" s="170">
        <f>Saisie!AR130</f>
        <v>0</v>
      </c>
      <c r="BC130" s="174">
        <f>Saisie!AS130</f>
        <v>0</v>
      </c>
      <c r="BD130" s="61">
        <f>Saisie!AT130</f>
        <v>0</v>
      </c>
      <c r="BE130" s="175" t="e">
        <f t="array" ref="BE130">_xlfn.IFS(Saisie!AU130="OUI",1,Saisie!AU130="NON",0)</f>
        <v>#N/A</v>
      </c>
      <c r="BF130" s="267">
        <f>Saisie!AV130</f>
        <v>0</v>
      </c>
      <c r="BG130" s="55">
        <f>Saisie!AW130</f>
        <v>0</v>
      </c>
      <c r="BH130" s="55" t="e">
        <f t="array" ref="BH130">_xlfn.IFS(Saisie!AX130="OUI",1,Saisie!AX130="NON",0)</f>
        <v>#N/A</v>
      </c>
      <c r="BI130" s="62">
        <f>Saisie!AY130</f>
        <v>0</v>
      </c>
      <c r="BJ130" s="55" t="e">
        <f t="array" ref="BJ130">_xlfn.IFS(Saisie!AZ130="OUI",1,Saisie!AZ130="NON",0)</f>
        <v>#N/A</v>
      </c>
      <c r="BK130" s="55" t="e">
        <f t="array" ref="BK130">_xlfn.IFS(Saisie!BA130="OUI",1,Saisie!BA130="NON",0)</f>
        <v>#N/A</v>
      </c>
      <c r="BL130" s="55">
        <f>Saisie!BB130</f>
        <v>0</v>
      </c>
      <c r="BM130" s="49" t="e">
        <f>Saisie!BC130</f>
        <v>#REF!</v>
      </c>
      <c r="BN130" s="175"/>
    </row>
    <row r="131" spans="1:66" s="176" customFormat="1" x14ac:dyDescent="0.45">
      <c r="A131" s="13">
        <v>125</v>
      </c>
      <c r="B131" s="150">
        <f>Saisie!B131</f>
        <v>0</v>
      </c>
      <c r="C131" s="150">
        <f>Saisie!C131</f>
        <v>0</v>
      </c>
      <c r="D131" s="150">
        <f>Saisie!D131</f>
        <v>0</v>
      </c>
      <c r="E131" s="150">
        <f>Saisie!E131</f>
        <v>0</v>
      </c>
      <c r="F131" s="150">
        <f>Saisie!F131</f>
        <v>0</v>
      </c>
      <c r="G131" s="150">
        <f>Saisie!G131</f>
        <v>0</v>
      </c>
      <c r="H131" s="150">
        <f>Saisie!I131</f>
        <v>0</v>
      </c>
      <c r="I131" s="150">
        <f>Saisie!J131</f>
        <v>0</v>
      </c>
      <c r="J131" s="150">
        <f>Saisie!K131</f>
        <v>0</v>
      </c>
      <c r="K131" s="150">
        <f>Saisie!L131</f>
        <v>0</v>
      </c>
      <c r="L131" s="150" t="e">
        <f>Saisie!#REF!</f>
        <v>#REF!</v>
      </c>
      <c r="M131" s="55" t="e">
        <f t="array" ref="M131">_xlfn.IFS(Saisie!M131="OUI",1,Saisie!M131="NON",0)</f>
        <v>#N/A</v>
      </c>
      <c r="N131" s="64" t="e">
        <f>Saisie!#REF!</f>
        <v>#REF!</v>
      </c>
      <c r="O131" s="63" t="e">
        <f>Saisie!#REF!</f>
        <v>#REF!</v>
      </c>
      <c r="P131" s="63">
        <f>Saisie!N131</f>
        <v>0</v>
      </c>
      <c r="Q131" s="63" t="e">
        <f t="array" ref="Q131">_xlfn.IFS(Saisie!#REF!="OUI",1,Saisie!#REF!="NON",0)</f>
        <v>#REF!</v>
      </c>
      <c r="R131" s="63" t="e">
        <f>Saisie!#REF!</f>
        <v>#REF!</v>
      </c>
      <c r="S131" s="65" t="e">
        <f>Saisie!#REF!</f>
        <v>#REF!</v>
      </c>
      <c r="T131" s="63" t="e">
        <f>Saisie!#REF!</f>
        <v>#REF!</v>
      </c>
      <c r="U131" s="63" t="e">
        <f>Saisie!#REF!</f>
        <v>#REF!</v>
      </c>
      <c r="V131" s="63" t="e">
        <f t="array" ref="V131">_xlfn.IFS(Saisie!#REF!="OUI",1,Saisie!#REF!="NON",0)</f>
        <v>#REF!</v>
      </c>
      <c r="W131" s="63" t="e">
        <f t="array" ref="W131">_xlfn.IFS(Saisie!O131="OUI",1,Saisie!O131="NON",0)</f>
        <v>#N/A</v>
      </c>
      <c r="X131" s="63">
        <f>Saisie!P131</f>
        <v>0</v>
      </c>
      <c r="Y131" s="299">
        <f>Saisie!H131</f>
        <v>0</v>
      </c>
      <c r="Z131" s="58" t="e">
        <f>Saisie!#REF!</f>
        <v>#REF!</v>
      </c>
      <c r="AA131" s="299">
        <f>Saisie!Q131</f>
        <v>0</v>
      </c>
      <c r="AB131" s="63" t="e">
        <f t="array" ref="AB131">_xlfn.IFS(Saisie!R131="OUI",1,Saisie!R131="NON",0)</f>
        <v>#N/A</v>
      </c>
      <c r="AC131" s="63">
        <f>Saisie!S131</f>
        <v>0</v>
      </c>
      <c r="AD131" s="63" t="e">
        <f t="array" ref="AD131">_xlfn.IFS(Saisie!T131="OUI",1,Saisie!T131="NON",0)</f>
        <v>#N/A</v>
      </c>
      <c r="AE131" s="171">
        <f>Saisie!U131</f>
        <v>0</v>
      </c>
      <c r="AF131" s="262">
        <v>3</v>
      </c>
      <c r="AG131" s="129">
        <f>Saisie!W131</f>
        <v>0</v>
      </c>
      <c r="AH131" s="20">
        <f>Saisie!X131</f>
        <v>0</v>
      </c>
      <c r="AI131" s="21">
        <f>Saisie!Y131</f>
        <v>0</v>
      </c>
      <c r="AJ131" s="59">
        <f>Saisie!Z131</f>
        <v>0</v>
      </c>
      <c r="AK131" s="20">
        <f>Saisie!AA131</f>
        <v>0</v>
      </c>
      <c r="AL131" s="21">
        <f>Saisie!AB131</f>
        <v>0</v>
      </c>
      <c r="AM131" s="59">
        <f>Saisie!AC131</f>
        <v>0</v>
      </c>
      <c r="AN131" s="20">
        <f>Saisie!AD131</f>
        <v>0</v>
      </c>
      <c r="AO131" s="21">
        <f>Saisie!AE131</f>
        <v>0</v>
      </c>
      <c r="AP131" s="59">
        <f>Saisie!AF131</f>
        <v>0</v>
      </c>
      <c r="AQ131" s="129" t="e">
        <f t="array" ref="AQ131">_xlfn.IFS(Saisie!AG131="OUI",1,Saisie!AG131="NON",0)</f>
        <v>#N/A</v>
      </c>
      <c r="AR131" s="129" t="e">
        <f t="array" ref="AR131">_xlfn.IFS(Saisie!AH131="OUI",1,Saisie!AH131="NON",0)</f>
        <v>#N/A</v>
      </c>
      <c r="AS131" s="171">
        <f>Saisie!AI131</f>
        <v>0</v>
      </c>
      <c r="AT131" s="263" t="e">
        <f t="array" ref="AT131">_xlfn.IFS(Saisie!AJ131="OUI",1,Saisie!AJ131="NON",0)</f>
        <v>#N/A</v>
      </c>
      <c r="AU131" s="173">
        <f>Saisie!AK131</f>
        <v>0</v>
      </c>
      <c r="AV131" s="263" t="e">
        <f t="array" ref="AV131">_xlfn.IFS(Saisie!AL131="OUI",1,Saisie!AL131="NON",0)</f>
        <v>#N/A</v>
      </c>
      <c r="AW131" s="171">
        <f>Saisie!AM131</f>
        <v>0</v>
      </c>
      <c r="AX131" s="68">
        <f>Saisie!AN131</f>
        <v>0</v>
      </c>
      <c r="AY131" s="20">
        <f>Saisie!AO131</f>
        <v>0</v>
      </c>
      <c r="AZ131" s="21">
        <f>Saisie!AP131</f>
        <v>0</v>
      </c>
      <c r="BA131" s="298">
        <f>Saisie!AQ131</f>
        <v>0</v>
      </c>
      <c r="BB131" s="170">
        <f>Saisie!AR131</f>
        <v>0</v>
      </c>
      <c r="BC131" s="174">
        <f>Saisie!AS131</f>
        <v>0</v>
      </c>
      <c r="BD131" s="61">
        <f>Saisie!AT131</f>
        <v>0</v>
      </c>
      <c r="BE131" s="175" t="e">
        <f t="array" ref="BE131">_xlfn.IFS(Saisie!AU131="OUI",1,Saisie!AU131="NON",0)</f>
        <v>#N/A</v>
      </c>
      <c r="BF131" s="267">
        <f>Saisie!AV131</f>
        <v>0</v>
      </c>
      <c r="BG131" s="55">
        <f>Saisie!AW131</f>
        <v>0</v>
      </c>
      <c r="BH131" s="55" t="e">
        <f t="array" ref="BH131">_xlfn.IFS(Saisie!AX131="OUI",1,Saisie!AX131="NON",0)</f>
        <v>#N/A</v>
      </c>
      <c r="BI131" s="62">
        <f>Saisie!AY131</f>
        <v>0</v>
      </c>
      <c r="BJ131" s="55" t="e">
        <f t="array" ref="BJ131">_xlfn.IFS(Saisie!AZ131="OUI",1,Saisie!AZ131="NON",0)</f>
        <v>#N/A</v>
      </c>
      <c r="BK131" s="55" t="e">
        <f t="array" ref="BK131">_xlfn.IFS(Saisie!BA131="OUI",1,Saisie!BA131="NON",0)</f>
        <v>#N/A</v>
      </c>
      <c r="BL131" s="55">
        <f>Saisie!BB131</f>
        <v>0</v>
      </c>
      <c r="BM131" s="49" t="e">
        <f>Saisie!BC131</f>
        <v>#REF!</v>
      </c>
      <c r="BN131" s="175"/>
    </row>
    <row r="132" spans="1:66" s="176" customFormat="1" x14ac:dyDescent="0.45">
      <c r="A132" s="13">
        <v>126</v>
      </c>
      <c r="B132" s="150">
        <f>Saisie!B132</f>
        <v>0</v>
      </c>
      <c r="C132" s="150">
        <f>Saisie!C132</f>
        <v>0</v>
      </c>
      <c r="D132" s="150">
        <f>Saisie!D132</f>
        <v>0</v>
      </c>
      <c r="E132" s="150">
        <f>Saisie!E132</f>
        <v>0</v>
      </c>
      <c r="F132" s="150">
        <f>Saisie!F132</f>
        <v>0</v>
      </c>
      <c r="G132" s="150">
        <f>Saisie!G132</f>
        <v>0</v>
      </c>
      <c r="H132" s="150">
        <f>Saisie!I132</f>
        <v>0</v>
      </c>
      <c r="I132" s="150">
        <f>Saisie!J132</f>
        <v>0</v>
      </c>
      <c r="J132" s="150">
        <f>Saisie!K132</f>
        <v>0</v>
      </c>
      <c r="K132" s="150">
        <f>Saisie!L132</f>
        <v>0</v>
      </c>
      <c r="L132" s="150" t="e">
        <f>Saisie!#REF!</f>
        <v>#REF!</v>
      </c>
      <c r="M132" s="55" t="e">
        <f t="array" ref="M132">_xlfn.IFS(Saisie!M132="OUI",1,Saisie!M132="NON",0)</f>
        <v>#N/A</v>
      </c>
      <c r="N132" s="64" t="e">
        <f>Saisie!#REF!</f>
        <v>#REF!</v>
      </c>
      <c r="O132" s="63" t="e">
        <f>Saisie!#REF!</f>
        <v>#REF!</v>
      </c>
      <c r="P132" s="63">
        <f>Saisie!N132</f>
        <v>0</v>
      </c>
      <c r="Q132" s="63" t="e">
        <f t="array" ref="Q132">_xlfn.IFS(Saisie!#REF!="OUI",1,Saisie!#REF!="NON",0)</f>
        <v>#REF!</v>
      </c>
      <c r="R132" s="63" t="e">
        <f>Saisie!#REF!</f>
        <v>#REF!</v>
      </c>
      <c r="S132" s="65" t="e">
        <f>Saisie!#REF!</f>
        <v>#REF!</v>
      </c>
      <c r="T132" s="63" t="e">
        <f>Saisie!#REF!</f>
        <v>#REF!</v>
      </c>
      <c r="U132" s="63" t="e">
        <f>Saisie!#REF!</f>
        <v>#REF!</v>
      </c>
      <c r="V132" s="63" t="e">
        <f t="array" ref="V132">_xlfn.IFS(Saisie!#REF!="OUI",1,Saisie!#REF!="NON",0)</f>
        <v>#REF!</v>
      </c>
      <c r="W132" s="63" t="e">
        <f t="array" ref="W132">_xlfn.IFS(Saisie!O132="OUI",1,Saisie!O132="NON",0)</f>
        <v>#N/A</v>
      </c>
      <c r="X132" s="63">
        <f>Saisie!P132</f>
        <v>0</v>
      </c>
      <c r="Y132" s="299">
        <f>Saisie!H132</f>
        <v>0</v>
      </c>
      <c r="Z132" s="58" t="e">
        <f>Saisie!#REF!</f>
        <v>#REF!</v>
      </c>
      <c r="AA132" s="299">
        <f>Saisie!Q132</f>
        <v>0</v>
      </c>
      <c r="AB132" s="63" t="e">
        <f t="array" ref="AB132">_xlfn.IFS(Saisie!R132="OUI",1,Saisie!R132="NON",0)</f>
        <v>#N/A</v>
      </c>
      <c r="AC132" s="63">
        <f>Saisie!S132</f>
        <v>0</v>
      </c>
      <c r="AD132" s="63" t="e">
        <f t="array" ref="AD132">_xlfn.IFS(Saisie!T132="OUI",1,Saisie!T132="NON",0)</f>
        <v>#N/A</v>
      </c>
      <c r="AE132" s="171">
        <f>Saisie!U132</f>
        <v>0</v>
      </c>
      <c r="AF132" s="262">
        <v>3</v>
      </c>
      <c r="AG132" s="129">
        <f>Saisie!W132</f>
        <v>0</v>
      </c>
      <c r="AH132" s="20">
        <f>Saisie!X132</f>
        <v>0</v>
      </c>
      <c r="AI132" s="21">
        <f>Saisie!Y132</f>
        <v>0</v>
      </c>
      <c r="AJ132" s="59">
        <f>Saisie!Z132</f>
        <v>0</v>
      </c>
      <c r="AK132" s="20">
        <f>Saisie!AA132</f>
        <v>0</v>
      </c>
      <c r="AL132" s="21">
        <f>Saisie!AB132</f>
        <v>0</v>
      </c>
      <c r="AM132" s="59">
        <f>Saisie!AC132</f>
        <v>0</v>
      </c>
      <c r="AN132" s="20">
        <f>Saisie!AD132</f>
        <v>0</v>
      </c>
      <c r="AO132" s="21">
        <f>Saisie!AE132</f>
        <v>0</v>
      </c>
      <c r="AP132" s="59">
        <f>Saisie!AF132</f>
        <v>0</v>
      </c>
      <c r="AQ132" s="129" t="e">
        <f t="array" ref="AQ132">_xlfn.IFS(Saisie!AG132="OUI",1,Saisie!AG132="NON",0)</f>
        <v>#N/A</v>
      </c>
      <c r="AR132" s="129" t="e">
        <f t="array" ref="AR132">_xlfn.IFS(Saisie!AH132="OUI",1,Saisie!AH132="NON",0)</f>
        <v>#N/A</v>
      </c>
      <c r="AS132" s="171">
        <f>Saisie!AI132</f>
        <v>0</v>
      </c>
      <c r="AT132" s="263" t="e">
        <f t="array" ref="AT132">_xlfn.IFS(Saisie!AJ132="OUI",1,Saisie!AJ132="NON",0)</f>
        <v>#N/A</v>
      </c>
      <c r="AU132" s="173">
        <f>Saisie!AK132</f>
        <v>0</v>
      </c>
      <c r="AV132" s="263" t="e">
        <f t="array" ref="AV132">_xlfn.IFS(Saisie!AL132="OUI",1,Saisie!AL132="NON",0)</f>
        <v>#N/A</v>
      </c>
      <c r="AW132" s="171">
        <f>Saisie!AM132</f>
        <v>0</v>
      </c>
      <c r="AX132" s="68">
        <f>Saisie!AN132</f>
        <v>0</v>
      </c>
      <c r="AY132" s="20">
        <f>Saisie!AO132</f>
        <v>0</v>
      </c>
      <c r="AZ132" s="21">
        <f>Saisie!AP132</f>
        <v>0</v>
      </c>
      <c r="BA132" s="298">
        <f>Saisie!AQ132</f>
        <v>0</v>
      </c>
      <c r="BB132" s="170">
        <f>Saisie!AR132</f>
        <v>0</v>
      </c>
      <c r="BC132" s="174">
        <f>Saisie!AS132</f>
        <v>0</v>
      </c>
      <c r="BD132" s="61">
        <f>Saisie!AT132</f>
        <v>0</v>
      </c>
      <c r="BE132" s="175" t="e">
        <f t="array" ref="BE132">_xlfn.IFS(Saisie!AU132="OUI",1,Saisie!AU132="NON",0)</f>
        <v>#N/A</v>
      </c>
      <c r="BF132" s="267">
        <f>Saisie!AV132</f>
        <v>0</v>
      </c>
      <c r="BG132" s="55">
        <f>Saisie!AW132</f>
        <v>0</v>
      </c>
      <c r="BH132" s="55" t="e">
        <f t="array" ref="BH132">_xlfn.IFS(Saisie!AX132="OUI",1,Saisie!AX132="NON",0)</f>
        <v>#N/A</v>
      </c>
      <c r="BI132" s="62">
        <f>Saisie!AY132</f>
        <v>0</v>
      </c>
      <c r="BJ132" s="55" t="e">
        <f t="array" ref="BJ132">_xlfn.IFS(Saisie!AZ132="OUI",1,Saisie!AZ132="NON",0)</f>
        <v>#N/A</v>
      </c>
      <c r="BK132" s="55" t="e">
        <f t="array" ref="BK132">_xlfn.IFS(Saisie!BA132="OUI",1,Saisie!BA132="NON",0)</f>
        <v>#N/A</v>
      </c>
      <c r="BL132" s="55">
        <f>Saisie!BB132</f>
        <v>0</v>
      </c>
      <c r="BM132" s="49" t="e">
        <f>Saisie!BC132</f>
        <v>#REF!</v>
      </c>
      <c r="BN132" s="175"/>
    </row>
    <row r="133" spans="1:66" s="176" customFormat="1" x14ac:dyDescent="0.45">
      <c r="A133" s="12">
        <v>127</v>
      </c>
      <c r="B133" s="150">
        <f>Saisie!B133</f>
        <v>0</v>
      </c>
      <c r="C133" s="150">
        <f>Saisie!C133</f>
        <v>0</v>
      </c>
      <c r="D133" s="150">
        <f>Saisie!D133</f>
        <v>0</v>
      </c>
      <c r="E133" s="150">
        <f>Saisie!E133</f>
        <v>0</v>
      </c>
      <c r="F133" s="150">
        <f>Saisie!F133</f>
        <v>0</v>
      </c>
      <c r="G133" s="150">
        <f>Saisie!G133</f>
        <v>0</v>
      </c>
      <c r="H133" s="150">
        <f>Saisie!I133</f>
        <v>0</v>
      </c>
      <c r="I133" s="150">
        <f>Saisie!J133</f>
        <v>0</v>
      </c>
      <c r="J133" s="150">
        <f>Saisie!K133</f>
        <v>0</v>
      </c>
      <c r="K133" s="150">
        <f>Saisie!L133</f>
        <v>0</v>
      </c>
      <c r="L133" s="150" t="e">
        <f>Saisie!#REF!</f>
        <v>#REF!</v>
      </c>
      <c r="M133" s="55" t="e">
        <f t="array" ref="M133">_xlfn.IFS(Saisie!M133="OUI",1,Saisie!M133="NON",0)</f>
        <v>#N/A</v>
      </c>
      <c r="N133" s="64" t="e">
        <f>Saisie!#REF!</f>
        <v>#REF!</v>
      </c>
      <c r="O133" s="63" t="e">
        <f>Saisie!#REF!</f>
        <v>#REF!</v>
      </c>
      <c r="P133" s="63">
        <f>Saisie!N133</f>
        <v>0</v>
      </c>
      <c r="Q133" s="63" t="e">
        <f t="array" ref="Q133">_xlfn.IFS(Saisie!#REF!="OUI",1,Saisie!#REF!="NON",0)</f>
        <v>#REF!</v>
      </c>
      <c r="R133" s="63" t="e">
        <f>Saisie!#REF!</f>
        <v>#REF!</v>
      </c>
      <c r="S133" s="65" t="e">
        <f>Saisie!#REF!</f>
        <v>#REF!</v>
      </c>
      <c r="T133" s="63" t="e">
        <f>Saisie!#REF!</f>
        <v>#REF!</v>
      </c>
      <c r="U133" s="63" t="e">
        <f>Saisie!#REF!</f>
        <v>#REF!</v>
      </c>
      <c r="V133" s="63" t="e">
        <f t="array" ref="V133">_xlfn.IFS(Saisie!#REF!="OUI",1,Saisie!#REF!="NON",0)</f>
        <v>#REF!</v>
      </c>
      <c r="W133" s="63" t="e">
        <f t="array" ref="W133">_xlfn.IFS(Saisie!O133="OUI",1,Saisie!O133="NON",0)</f>
        <v>#N/A</v>
      </c>
      <c r="X133" s="63">
        <f>Saisie!P133</f>
        <v>0</v>
      </c>
      <c r="Y133" s="299">
        <f>Saisie!H133</f>
        <v>0</v>
      </c>
      <c r="Z133" s="58" t="e">
        <f>Saisie!#REF!</f>
        <v>#REF!</v>
      </c>
      <c r="AA133" s="299">
        <f>Saisie!Q133</f>
        <v>0</v>
      </c>
      <c r="AB133" s="63" t="e">
        <f t="array" ref="AB133">_xlfn.IFS(Saisie!R133="OUI",1,Saisie!R133="NON",0)</f>
        <v>#N/A</v>
      </c>
      <c r="AC133" s="63">
        <f>Saisie!S133</f>
        <v>0</v>
      </c>
      <c r="AD133" s="63" t="e">
        <f t="array" ref="AD133">_xlfn.IFS(Saisie!T133="OUI",1,Saisie!T133="NON",0)</f>
        <v>#N/A</v>
      </c>
      <c r="AE133" s="171">
        <f>Saisie!U133</f>
        <v>0</v>
      </c>
      <c r="AF133" s="262">
        <v>3</v>
      </c>
      <c r="AG133" s="129">
        <f>Saisie!W133</f>
        <v>0</v>
      </c>
      <c r="AH133" s="20">
        <f>Saisie!X133</f>
        <v>0</v>
      </c>
      <c r="AI133" s="21">
        <f>Saisie!Y133</f>
        <v>0</v>
      </c>
      <c r="AJ133" s="59">
        <f>Saisie!Z133</f>
        <v>0</v>
      </c>
      <c r="AK133" s="20">
        <f>Saisie!AA133</f>
        <v>0</v>
      </c>
      <c r="AL133" s="21">
        <f>Saisie!AB133</f>
        <v>0</v>
      </c>
      <c r="AM133" s="59">
        <f>Saisie!AC133</f>
        <v>0</v>
      </c>
      <c r="AN133" s="20">
        <f>Saisie!AD133</f>
        <v>0</v>
      </c>
      <c r="AO133" s="21">
        <f>Saisie!AE133</f>
        <v>0</v>
      </c>
      <c r="AP133" s="59">
        <f>Saisie!AF133</f>
        <v>0</v>
      </c>
      <c r="AQ133" s="129" t="e">
        <f t="array" ref="AQ133">_xlfn.IFS(Saisie!AG133="OUI",1,Saisie!AG133="NON",0)</f>
        <v>#N/A</v>
      </c>
      <c r="AR133" s="129" t="e">
        <f t="array" ref="AR133">_xlfn.IFS(Saisie!AH133="OUI",1,Saisie!AH133="NON",0)</f>
        <v>#N/A</v>
      </c>
      <c r="AS133" s="171">
        <f>Saisie!AI133</f>
        <v>0</v>
      </c>
      <c r="AT133" s="263" t="e">
        <f t="array" ref="AT133">_xlfn.IFS(Saisie!AJ133="OUI",1,Saisie!AJ133="NON",0)</f>
        <v>#N/A</v>
      </c>
      <c r="AU133" s="173">
        <f>Saisie!AK133</f>
        <v>0</v>
      </c>
      <c r="AV133" s="263" t="e">
        <f t="array" ref="AV133">_xlfn.IFS(Saisie!AL133="OUI",1,Saisie!AL133="NON",0)</f>
        <v>#N/A</v>
      </c>
      <c r="AW133" s="171">
        <f>Saisie!AM133</f>
        <v>0</v>
      </c>
      <c r="AX133" s="68">
        <f>Saisie!AN133</f>
        <v>0</v>
      </c>
      <c r="AY133" s="20">
        <f>Saisie!AO133</f>
        <v>0</v>
      </c>
      <c r="AZ133" s="21">
        <f>Saisie!AP133</f>
        <v>0</v>
      </c>
      <c r="BA133" s="298">
        <f>Saisie!AQ133</f>
        <v>0</v>
      </c>
      <c r="BB133" s="170">
        <f>Saisie!AR133</f>
        <v>0</v>
      </c>
      <c r="BC133" s="174">
        <f>Saisie!AS133</f>
        <v>0</v>
      </c>
      <c r="BD133" s="61">
        <f>Saisie!AT133</f>
        <v>0</v>
      </c>
      <c r="BE133" s="175" t="e">
        <f t="array" ref="BE133">_xlfn.IFS(Saisie!AU133="OUI",1,Saisie!AU133="NON",0)</f>
        <v>#N/A</v>
      </c>
      <c r="BF133" s="267">
        <f>Saisie!AV133</f>
        <v>0</v>
      </c>
      <c r="BG133" s="55">
        <f>Saisie!AW133</f>
        <v>0</v>
      </c>
      <c r="BH133" s="55" t="e">
        <f t="array" ref="BH133">_xlfn.IFS(Saisie!AX133="OUI",1,Saisie!AX133="NON",0)</f>
        <v>#N/A</v>
      </c>
      <c r="BI133" s="62">
        <f>Saisie!AY133</f>
        <v>0</v>
      </c>
      <c r="BJ133" s="55" t="e">
        <f t="array" ref="BJ133">_xlfn.IFS(Saisie!AZ133="OUI",1,Saisie!AZ133="NON",0)</f>
        <v>#N/A</v>
      </c>
      <c r="BK133" s="55" t="e">
        <f t="array" ref="BK133">_xlfn.IFS(Saisie!BA133="OUI",1,Saisie!BA133="NON",0)</f>
        <v>#N/A</v>
      </c>
      <c r="BL133" s="55">
        <f>Saisie!BB133</f>
        <v>0</v>
      </c>
      <c r="BM133" s="49" t="e">
        <f>Saisie!BC133</f>
        <v>#REF!</v>
      </c>
      <c r="BN133" s="175"/>
    </row>
    <row r="134" spans="1:66" s="176" customFormat="1" x14ac:dyDescent="0.45">
      <c r="A134" s="13">
        <v>128</v>
      </c>
      <c r="B134" s="150">
        <f>Saisie!B134</f>
        <v>0</v>
      </c>
      <c r="C134" s="150">
        <f>Saisie!C134</f>
        <v>0</v>
      </c>
      <c r="D134" s="150">
        <f>Saisie!D134</f>
        <v>0</v>
      </c>
      <c r="E134" s="150">
        <f>Saisie!E134</f>
        <v>0</v>
      </c>
      <c r="F134" s="150">
        <f>Saisie!F134</f>
        <v>0</v>
      </c>
      <c r="G134" s="150">
        <f>Saisie!G134</f>
        <v>0</v>
      </c>
      <c r="H134" s="150">
        <f>Saisie!I134</f>
        <v>0</v>
      </c>
      <c r="I134" s="150">
        <f>Saisie!J134</f>
        <v>0</v>
      </c>
      <c r="J134" s="150">
        <f>Saisie!K134</f>
        <v>0</v>
      </c>
      <c r="K134" s="150">
        <f>Saisie!L134</f>
        <v>0</v>
      </c>
      <c r="L134" s="150" t="e">
        <f>Saisie!#REF!</f>
        <v>#REF!</v>
      </c>
      <c r="M134" s="55" t="e">
        <f t="array" ref="M134">_xlfn.IFS(Saisie!M134="OUI",1,Saisie!M134="NON",0)</f>
        <v>#N/A</v>
      </c>
      <c r="N134" s="64" t="e">
        <f>Saisie!#REF!</f>
        <v>#REF!</v>
      </c>
      <c r="O134" s="63" t="e">
        <f>Saisie!#REF!</f>
        <v>#REF!</v>
      </c>
      <c r="P134" s="63">
        <f>Saisie!N134</f>
        <v>0</v>
      </c>
      <c r="Q134" s="63" t="e">
        <f t="array" ref="Q134">_xlfn.IFS(Saisie!#REF!="OUI",1,Saisie!#REF!="NON",0)</f>
        <v>#REF!</v>
      </c>
      <c r="R134" s="63" t="e">
        <f>Saisie!#REF!</f>
        <v>#REF!</v>
      </c>
      <c r="S134" s="65" t="e">
        <f>Saisie!#REF!</f>
        <v>#REF!</v>
      </c>
      <c r="T134" s="63" t="e">
        <f>Saisie!#REF!</f>
        <v>#REF!</v>
      </c>
      <c r="U134" s="63" t="e">
        <f>Saisie!#REF!</f>
        <v>#REF!</v>
      </c>
      <c r="V134" s="63" t="e">
        <f t="array" ref="V134">_xlfn.IFS(Saisie!#REF!="OUI",1,Saisie!#REF!="NON",0)</f>
        <v>#REF!</v>
      </c>
      <c r="W134" s="63" t="e">
        <f t="array" ref="W134">_xlfn.IFS(Saisie!O134="OUI",1,Saisie!O134="NON",0)</f>
        <v>#N/A</v>
      </c>
      <c r="X134" s="63">
        <f>Saisie!P134</f>
        <v>0</v>
      </c>
      <c r="Y134" s="299">
        <f>Saisie!H134</f>
        <v>0</v>
      </c>
      <c r="Z134" s="58" t="e">
        <f>Saisie!#REF!</f>
        <v>#REF!</v>
      </c>
      <c r="AA134" s="299">
        <f>Saisie!Q134</f>
        <v>0</v>
      </c>
      <c r="AB134" s="63" t="e">
        <f t="array" ref="AB134">_xlfn.IFS(Saisie!R134="OUI",1,Saisie!R134="NON",0)</f>
        <v>#N/A</v>
      </c>
      <c r="AC134" s="63">
        <f>Saisie!S134</f>
        <v>0</v>
      </c>
      <c r="AD134" s="63" t="e">
        <f t="array" ref="AD134">_xlfn.IFS(Saisie!T134="OUI",1,Saisie!T134="NON",0)</f>
        <v>#N/A</v>
      </c>
      <c r="AE134" s="171">
        <f>Saisie!U134</f>
        <v>0</v>
      </c>
      <c r="AF134" s="262">
        <v>1</v>
      </c>
      <c r="AG134" s="129">
        <f>Saisie!W134</f>
        <v>0</v>
      </c>
      <c r="AH134" s="20">
        <f>Saisie!X134</f>
        <v>0</v>
      </c>
      <c r="AI134" s="21">
        <f>Saisie!Y134</f>
        <v>0</v>
      </c>
      <c r="AJ134" s="59">
        <f>Saisie!Z134</f>
        <v>0</v>
      </c>
      <c r="AK134" s="20">
        <f>Saisie!AA134</f>
        <v>0</v>
      </c>
      <c r="AL134" s="21">
        <f>Saisie!AB134</f>
        <v>0</v>
      </c>
      <c r="AM134" s="59">
        <f>Saisie!AC134</f>
        <v>0</v>
      </c>
      <c r="AN134" s="20">
        <f>Saisie!AD134</f>
        <v>0</v>
      </c>
      <c r="AO134" s="21">
        <f>Saisie!AE134</f>
        <v>0</v>
      </c>
      <c r="AP134" s="59">
        <f>Saisie!AF134</f>
        <v>0</v>
      </c>
      <c r="AQ134" s="129" t="e">
        <f t="array" ref="AQ134">_xlfn.IFS(Saisie!AG134="OUI",1,Saisie!AG134="NON",0)</f>
        <v>#N/A</v>
      </c>
      <c r="AR134" s="129" t="e">
        <f t="array" ref="AR134">_xlfn.IFS(Saisie!AH134="OUI",1,Saisie!AH134="NON",0)</f>
        <v>#N/A</v>
      </c>
      <c r="AS134" s="171">
        <f>Saisie!AI134</f>
        <v>0</v>
      </c>
      <c r="AT134" s="263" t="e">
        <f t="array" ref="AT134">_xlfn.IFS(Saisie!AJ134="OUI",1,Saisie!AJ134="NON",0)</f>
        <v>#N/A</v>
      </c>
      <c r="AU134" s="173">
        <f>Saisie!AK134</f>
        <v>0</v>
      </c>
      <c r="AV134" s="263" t="e">
        <f t="array" ref="AV134">_xlfn.IFS(Saisie!AL134="OUI",1,Saisie!AL134="NON",0)</f>
        <v>#N/A</v>
      </c>
      <c r="AW134" s="171">
        <f>Saisie!AM134</f>
        <v>0</v>
      </c>
      <c r="AX134" s="68">
        <f>Saisie!AN134</f>
        <v>0</v>
      </c>
      <c r="AY134" s="20">
        <f>Saisie!AO134</f>
        <v>0</v>
      </c>
      <c r="AZ134" s="21">
        <f>Saisie!AP134</f>
        <v>0</v>
      </c>
      <c r="BA134" s="298">
        <f>Saisie!AQ134</f>
        <v>0</v>
      </c>
      <c r="BB134" s="170">
        <f>Saisie!AR134</f>
        <v>0</v>
      </c>
      <c r="BC134" s="174">
        <f>Saisie!AS134</f>
        <v>0</v>
      </c>
      <c r="BD134" s="61">
        <f>Saisie!AT134</f>
        <v>0</v>
      </c>
      <c r="BE134" s="175" t="e">
        <f t="array" ref="BE134">_xlfn.IFS(Saisie!AU134="OUI",1,Saisie!AU134="NON",0)</f>
        <v>#N/A</v>
      </c>
      <c r="BF134" s="267">
        <f>Saisie!AV134</f>
        <v>0</v>
      </c>
      <c r="BG134" s="55">
        <f>Saisie!AW134</f>
        <v>0</v>
      </c>
      <c r="BH134" s="55" t="e">
        <f t="array" ref="BH134">_xlfn.IFS(Saisie!AX134="OUI",1,Saisie!AX134="NON",0)</f>
        <v>#N/A</v>
      </c>
      <c r="BI134" s="62">
        <f>Saisie!AY134</f>
        <v>0</v>
      </c>
      <c r="BJ134" s="55" t="e">
        <f t="array" ref="BJ134">_xlfn.IFS(Saisie!AZ134="OUI",1,Saisie!AZ134="NON",0)</f>
        <v>#N/A</v>
      </c>
      <c r="BK134" s="55" t="e">
        <f t="array" ref="BK134">_xlfn.IFS(Saisie!BA134="OUI",1,Saisie!BA134="NON",0)</f>
        <v>#N/A</v>
      </c>
      <c r="BL134" s="55">
        <f>Saisie!BB134</f>
        <v>0</v>
      </c>
      <c r="BM134" s="49" t="e">
        <f>Saisie!BC134</f>
        <v>#REF!</v>
      </c>
      <c r="BN134" s="175"/>
    </row>
    <row r="135" spans="1:66" s="176" customFormat="1" x14ac:dyDescent="0.45">
      <c r="A135" s="13">
        <v>129</v>
      </c>
      <c r="B135" s="150">
        <f>Saisie!B135</f>
        <v>0</v>
      </c>
      <c r="C135" s="150">
        <f>Saisie!C135</f>
        <v>0</v>
      </c>
      <c r="D135" s="150">
        <f>Saisie!D135</f>
        <v>0</v>
      </c>
      <c r="E135" s="150">
        <f>Saisie!E135</f>
        <v>0</v>
      </c>
      <c r="F135" s="150">
        <f>Saisie!F135</f>
        <v>0</v>
      </c>
      <c r="G135" s="150">
        <f>Saisie!G135</f>
        <v>0</v>
      </c>
      <c r="H135" s="150">
        <f>Saisie!I135</f>
        <v>0</v>
      </c>
      <c r="I135" s="150">
        <f>Saisie!J135</f>
        <v>0</v>
      </c>
      <c r="J135" s="150">
        <f>Saisie!K135</f>
        <v>0</v>
      </c>
      <c r="K135" s="150">
        <f>Saisie!L135</f>
        <v>0</v>
      </c>
      <c r="L135" s="150" t="e">
        <f>Saisie!#REF!</f>
        <v>#REF!</v>
      </c>
      <c r="M135" s="55" t="e">
        <f t="array" ref="M135">_xlfn.IFS(Saisie!M135="OUI",1,Saisie!M135="NON",0)</f>
        <v>#N/A</v>
      </c>
      <c r="N135" s="64" t="e">
        <f>Saisie!#REF!</f>
        <v>#REF!</v>
      </c>
      <c r="O135" s="63" t="e">
        <f>Saisie!#REF!</f>
        <v>#REF!</v>
      </c>
      <c r="P135" s="63">
        <f>Saisie!N135</f>
        <v>0</v>
      </c>
      <c r="Q135" s="63" t="e">
        <f t="array" ref="Q135">_xlfn.IFS(Saisie!#REF!="OUI",1,Saisie!#REF!="NON",0)</f>
        <v>#REF!</v>
      </c>
      <c r="R135" s="63" t="e">
        <f>Saisie!#REF!</f>
        <v>#REF!</v>
      </c>
      <c r="S135" s="65" t="e">
        <f>Saisie!#REF!</f>
        <v>#REF!</v>
      </c>
      <c r="T135" s="63" t="e">
        <f>Saisie!#REF!</f>
        <v>#REF!</v>
      </c>
      <c r="U135" s="63" t="e">
        <f>Saisie!#REF!</f>
        <v>#REF!</v>
      </c>
      <c r="V135" s="63" t="e">
        <f t="array" ref="V135">_xlfn.IFS(Saisie!#REF!="OUI",1,Saisie!#REF!="NON",0)</f>
        <v>#REF!</v>
      </c>
      <c r="W135" s="63" t="e">
        <f t="array" ref="W135">_xlfn.IFS(Saisie!O135="OUI",1,Saisie!O135="NON",0)</f>
        <v>#N/A</v>
      </c>
      <c r="X135" s="63">
        <f>Saisie!P135</f>
        <v>0</v>
      </c>
      <c r="Y135" s="299">
        <f>Saisie!H135</f>
        <v>0</v>
      </c>
      <c r="Z135" s="58" t="e">
        <f>Saisie!#REF!</f>
        <v>#REF!</v>
      </c>
      <c r="AA135" s="299">
        <f>Saisie!Q135</f>
        <v>0</v>
      </c>
      <c r="AB135" s="63" t="e">
        <f t="array" ref="AB135">_xlfn.IFS(Saisie!R135="OUI",1,Saisie!R135="NON",0)</f>
        <v>#N/A</v>
      </c>
      <c r="AC135" s="63">
        <f>Saisie!S135</f>
        <v>0</v>
      </c>
      <c r="AD135" s="63" t="e">
        <f t="array" ref="AD135">_xlfn.IFS(Saisie!T135="OUI",1,Saisie!T135="NON",0)</f>
        <v>#N/A</v>
      </c>
      <c r="AE135" s="171">
        <f>Saisie!U135</f>
        <v>0</v>
      </c>
      <c r="AF135" s="262">
        <v>3</v>
      </c>
      <c r="AG135" s="129">
        <f>Saisie!W135</f>
        <v>0</v>
      </c>
      <c r="AH135" s="20">
        <f>Saisie!X135</f>
        <v>0</v>
      </c>
      <c r="AI135" s="21">
        <f>Saisie!Y135</f>
        <v>0</v>
      </c>
      <c r="AJ135" s="59">
        <f>Saisie!Z135</f>
        <v>0</v>
      </c>
      <c r="AK135" s="20">
        <f>Saisie!AA135</f>
        <v>0</v>
      </c>
      <c r="AL135" s="21">
        <f>Saisie!AB135</f>
        <v>0</v>
      </c>
      <c r="AM135" s="59">
        <f>Saisie!AC135</f>
        <v>0</v>
      </c>
      <c r="AN135" s="20">
        <f>Saisie!AD135</f>
        <v>0</v>
      </c>
      <c r="AO135" s="21">
        <f>Saisie!AE135</f>
        <v>0</v>
      </c>
      <c r="AP135" s="59">
        <f>Saisie!AF135</f>
        <v>0</v>
      </c>
      <c r="AQ135" s="129" t="e">
        <f t="array" ref="AQ135">_xlfn.IFS(Saisie!AG135="OUI",1,Saisie!AG135="NON",0)</f>
        <v>#N/A</v>
      </c>
      <c r="AR135" s="129" t="e">
        <f t="array" ref="AR135">_xlfn.IFS(Saisie!AH135="OUI",1,Saisie!AH135="NON",0)</f>
        <v>#N/A</v>
      </c>
      <c r="AS135" s="171">
        <f>Saisie!AI135</f>
        <v>0</v>
      </c>
      <c r="AT135" s="263" t="e">
        <f t="array" ref="AT135">_xlfn.IFS(Saisie!AJ135="OUI",1,Saisie!AJ135="NON",0)</f>
        <v>#N/A</v>
      </c>
      <c r="AU135" s="173">
        <f>Saisie!AK135</f>
        <v>0</v>
      </c>
      <c r="AV135" s="263" t="e">
        <f t="array" ref="AV135">_xlfn.IFS(Saisie!AL135="OUI",1,Saisie!AL135="NON",0)</f>
        <v>#N/A</v>
      </c>
      <c r="AW135" s="171">
        <f>Saisie!AM135</f>
        <v>0</v>
      </c>
      <c r="AX135" s="68">
        <f>Saisie!AN135</f>
        <v>0</v>
      </c>
      <c r="AY135" s="20">
        <f>Saisie!AO135</f>
        <v>0</v>
      </c>
      <c r="AZ135" s="21">
        <f>Saisie!AP135</f>
        <v>0</v>
      </c>
      <c r="BA135" s="298">
        <f>Saisie!AQ135</f>
        <v>0</v>
      </c>
      <c r="BB135" s="170">
        <f>Saisie!AR135</f>
        <v>0</v>
      </c>
      <c r="BC135" s="174">
        <f>Saisie!AS135</f>
        <v>0</v>
      </c>
      <c r="BD135" s="61">
        <f>Saisie!AT135</f>
        <v>0</v>
      </c>
      <c r="BE135" s="175" t="e">
        <f t="array" ref="BE135">_xlfn.IFS(Saisie!AU135="OUI",1,Saisie!AU135="NON",0)</f>
        <v>#N/A</v>
      </c>
      <c r="BF135" s="267">
        <f>Saisie!AV135</f>
        <v>0</v>
      </c>
      <c r="BG135" s="55">
        <f>Saisie!AW135</f>
        <v>0</v>
      </c>
      <c r="BH135" s="55" t="e">
        <f t="array" ref="BH135">_xlfn.IFS(Saisie!AX135="OUI",1,Saisie!AX135="NON",0)</f>
        <v>#N/A</v>
      </c>
      <c r="BI135" s="62">
        <f>Saisie!AY135</f>
        <v>0</v>
      </c>
      <c r="BJ135" s="55" t="e">
        <f t="array" ref="BJ135">_xlfn.IFS(Saisie!AZ135="OUI",1,Saisie!AZ135="NON",0)</f>
        <v>#N/A</v>
      </c>
      <c r="BK135" s="55" t="e">
        <f t="array" ref="BK135">_xlfn.IFS(Saisie!BA135="OUI",1,Saisie!BA135="NON",0)</f>
        <v>#N/A</v>
      </c>
      <c r="BL135" s="55">
        <f>Saisie!BB135</f>
        <v>0</v>
      </c>
      <c r="BM135" s="49" t="e">
        <f>Saisie!BC135</f>
        <v>#REF!</v>
      </c>
      <c r="BN135" s="175"/>
    </row>
    <row r="136" spans="1:66" s="176" customFormat="1" x14ac:dyDescent="0.45">
      <c r="A136" s="12">
        <v>130</v>
      </c>
      <c r="B136" s="150">
        <f>Saisie!B136</f>
        <v>0</v>
      </c>
      <c r="C136" s="150">
        <f>Saisie!C136</f>
        <v>0</v>
      </c>
      <c r="D136" s="150">
        <f>Saisie!D136</f>
        <v>0</v>
      </c>
      <c r="E136" s="150">
        <f>Saisie!E136</f>
        <v>0</v>
      </c>
      <c r="F136" s="150">
        <f>Saisie!F136</f>
        <v>0</v>
      </c>
      <c r="G136" s="150">
        <f>Saisie!G136</f>
        <v>0</v>
      </c>
      <c r="H136" s="150">
        <f>Saisie!I136</f>
        <v>0</v>
      </c>
      <c r="I136" s="150">
        <f>Saisie!J136</f>
        <v>0</v>
      </c>
      <c r="J136" s="150">
        <f>Saisie!K136</f>
        <v>0</v>
      </c>
      <c r="K136" s="150">
        <f>Saisie!L136</f>
        <v>0</v>
      </c>
      <c r="L136" s="150" t="e">
        <f>Saisie!#REF!</f>
        <v>#REF!</v>
      </c>
      <c r="M136" s="55" t="e">
        <f t="array" ref="M136">_xlfn.IFS(Saisie!M136="OUI",1,Saisie!M136="NON",0)</f>
        <v>#N/A</v>
      </c>
      <c r="N136" s="64" t="e">
        <f>Saisie!#REF!</f>
        <v>#REF!</v>
      </c>
      <c r="O136" s="63" t="e">
        <f>Saisie!#REF!</f>
        <v>#REF!</v>
      </c>
      <c r="P136" s="63">
        <f>Saisie!N136</f>
        <v>0</v>
      </c>
      <c r="Q136" s="63" t="e">
        <f t="array" ref="Q136">_xlfn.IFS(Saisie!#REF!="OUI",1,Saisie!#REF!="NON",0)</f>
        <v>#REF!</v>
      </c>
      <c r="R136" s="63" t="e">
        <f>Saisie!#REF!</f>
        <v>#REF!</v>
      </c>
      <c r="S136" s="65" t="e">
        <f>Saisie!#REF!</f>
        <v>#REF!</v>
      </c>
      <c r="T136" s="63" t="e">
        <f>Saisie!#REF!</f>
        <v>#REF!</v>
      </c>
      <c r="U136" s="63" t="e">
        <f>Saisie!#REF!</f>
        <v>#REF!</v>
      </c>
      <c r="V136" s="63" t="e">
        <f t="array" ref="V136">_xlfn.IFS(Saisie!#REF!="OUI",1,Saisie!#REF!="NON",0)</f>
        <v>#REF!</v>
      </c>
      <c r="W136" s="63" t="e">
        <f t="array" ref="W136">_xlfn.IFS(Saisie!O136="OUI",1,Saisie!O136="NON",0)</f>
        <v>#N/A</v>
      </c>
      <c r="X136" s="63">
        <f>Saisie!P136</f>
        <v>0</v>
      </c>
      <c r="Y136" s="299">
        <f>Saisie!H136</f>
        <v>0</v>
      </c>
      <c r="Z136" s="58" t="e">
        <f>Saisie!#REF!</f>
        <v>#REF!</v>
      </c>
      <c r="AA136" s="299">
        <f>Saisie!Q136</f>
        <v>0</v>
      </c>
      <c r="AB136" s="63" t="e">
        <f t="array" ref="AB136">_xlfn.IFS(Saisie!R136="OUI",1,Saisie!R136="NON",0)</f>
        <v>#N/A</v>
      </c>
      <c r="AC136" s="63">
        <f>Saisie!S136</f>
        <v>0</v>
      </c>
      <c r="AD136" s="63" t="e">
        <f t="array" ref="AD136">_xlfn.IFS(Saisie!T136="OUI",1,Saisie!T136="NON",0)</f>
        <v>#N/A</v>
      </c>
      <c r="AE136" s="171">
        <f>Saisie!U136</f>
        <v>0</v>
      </c>
      <c r="AF136" s="262">
        <v>3</v>
      </c>
      <c r="AG136" s="129">
        <f>Saisie!W136</f>
        <v>0</v>
      </c>
      <c r="AH136" s="20">
        <f>Saisie!X136</f>
        <v>0</v>
      </c>
      <c r="AI136" s="21">
        <f>Saisie!Y136</f>
        <v>0</v>
      </c>
      <c r="AJ136" s="59">
        <f>Saisie!Z136</f>
        <v>0</v>
      </c>
      <c r="AK136" s="20">
        <f>Saisie!AA136</f>
        <v>0</v>
      </c>
      <c r="AL136" s="21">
        <f>Saisie!AB136</f>
        <v>0</v>
      </c>
      <c r="AM136" s="59">
        <f>Saisie!AC136</f>
        <v>0</v>
      </c>
      <c r="AN136" s="20">
        <f>Saisie!AD136</f>
        <v>0</v>
      </c>
      <c r="AO136" s="21">
        <f>Saisie!AE136</f>
        <v>0</v>
      </c>
      <c r="AP136" s="59">
        <f>Saisie!AF136</f>
        <v>0</v>
      </c>
      <c r="AQ136" s="129" t="e">
        <f t="array" ref="AQ136">_xlfn.IFS(Saisie!AG136="OUI",1,Saisie!AG136="NON",0)</f>
        <v>#N/A</v>
      </c>
      <c r="AR136" s="129" t="e">
        <f t="array" ref="AR136">_xlfn.IFS(Saisie!AH136="OUI",1,Saisie!AH136="NON",0)</f>
        <v>#N/A</v>
      </c>
      <c r="AS136" s="171">
        <f>Saisie!AI136</f>
        <v>0</v>
      </c>
      <c r="AT136" s="263" t="e">
        <f t="array" ref="AT136">_xlfn.IFS(Saisie!AJ136="OUI",1,Saisie!AJ136="NON",0)</f>
        <v>#N/A</v>
      </c>
      <c r="AU136" s="173">
        <f>Saisie!AK136</f>
        <v>0</v>
      </c>
      <c r="AV136" s="263" t="e">
        <f t="array" ref="AV136">_xlfn.IFS(Saisie!AL136="OUI",1,Saisie!AL136="NON",0)</f>
        <v>#N/A</v>
      </c>
      <c r="AW136" s="171">
        <f>Saisie!AM136</f>
        <v>0</v>
      </c>
      <c r="AX136" s="68">
        <f>Saisie!AN136</f>
        <v>0</v>
      </c>
      <c r="AY136" s="20">
        <f>Saisie!AO136</f>
        <v>0</v>
      </c>
      <c r="AZ136" s="21">
        <f>Saisie!AP136</f>
        <v>0</v>
      </c>
      <c r="BA136" s="298">
        <f>Saisie!AQ136</f>
        <v>0</v>
      </c>
      <c r="BB136" s="170">
        <f>Saisie!AR136</f>
        <v>0</v>
      </c>
      <c r="BC136" s="174">
        <f>Saisie!AS136</f>
        <v>0</v>
      </c>
      <c r="BD136" s="61">
        <f>Saisie!AT136</f>
        <v>0</v>
      </c>
      <c r="BE136" s="175" t="e">
        <f t="array" ref="BE136">_xlfn.IFS(Saisie!AU136="OUI",1,Saisie!AU136="NON",0)</f>
        <v>#N/A</v>
      </c>
      <c r="BF136" s="267">
        <f>Saisie!AV136</f>
        <v>0</v>
      </c>
      <c r="BG136" s="55">
        <f>Saisie!AW136</f>
        <v>0</v>
      </c>
      <c r="BH136" s="55" t="e">
        <f t="array" ref="BH136">_xlfn.IFS(Saisie!AX136="OUI",1,Saisie!AX136="NON",0)</f>
        <v>#N/A</v>
      </c>
      <c r="BI136" s="62">
        <f>Saisie!AY136</f>
        <v>0</v>
      </c>
      <c r="BJ136" s="55" t="e">
        <f t="array" ref="BJ136">_xlfn.IFS(Saisie!AZ136="OUI",1,Saisie!AZ136="NON",0)</f>
        <v>#N/A</v>
      </c>
      <c r="BK136" s="55" t="e">
        <f t="array" ref="BK136">_xlfn.IFS(Saisie!BA136="OUI",1,Saisie!BA136="NON",0)</f>
        <v>#N/A</v>
      </c>
      <c r="BL136" s="55">
        <f>Saisie!BB136</f>
        <v>0</v>
      </c>
      <c r="BM136" s="49" t="e">
        <f>Saisie!BC136</f>
        <v>#REF!</v>
      </c>
      <c r="BN136" s="175"/>
    </row>
    <row r="137" spans="1:66" s="176" customFormat="1" x14ac:dyDescent="0.45">
      <c r="A137" s="13">
        <v>131</v>
      </c>
      <c r="B137" s="150">
        <f>Saisie!B137</f>
        <v>0</v>
      </c>
      <c r="C137" s="150">
        <f>Saisie!C137</f>
        <v>0</v>
      </c>
      <c r="D137" s="150">
        <f>Saisie!D137</f>
        <v>0</v>
      </c>
      <c r="E137" s="150">
        <f>Saisie!E137</f>
        <v>0</v>
      </c>
      <c r="F137" s="150">
        <f>Saisie!F137</f>
        <v>0</v>
      </c>
      <c r="G137" s="150">
        <f>Saisie!G137</f>
        <v>0</v>
      </c>
      <c r="H137" s="150">
        <f>Saisie!I137</f>
        <v>0</v>
      </c>
      <c r="I137" s="150">
        <f>Saisie!J137</f>
        <v>0</v>
      </c>
      <c r="J137" s="150">
        <f>Saisie!K137</f>
        <v>0</v>
      </c>
      <c r="K137" s="150">
        <f>Saisie!L137</f>
        <v>0</v>
      </c>
      <c r="L137" s="150" t="e">
        <f>Saisie!#REF!</f>
        <v>#REF!</v>
      </c>
      <c r="M137" s="55" t="e">
        <f t="array" ref="M137">_xlfn.IFS(Saisie!M137="OUI",1,Saisie!M137="NON",0)</f>
        <v>#N/A</v>
      </c>
      <c r="N137" s="64" t="e">
        <f>Saisie!#REF!</f>
        <v>#REF!</v>
      </c>
      <c r="O137" s="63" t="e">
        <f>Saisie!#REF!</f>
        <v>#REF!</v>
      </c>
      <c r="P137" s="63">
        <f>Saisie!N137</f>
        <v>0</v>
      </c>
      <c r="Q137" s="63" t="e">
        <f t="array" ref="Q137">_xlfn.IFS(Saisie!#REF!="OUI",1,Saisie!#REF!="NON",0)</f>
        <v>#REF!</v>
      </c>
      <c r="R137" s="63" t="e">
        <f>Saisie!#REF!</f>
        <v>#REF!</v>
      </c>
      <c r="S137" s="65" t="e">
        <f>Saisie!#REF!</f>
        <v>#REF!</v>
      </c>
      <c r="T137" s="63" t="e">
        <f>Saisie!#REF!</f>
        <v>#REF!</v>
      </c>
      <c r="U137" s="63" t="e">
        <f>Saisie!#REF!</f>
        <v>#REF!</v>
      </c>
      <c r="V137" s="63" t="e">
        <f t="array" ref="V137">_xlfn.IFS(Saisie!#REF!="OUI",1,Saisie!#REF!="NON",0)</f>
        <v>#REF!</v>
      </c>
      <c r="W137" s="63" t="e">
        <f t="array" ref="W137">_xlfn.IFS(Saisie!O137="OUI",1,Saisie!O137="NON",0)</f>
        <v>#N/A</v>
      </c>
      <c r="X137" s="63">
        <f>Saisie!P137</f>
        <v>0</v>
      </c>
      <c r="Y137" s="299">
        <f>Saisie!H137</f>
        <v>0</v>
      </c>
      <c r="Z137" s="58" t="e">
        <f>Saisie!#REF!</f>
        <v>#REF!</v>
      </c>
      <c r="AA137" s="299">
        <f>Saisie!Q137</f>
        <v>0</v>
      </c>
      <c r="AB137" s="63" t="e">
        <f t="array" ref="AB137">_xlfn.IFS(Saisie!R137="OUI",1,Saisie!R137="NON",0)</f>
        <v>#N/A</v>
      </c>
      <c r="AC137" s="63">
        <f>Saisie!S137</f>
        <v>0</v>
      </c>
      <c r="AD137" s="63" t="e">
        <f t="array" ref="AD137">_xlfn.IFS(Saisie!T137="OUI",1,Saisie!T137="NON",0)</f>
        <v>#N/A</v>
      </c>
      <c r="AE137" s="171">
        <f>Saisie!U137</f>
        <v>0</v>
      </c>
      <c r="AF137" s="262" t="s">
        <v>148</v>
      </c>
      <c r="AG137" s="129">
        <f>Saisie!W137</f>
        <v>0</v>
      </c>
      <c r="AH137" s="20">
        <f>Saisie!X137</f>
        <v>0</v>
      </c>
      <c r="AI137" s="21">
        <f>Saisie!Y137</f>
        <v>0</v>
      </c>
      <c r="AJ137" s="59">
        <f>Saisie!Z137</f>
        <v>0</v>
      </c>
      <c r="AK137" s="20">
        <f>Saisie!AA137</f>
        <v>0</v>
      </c>
      <c r="AL137" s="21">
        <f>Saisie!AB137</f>
        <v>0</v>
      </c>
      <c r="AM137" s="59">
        <f>Saisie!AC137</f>
        <v>0</v>
      </c>
      <c r="AN137" s="20">
        <f>Saisie!AD137</f>
        <v>0</v>
      </c>
      <c r="AO137" s="21">
        <f>Saisie!AE137</f>
        <v>0</v>
      </c>
      <c r="AP137" s="59">
        <f>Saisie!AF137</f>
        <v>0</v>
      </c>
      <c r="AQ137" s="129" t="e">
        <f t="array" ref="AQ137">_xlfn.IFS(Saisie!AG137="OUI",1,Saisie!AG137="NON",0)</f>
        <v>#N/A</v>
      </c>
      <c r="AR137" s="129" t="e">
        <f t="array" ref="AR137">_xlfn.IFS(Saisie!AH137="OUI",1,Saisie!AH137="NON",0)</f>
        <v>#N/A</v>
      </c>
      <c r="AS137" s="171">
        <f>Saisie!AI137</f>
        <v>0</v>
      </c>
      <c r="AT137" s="263" t="e">
        <f t="array" ref="AT137">_xlfn.IFS(Saisie!AJ137="OUI",1,Saisie!AJ137="NON",0)</f>
        <v>#N/A</v>
      </c>
      <c r="AU137" s="173">
        <f>Saisie!AK137</f>
        <v>0</v>
      </c>
      <c r="AV137" s="263" t="e">
        <f t="array" ref="AV137">_xlfn.IFS(Saisie!AL137="OUI",1,Saisie!AL137="NON",0)</f>
        <v>#N/A</v>
      </c>
      <c r="AW137" s="171">
        <f>Saisie!AM137</f>
        <v>0</v>
      </c>
      <c r="AX137" s="68">
        <f>Saisie!AN137</f>
        <v>0</v>
      </c>
      <c r="AY137" s="20">
        <f>Saisie!AO137</f>
        <v>0</v>
      </c>
      <c r="AZ137" s="21">
        <f>Saisie!AP137</f>
        <v>0</v>
      </c>
      <c r="BA137" s="298">
        <f>Saisie!AQ137</f>
        <v>0</v>
      </c>
      <c r="BB137" s="170">
        <f>Saisie!AR137</f>
        <v>0</v>
      </c>
      <c r="BC137" s="174">
        <f>Saisie!AS137</f>
        <v>0</v>
      </c>
      <c r="BD137" s="61">
        <f>Saisie!AT137</f>
        <v>0</v>
      </c>
      <c r="BE137" s="175" t="e">
        <f t="array" ref="BE137">_xlfn.IFS(Saisie!AU137="OUI",1,Saisie!AU137="NON",0)</f>
        <v>#N/A</v>
      </c>
      <c r="BF137" s="267">
        <f>Saisie!AV137</f>
        <v>0</v>
      </c>
      <c r="BG137" s="55">
        <f>Saisie!AW137</f>
        <v>0</v>
      </c>
      <c r="BH137" s="55" t="e">
        <f t="array" ref="BH137">_xlfn.IFS(Saisie!AX137="OUI",1,Saisie!AX137="NON",0)</f>
        <v>#N/A</v>
      </c>
      <c r="BI137" s="62">
        <f>Saisie!AY137</f>
        <v>0</v>
      </c>
      <c r="BJ137" s="55" t="e">
        <f t="array" ref="BJ137">_xlfn.IFS(Saisie!AZ137="OUI",1,Saisie!AZ137="NON",0)</f>
        <v>#N/A</v>
      </c>
      <c r="BK137" s="55" t="e">
        <f t="array" ref="BK137">_xlfn.IFS(Saisie!BA137="OUI",1,Saisie!BA137="NON",0)</f>
        <v>#N/A</v>
      </c>
      <c r="BL137" s="55">
        <f>Saisie!BB137</f>
        <v>0</v>
      </c>
      <c r="BM137" s="49" t="e">
        <f>Saisie!BC137</f>
        <v>#REF!</v>
      </c>
      <c r="BN137" s="175"/>
    </row>
    <row r="138" spans="1:66" s="176" customFormat="1" x14ac:dyDescent="0.45">
      <c r="A138" s="13">
        <v>132</v>
      </c>
      <c r="B138" s="150">
        <f>Saisie!B138</f>
        <v>0</v>
      </c>
      <c r="C138" s="150">
        <f>Saisie!C138</f>
        <v>0</v>
      </c>
      <c r="D138" s="150">
        <f>Saisie!D138</f>
        <v>0</v>
      </c>
      <c r="E138" s="150">
        <f>Saisie!E138</f>
        <v>0</v>
      </c>
      <c r="F138" s="150">
        <f>Saisie!F138</f>
        <v>0</v>
      </c>
      <c r="G138" s="150">
        <f>Saisie!G138</f>
        <v>0</v>
      </c>
      <c r="H138" s="150">
        <f>Saisie!I138</f>
        <v>0</v>
      </c>
      <c r="I138" s="150">
        <f>Saisie!J138</f>
        <v>0</v>
      </c>
      <c r="J138" s="150">
        <f>Saisie!K138</f>
        <v>0</v>
      </c>
      <c r="K138" s="150">
        <f>Saisie!L138</f>
        <v>0</v>
      </c>
      <c r="L138" s="150" t="e">
        <f>Saisie!#REF!</f>
        <v>#REF!</v>
      </c>
      <c r="M138" s="55" t="e">
        <f t="array" ref="M138">_xlfn.IFS(Saisie!M138="OUI",1,Saisie!M138="NON",0)</f>
        <v>#N/A</v>
      </c>
      <c r="N138" s="64" t="e">
        <f>Saisie!#REF!</f>
        <v>#REF!</v>
      </c>
      <c r="O138" s="63" t="e">
        <f>Saisie!#REF!</f>
        <v>#REF!</v>
      </c>
      <c r="P138" s="63">
        <f>Saisie!N138</f>
        <v>0</v>
      </c>
      <c r="Q138" s="63" t="e">
        <f t="array" ref="Q138">_xlfn.IFS(Saisie!#REF!="OUI",1,Saisie!#REF!="NON",0)</f>
        <v>#REF!</v>
      </c>
      <c r="R138" s="63" t="e">
        <f>Saisie!#REF!</f>
        <v>#REF!</v>
      </c>
      <c r="S138" s="65" t="e">
        <f>Saisie!#REF!</f>
        <v>#REF!</v>
      </c>
      <c r="T138" s="63" t="e">
        <f>Saisie!#REF!</f>
        <v>#REF!</v>
      </c>
      <c r="U138" s="63" t="e">
        <f>Saisie!#REF!</f>
        <v>#REF!</v>
      </c>
      <c r="V138" s="63" t="e">
        <f t="array" ref="V138">_xlfn.IFS(Saisie!#REF!="OUI",1,Saisie!#REF!="NON",0)</f>
        <v>#REF!</v>
      </c>
      <c r="W138" s="63" t="e">
        <f t="array" ref="W138">_xlfn.IFS(Saisie!O138="OUI",1,Saisie!O138="NON",0)</f>
        <v>#N/A</v>
      </c>
      <c r="X138" s="63">
        <f>Saisie!P138</f>
        <v>0</v>
      </c>
      <c r="Y138" s="299">
        <f>Saisie!H138</f>
        <v>0</v>
      </c>
      <c r="Z138" s="58" t="e">
        <f>Saisie!#REF!</f>
        <v>#REF!</v>
      </c>
      <c r="AA138" s="299">
        <f>Saisie!Q138</f>
        <v>0</v>
      </c>
      <c r="AB138" s="63" t="e">
        <f t="array" ref="AB138">_xlfn.IFS(Saisie!R138="OUI",1,Saisie!R138="NON",0)</f>
        <v>#N/A</v>
      </c>
      <c r="AC138" s="63">
        <f>Saisie!S138</f>
        <v>0</v>
      </c>
      <c r="AD138" s="63" t="e">
        <f t="array" ref="AD138">_xlfn.IFS(Saisie!T138="OUI",1,Saisie!T138="NON",0)</f>
        <v>#N/A</v>
      </c>
      <c r="AE138" s="171">
        <f>Saisie!U138</f>
        <v>0</v>
      </c>
      <c r="AF138" s="262">
        <v>3</v>
      </c>
      <c r="AG138" s="129">
        <f>Saisie!W138</f>
        <v>0</v>
      </c>
      <c r="AH138" s="20">
        <f>Saisie!X138</f>
        <v>0</v>
      </c>
      <c r="AI138" s="21">
        <f>Saisie!Y138</f>
        <v>0</v>
      </c>
      <c r="AJ138" s="59">
        <f>Saisie!Z138</f>
        <v>0</v>
      </c>
      <c r="AK138" s="20">
        <f>Saisie!AA138</f>
        <v>0</v>
      </c>
      <c r="AL138" s="21">
        <f>Saisie!AB138</f>
        <v>0</v>
      </c>
      <c r="AM138" s="59">
        <f>Saisie!AC138</f>
        <v>0</v>
      </c>
      <c r="AN138" s="20">
        <f>Saisie!AD138</f>
        <v>0</v>
      </c>
      <c r="AO138" s="21">
        <f>Saisie!AE138</f>
        <v>0</v>
      </c>
      <c r="AP138" s="59">
        <f>Saisie!AF138</f>
        <v>0</v>
      </c>
      <c r="AQ138" s="129" t="e">
        <f t="array" ref="AQ138">_xlfn.IFS(Saisie!AG138="OUI",1,Saisie!AG138="NON",0)</f>
        <v>#N/A</v>
      </c>
      <c r="AR138" s="129" t="e">
        <f t="array" ref="AR138">_xlfn.IFS(Saisie!AH138="OUI",1,Saisie!AH138="NON",0)</f>
        <v>#N/A</v>
      </c>
      <c r="AS138" s="171">
        <f>Saisie!AI138</f>
        <v>0</v>
      </c>
      <c r="AT138" s="263" t="e">
        <f t="array" ref="AT138">_xlfn.IFS(Saisie!AJ138="OUI",1,Saisie!AJ138="NON",0)</f>
        <v>#N/A</v>
      </c>
      <c r="AU138" s="173">
        <f>Saisie!AK138</f>
        <v>0</v>
      </c>
      <c r="AV138" s="263" t="e">
        <f t="array" ref="AV138">_xlfn.IFS(Saisie!AL138="OUI",1,Saisie!AL138="NON",0)</f>
        <v>#N/A</v>
      </c>
      <c r="AW138" s="171">
        <f>Saisie!AM138</f>
        <v>0</v>
      </c>
      <c r="AX138" s="68">
        <f>Saisie!AN138</f>
        <v>0</v>
      </c>
      <c r="AY138" s="20">
        <f>Saisie!AO138</f>
        <v>0</v>
      </c>
      <c r="AZ138" s="21">
        <f>Saisie!AP138</f>
        <v>0</v>
      </c>
      <c r="BA138" s="298">
        <f>Saisie!AQ138</f>
        <v>0</v>
      </c>
      <c r="BB138" s="170">
        <f>Saisie!AR138</f>
        <v>0</v>
      </c>
      <c r="BC138" s="174">
        <f>Saisie!AS138</f>
        <v>0</v>
      </c>
      <c r="BD138" s="61">
        <f>Saisie!AT138</f>
        <v>0</v>
      </c>
      <c r="BE138" s="175" t="e">
        <f t="array" ref="BE138">_xlfn.IFS(Saisie!AU138="OUI",1,Saisie!AU138="NON",0)</f>
        <v>#N/A</v>
      </c>
      <c r="BF138" s="267">
        <f>Saisie!AV138</f>
        <v>0</v>
      </c>
      <c r="BG138" s="55">
        <f>Saisie!AW138</f>
        <v>0</v>
      </c>
      <c r="BH138" s="55" t="e">
        <f t="array" ref="BH138">_xlfn.IFS(Saisie!AX138="OUI",1,Saisie!AX138="NON",0)</f>
        <v>#N/A</v>
      </c>
      <c r="BI138" s="62">
        <f>Saisie!AY138</f>
        <v>0</v>
      </c>
      <c r="BJ138" s="55" t="e">
        <f t="array" ref="BJ138">_xlfn.IFS(Saisie!AZ138="OUI",1,Saisie!AZ138="NON",0)</f>
        <v>#N/A</v>
      </c>
      <c r="BK138" s="55" t="e">
        <f t="array" ref="BK138">_xlfn.IFS(Saisie!BA138="OUI",1,Saisie!BA138="NON",0)</f>
        <v>#N/A</v>
      </c>
      <c r="BL138" s="55">
        <f>Saisie!BB138</f>
        <v>0</v>
      </c>
      <c r="BM138" s="49" t="e">
        <f>Saisie!BC138</f>
        <v>#REF!</v>
      </c>
      <c r="BN138" s="175"/>
    </row>
    <row r="139" spans="1:66" s="176" customFormat="1" x14ac:dyDescent="0.45">
      <c r="A139" s="12">
        <v>133</v>
      </c>
      <c r="B139" s="150">
        <f>Saisie!B139</f>
        <v>0</v>
      </c>
      <c r="C139" s="150">
        <f>Saisie!C139</f>
        <v>0</v>
      </c>
      <c r="D139" s="150">
        <f>Saisie!D139</f>
        <v>0</v>
      </c>
      <c r="E139" s="150">
        <f>Saisie!E139</f>
        <v>0</v>
      </c>
      <c r="F139" s="150">
        <f>Saisie!F139</f>
        <v>0</v>
      </c>
      <c r="G139" s="150">
        <f>Saisie!G139</f>
        <v>0</v>
      </c>
      <c r="H139" s="150">
        <f>Saisie!I139</f>
        <v>0</v>
      </c>
      <c r="I139" s="150">
        <f>Saisie!J139</f>
        <v>0</v>
      </c>
      <c r="J139" s="150">
        <f>Saisie!K139</f>
        <v>0</v>
      </c>
      <c r="K139" s="150">
        <f>Saisie!L139</f>
        <v>0</v>
      </c>
      <c r="L139" s="150" t="e">
        <f>Saisie!#REF!</f>
        <v>#REF!</v>
      </c>
      <c r="M139" s="55" t="e">
        <f t="array" ref="M139">_xlfn.IFS(Saisie!M139="OUI",1,Saisie!M139="NON",0)</f>
        <v>#N/A</v>
      </c>
      <c r="N139" s="64" t="e">
        <f>Saisie!#REF!</f>
        <v>#REF!</v>
      </c>
      <c r="O139" s="63" t="e">
        <f>Saisie!#REF!</f>
        <v>#REF!</v>
      </c>
      <c r="P139" s="63">
        <f>Saisie!N139</f>
        <v>0</v>
      </c>
      <c r="Q139" s="63" t="e">
        <f t="array" ref="Q139">_xlfn.IFS(Saisie!#REF!="OUI",1,Saisie!#REF!="NON",0)</f>
        <v>#REF!</v>
      </c>
      <c r="R139" s="63" t="e">
        <f>Saisie!#REF!</f>
        <v>#REF!</v>
      </c>
      <c r="S139" s="65" t="e">
        <f>Saisie!#REF!</f>
        <v>#REF!</v>
      </c>
      <c r="T139" s="63" t="e">
        <f>Saisie!#REF!</f>
        <v>#REF!</v>
      </c>
      <c r="U139" s="63" t="e">
        <f>Saisie!#REF!</f>
        <v>#REF!</v>
      </c>
      <c r="V139" s="63" t="e">
        <f t="array" ref="V139">_xlfn.IFS(Saisie!#REF!="OUI",1,Saisie!#REF!="NON",0)</f>
        <v>#REF!</v>
      </c>
      <c r="W139" s="63" t="e">
        <f t="array" ref="W139">_xlfn.IFS(Saisie!O139="OUI",1,Saisie!O139="NON",0)</f>
        <v>#N/A</v>
      </c>
      <c r="X139" s="63">
        <f>Saisie!P139</f>
        <v>0</v>
      </c>
      <c r="Y139" s="299">
        <f>Saisie!H139</f>
        <v>0</v>
      </c>
      <c r="Z139" s="58" t="e">
        <f>Saisie!#REF!</f>
        <v>#REF!</v>
      </c>
      <c r="AA139" s="299">
        <f>Saisie!Q139</f>
        <v>0</v>
      </c>
      <c r="AB139" s="63" t="e">
        <f t="array" ref="AB139">_xlfn.IFS(Saisie!R139="OUI",1,Saisie!R139="NON",0)</f>
        <v>#N/A</v>
      </c>
      <c r="AC139" s="63">
        <f>Saisie!S139</f>
        <v>0</v>
      </c>
      <c r="AD139" s="63" t="e">
        <f t="array" ref="AD139">_xlfn.IFS(Saisie!T139="OUI",1,Saisie!T139="NON",0)</f>
        <v>#N/A</v>
      </c>
      <c r="AE139" s="171">
        <f>Saisie!U139</f>
        <v>0</v>
      </c>
      <c r="AF139" s="262">
        <v>3</v>
      </c>
      <c r="AG139" s="129">
        <f>Saisie!W139</f>
        <v>0</v>
      </c>
      <c r="AH139" s="20">
        <f>Saisie!X139</f>
        <v>0</v>
      </c>
      <c r="AI139" s="21">
        <f>Saisie!Y139</f>
        <v>0</v>
      </c>
      <c r="AJ139" s="59">
        <f>Saisie!Z139</f>
        <v>0</v>
      </c>
      <c r="AK139" s="20">
        <f>Saisie!AA139</f>
        <v>0</v>
      </c>
      <c r="AL139" s="21">
        <f>Saisie!AB139</f>
        <v>0</v>
      </c>
      <c r="AM139" s="59">
        <f>Saisie!AC139</f>
        <v>0</v>
      </c>
      <c r="AN139" s="20">
        <f>Saisie!AD139</f>
        <v>0</v>
      </c>
      <c r="AO139" s="21">
        <f>Saisie!AE139</f>
        <v>0</v>
      </c>
      <c r="AP139" s="59">
        <f>Saisie!AF139</f>
        <v>0</v>
      </c>
      <c r="AQ139" s="129" t="e">
        <f t="array" ref="AQ139">_xlfn.IFS(Saisie!AG139="OUI",1,Saisie!AG139="NON",0)</f>
        <v>#N/A</v>
      </c>
      <c r="AR139" s="129" t="e">
        <f t="array" ref="AR139">_xlfn.IFS(Saisie!AH139="OUI",1,Saisie!AH139="NON",0)</f>
        <v>#N/A</v>
      </c>
      <c r="AS139" s="171">
        <f>Saisie!AI139</f>
        <v>0</v>
      </c>
      <c r="AT139" s="263" t="e">
        <f t="array" ref="AT139">_xlfn.IFS(Saisie!AJ139="OUI",1,Saisie!AJ139="NON",0)</f>
        <v>#N/A</v>
      </c>
      <c r="AU139" s="173">
        <f>Saisie!AK139</f>
        <v>0</v>
      </c>
      <c r="AV139" s="263" t="e">
        <f t="array" ref="AV139">_xlfn.IFS(Saisie!AL139="OUI",1,Saisie!AL139="NON",0)</f>
        <v>#N/A</v>
      </c>
      <c r="AW139" s="171">
        <f>Saisie!AM139</f>
        <v>0</v>
      </c>
      <c r="AX139" s="68">
        <f>Saisie!AN139</f>
        <v>0</v>
      </c>
      <c r="AY139" s="20">
        <f>Saisie!AO139</f>
        <v>0</v>
      </c>
      <c r="AZ139" s="21">
        <f>Saisie!AP139</f>
        <v>0</v>
      </c>
      <c r="BA139" s="298">
        <f>Saisie!AQ139</f>
        <v>0</v>
      </c>
      <c r="BB139" s="170">
        <f>Saisie!AR139</f>
        <v>0</v>
      </c>
      <c r="BC139" s="174">
        <f>Saisie!AS139</f>
        <v>0</v>
      </c>
      <c r="BD139" s="61">
        <f>Saisie!AT139</f>
        <v>0</v>
      </c>
      <c r="BE139" s="175" t="e">
        <f t="array" ref="BE139">_xlfn.IFS(Saisie!AU139="OUI",1,Saisie!AU139="NON",0)</f>
        <v>#N/A</v>
      </c>
      <c r="BF139" s="267">
        <f>Saisie!AV139</f>
        <v>0</v>
      </c>
      <c r="BG139" s="55">
        <f>Saisie!AW139</f>
        <v>0</v>
      </c>
      <c r="BH139" s="55" t="e">
        <f t="array" ref="BH139">_xlfn.IFS(Saisie!AX139="OUI",1,Saisie!AX139="NON",0)</f>
        <v>#N/A</v>
      </c>
      <c r="BI139" s="62">
        <f>Saisie!AY139</f>
        <v>0</v>
      </c>
      <c r="BJ139" s="55" t="e">
        <f t="array" ref="BJ139">_xlfn.IFS(Saisie!AZ139="OUI",1,Saisie!AZ139="NON",0)</f>
        <v>#N/A</v>
      </c>
      <c r="BK139" s="55" t="e">
        <f t="array" ref="BK139">_xlfn.IFS(Saisie!BA139="OUI",1,Saisie!BA139="NON",0)</f>
        <v>#N/A</v>
      </c>
      <c r="BL139" s="55">
        <f>Saisie!BB139</f>
        <v>0</v>
      </c>
      <c r="BM139" s="49" t="e">
        <f>Saisie!BC139</f>
        <v>#REF!</v>
      </c>
      <c r="BN139" s="175"/>
    </row>
    <row r="140" spans="1:66" s="176" customFormat="1" x14ac:dyDescent="0.45">
      <c r="A140" s="13">
        <v>134</v>
      </c>
      <c r="B140" s="150">
        <f>Saisie!B140</f>
        <v>0</v>
      </c>
      <c r="C140" s="150">
        <f>Saisie!C140</f>
        <v>0</v>
      </c>
      <c r="D140" s="150">
        <f>Saisie!D140</f>
        <v>0</v>
      </c>
      <c r="E140" s="150">
        <f>Saisie!E140</f>
        <v>0</v>
      </c>
      <c r="F140" s="150">
        <f>Saisie!F140</f>
        <v>0</v>
      </c>
      <c r="G140" s="150">
        <f>Saisie!G140</f>
        <v>0</v>
      </c>
      <c r="H140" s="150">
        <f>Saisie!I140</f>
        <v>0</v>
      </c>
      <c r="I140" s="150">
        <f>Saisie!J140</f>
        <v>0</v>
      </c>
      <c r="J140" s="150">
        <f>Saisie!K140</f>
        <v>0</v>
      </c>
      <c r="K140" s="150">
        <f>Saisie!L140</f>
        <v>0</v>
      </c>
      <c r="L140" s="150" t="e">
        <f>Saisie!#REF!</f>
        <v>#REF!</v>
      </c>
      <c r="M140" s="55" t="e">
        <f t="array" ref="M140">_xlfn.IFS(Saisie!M140="OUI",1,Saisie!M140="NON",0)</f>
        <v>#N/A</v>
      </c>
      <c r="N140" s="64" t="e">
        <f>Saisie!#REF!</f>
        <v>#REF!</v>
      </c>
      <c r="O140" s="63" t="e">
        <f>Saisie!#REF!</f>
        <v>#REF!</v>
      </c>
      <c r="P140" s="63">
        <f>Saisie!N140</f>
        <v>0</v>
      </c>
      <c r="Q140" s="63" t="e">
        <f t="array" ref="Q140">_xlfn.IFS(Saisie!#REF!="OUI",1,Saisie!#REF!="NON",0)</f>
        <v>#REF!</v>
      </c>
      <c r="R140" s="63" t="e">
        <f>Saisie!#REF!</f>
        <v>#REF!</v>
      </c>
      <c r="S140" s="65" t="e">
        <f>Saisie!#REF!</f>
        <v>#REF!</v>
      </c>
      <c r="T140" s="63" t="e">
        <f>Saisie!#REF!</f>
        <v>#REF!</v>
      </c>
      <c r="U140" s="63" t="e">
        <f>Saisie!#REF!</f>
        <v>#REF!</v>
      </c>
      <c r="V140" s="63" t="e">
        <f t="array" ref="V140">_xlfn.IFS(Saisie!#REF!="OUI",1,Saisie!#REF!="NON",0)</f>
        <v>#REF!</v>
      </c>
      <c r="W140" s="63" t="e">
        <f t="array" ref="W140">_xlfn.IFS(Saisie!O140="OUI",1,Saisie!O140="NON",0)</f>
        <v>#N/A</v>
      </c>
      <c r="X140" s="63">
        <f>Saisie!P140</f>
        <v>0</v>
      </c>
      <c r="Y140" s="299">
        <f>Saisie!H140</f>
        <v>0</v>
      </c>
      <c r="Z140" s="58" t="e">
        <f>Saisie!#REF!</f>
        <v>#REF!</v>
      </c>
      <c r="AA140" s="299">
        <f>Saisie!Q140</f>
        <v>0</v>
      </c>
      <c r="AB140" s="63" t="e">
        <f t="array" ref="AB140">_xlfn.IFS(Saisie!R140="OUI",1,Saisie!R140="NON",0)</f>
        <v>#N/A</v>
      </c>
      <c r="AC140" s="63">
        <f>Saisie!S140</f>
        <v>0</v>
      </c>
      <c r="AD140" s="63" t="e">
        <f t="array" ref="AD140">_xlfn.IFS(Saisie!T140="OUI",1,Saisie!T140="NON",0)</f>
        <v>#N/A</v>
      </c>
      <c r="AE140" s="171">
        <f>Saisie!U140</f>
        <v>0</v>
      </c>
      <c r="AF140" s="262">
        <v>3</v>
      </c>
      <c r="AG140" s="129">
        <f>Saisie!W140</f>
        <v>0</v>
      </c>
      <c r="AH140" s="20">
        <f>Saisie!X140</f>
        <v>0</v>
      </c>
      <c r="AI140" s="21">
        <f>Saisie!Y140</f>
        <v>0</v>
      </c>
      <c r="AJ140" s="59">
        <f>Saisie!Z140</f>
        <v>0</v>
      </c>
      <c r="AK140" s="20">
        <f>Saisie!AA140</f>
        <v>0</v>
      </c>
      <c r="AL140" s="21">
        <f>Saisie!AB140</f>
        <v>0</v>
      </c>
      <c r="AM140" s="59">
        <f>Saisie!AC140</f>
        <v>0</v>
      </c>
      <c r="AN140" s="20">
        <f>Saisie!AD140</f>
        <v>0</v>
      </c>
      <c r="AO140" s="21">
        <f>Saisie!AE140</f>
        <v>0</v>
      </c>
      <c r="AP140" s="59">
        <f>Saisie!AF140</f>
        <v>0</v>
      </c>
      <c r="AQ140" s="129" t="e">
        <f t="array" ref="AQ140">_xlfn.IFS(Saisie!AG140="OUI",1,Saisie!AG140="NON",0)</f>
        <v>#N/A</v>
      </c>
      <c r="AR140" s="129" t="e">
        <f t="array" ref="AR140">_xlfn.IFS(Saisie!AH140="OUI",1,Saisie!AH140="NON",0)</f>
        <v>#N/A</v>
      </c>
      <c r="AS140" s="171">
        <f>Saisie!AI140</f>
        <v>0</v>
      </c>
      <c r="AT140" s="263" t="e">
        <f t="array" ref="AT140">_xlfn.IFS(Saisie!AJ140="OUI",1,Saisie!AJ140="NON",0)</f>
        <v>#N/A</v>
      </c>
      <c r="AU140" s="173">
        <f>Saisie!AK140</f>
        <v>0</v>
      </c>
      <c r="AV140" s="263" t="e">
        <f t="array" ref="AV140">_xlfn.IFS(Saisie!AL140="OUI",1,Saisie!AL140="NON",0)</f>
        <v>#N/A</v>
      </c>
      <c r="AW140" s="171">
        <f>Saisie!AM140</f>
        <v>0</v>
      </c>
      <c r="AX140" s="68">
        <f>Saisie!AN140</f>
        <v>0</v>
      </c>
      <c r="AY140" s="20">
        <f>Saisie!AO140</f>
        <v>0</v>
      </c>
      <c r="AZ140" s="21">
        <f>Saisie!AP140</f>
        <v>0</v>
      </c>
      <c r="BA140" s="298">
        <f>Saisie!AQ140</f>
        <v>0</v>
      </c>
      <c r="BB140" s="170">
        <f>Saisie!AR140</f>
        <v>0</v>
      </c>
      <c r="BC140" s="174">
        <f>Saisie!AS140</f>
        <v>0</v>
      </c>
      <c r="BD140" s="61">
        <f>Saisie!AT140</f>
        <v>0</v>
      </c>
      <c r="BE140" s="175" t="e">
        <f t="array" ref="BE140">_xlfn.IFS(Saisie!AU140="OUI",1,Saisie!AU140="NON",0)</f>
        <v>#N/A</v>
      </c>
      <c r="BF140" s="267">
        <f>Saisie!AV140</f>
        <v>0</v>
      </c>
      <c r="BG140" s="55">
        <f>Saisie!AW140</f>
        <v>0</v>
      </c>
      <c r="BH140" s="55" t="e">
        <f t="array" ref="BH140">_xlfn.IFS(Saisie!AX140="OUI",1,Saisie!AX140="NON",0)</f>
        <v>#N/A</v>
      </c>
      <c r="BI140" s="62">
        <f>Saisie!AY140</f>
        <v>0</v>
      </c>
      <c r="BJ140" s="55" t="e">
        <f t="array" ref="BJ140">_xlfn.IFS(Saisie!AZ140="OUI",1,Saisie!AZ140="NON",0)</f>
        <v>#N/A</v>
      </c>
      <c r="BK140" s="55" t="e">
        <f t="array" ref="BK140">_xlfn.IFS(Saisie!BA140="OUI",1,Saisie!BA140="NON",0)</f>
        <v>#N/A</v>
      </c>
      <c r="BL140" s="55">
        <f>Saisie!BB140</f>
        <v>0</v>
      </c>
      <c r="BM140" s="49" t="e">
        <f>Saisie!BC140</f>
        <v>#REF!</v>
      </c>
      <c r="BN140" s="175"/>
    </row>
    <row r="141" spans="1:66" s="176" customFormat="1" x14ac:dyDescent="0.45">
      <c r="A141" s="13">
        <v>135</v>
      </c>
      <c r="B141" s="150">
        <f>Saisie!B141</f>
        <v>0</v>
      </c>
      <c r="C141" s="150">
        <f>Saisie!C141</f>
        <v>0</v>
      </c>
      <c r="D141" s="150">
        <f>Saisie!D141</f>
        <v>0</v>
      </c>
      <c r="E141" s="150">
        <f>Saisie!E141</f>
        <v>0</v>
      </c>
      <c r="F141" s="150">
        <f>Saisie!F141</f>
        <v>0</v>
      </c>
      <c r="G141" s="150">
        <f>Saisie!G141</f>
        <v>0</v>
      </c>
      <c r="H141" s="150">
        <f>Saisie!I141</f>
        <v>0</v>
      </c>
      <c r="I141" s="150">
        <f>Saisie!J141</f>
        <v>0</v>
      </c>
      <c r="J141" s="150">
        <f>Saisie!K141</f>
        <v>0</v>
      </c>
      <c r="K141" s="150">
        <f>Saisie!L141</f>
        <v>0</v>
      </c>
      <c r="L141" s="150" t="e">
        <f>Saisie!#REF!</f>
        <v>#REF!</v>
      </c>
      <c r="M141" s="55" t="e">
        <f t="array" ref="M141">_xlfn.IFS(Saisie!M141="OUI",1,Saisie!M141="NON",0)</f>
        <v>#N/A</v>
      </c>
      <c r="N141" s="64" t="e">
        <f>Saisie!#REF!</f>
        <v>#REF!</v>
      </c>
      <c r="O141" s="63" t="e">
        <f>Saisie!#REF!</f>
        <v>#REF!</v>
      </c>
      <c r="P141" s="63">
        <f>Saisie!N141</f>
        <v>0</v>
      </c>
      <c r="Q141" s="63" t="e">
        <f t="array" ref="Q141">_xlfn.IFS(Saisie!#REF!="OUI",1,Saisie!#REF!="NON",0)</f>
        <v>#REF!</v>
      </c>
      <c r="R141" s="63" t="e">
        <f>Saisie!#REF!</f>
        <v>#REF!</v>
      </c>
      <c r="S141" s="65" t="e">
        <f>Saisie!#REF!</f>
        <v>#REF!</v>
      </c>
      <c r="T141" s="63" t="e">
        <f>Saisie!#REF!</f>
        <v>#REF!</v>
      </c>
      <c r="U141" s="63" t="e">
        <f>Saisie!#REF!</f>
        <v>#REF!</v>
      </c>
      <c r="V141" s="63" t="e">
        <f t="array" ref="V141">_xlfn.IFS(Saisie!#REF!="OUI",1,Saisie!#REF!="NON",0)</f>
        <v>#REF!</v>
      </c>
      <c r="W141" s="63" t="e">
        <f t="array" ref="W141">_xlfn.IFS(Saisie!O141="OUI",1,Saisie!O141="NON",0)</f>
        <v>#N/A</v>
      </c>
      <c r="X141" s="63">
        <f>Saisie!P141</f>
        <v>0</v>
      </c>
      <c r="Y141" s="299">
        <f>Saisie!H141</f>
        <v>0</v>
      </c>
      <c r="Z141" s="58" t="e">
        <f>Saisie!#REF!</f>
        <v>#REF!</v>
      </c>
      <c r="AA141" s="299">
        <f>Saisie!Q141</f>
        <v>0</v>
      </c>
      <c r="AB141" s="63" t="e">
        <f t="array" ref="AB141">_xlfn.IFS(Saisie!R141="OUI",1,Saisie!R141="NON",0)</f>
        <v>#N/A</v>
      </c>
      <c r="AC141" s="63">
        <f>Saisie!S141</f>
        <v>0</v>
      </c>
      <c r="AD141" s="63" t="e">
        <f t="array" ref="AD141">_xlfn.IFS(Saisie!T141="OUI",1,Saisie!T141="NON",0)</f>
        <v>#N/A</v>
      </c>
      <c r="AE141" s="171">
        <f>Saisie!U141</f>
        <v>0</v>
      </c>
      <c r="AF141" s="262">
        <v>3</v>
      </c>
      <c r="AG141" s="129">
        <f>Saisie!W141</f>
        <v>0</v>
      </c>
      <c r="AH141" s="20">
        <f>Saisie!X141</f>
        <v>0</v>
      </c>
      <c r="AI141" s="21">
        <f>Saisie!Y141</f>
        <v>0</v>
      </c>
      <c r="AJ141" s="59">
        <f>Saisie!Z141</f>
        <v>0</v>
      </c>
      <c r="AK141" s="20">
        <f>Saisie!AA141</f>
        <v>0</v>
      </c>
      <c r="AL141" s="21">
        <f>Saisie!AB141</f>
        <v>0</v>
      </c>
      <c r="AM141" s="59">
        <f>Saisie!AC141</f>
        <v>0</v>
      </c>
      <c r="AN141" s="20">
        <f>Saisie!AD141</f>
        <v>0</v>
      </c>
      <c r="AO141" s="21">
        <f>Saisie!AE141</f>
        <v>0</v>
      </c>
      <c r="AP141" s="59">
        <f>Saisie!AF141</f>
        <v>0</v>
      </c>
      <c r="AQ141" s="129" t="e">
        <f t="array" ref="AQ141">_xlfn.IFS(Saisie!AG141="OUI",1,Saisie!AG141="NON",0)</f>
        <v>#N/A</v>
      </c>
      <c r="AR141" s="129" t="e">
        <f t="array" ref="AR141">_xlfn.IFS(Saisie!AH141="OUI",1,Saisie!AH141="NON",0)</f>
        <v>#N/A</v>
      </c>
      <c r="AS141" s="171">
        <f>Saisie!AI141</f>
        <v>0</v>
      </c>
      <c r="AT141" s="263" t="e">
        <f t="array" ref="AT141">_xlfn.IFS(Saisie!AJ141="OUI",1,Saisie!AJ141="NON",0)</f>
        <v>#N/A</v>
      </c>
      <c r="AU141" s="173">
        <f>Saisie!AK141</f>
        <v>0</v>
      </c>
      <c r="AV141" s="263" t="e">
        <f t="array" ref="AV141">_xlfn.IFS(Saisie!AL141="OUI",1,Saisie!AL141="NON",0)</f>
        <v>#N/A</v>
      </c>
      <c r="AW141" s="171">
        <f>Saisie!AM141</f>
        <v>0</v>
      </c>
      <c r="AX141" s="68">
        <f>Saisie!AN141</f>
        <v>0</v>
      </c>
      <c r="AY141" s="20">
        <f>Saisie!AO141</f>
        <v>0</v>
      </c>
      <c r="AZ141" s="21">
        <f>Saisie!AP141</f>
        <v>0</v>
      </c>
      <c r="BA141" s="298">
        <f>Saisie!AQ141</f>
        <v>0</v>
      </c>
      <c r="BB141" s="170">
        <f>Saisie!AR141</f>
        <v>0</v>
      </c>
      <c r="BC141" s="174">
        <f>Saisie!AS141</f>
        <v>0</v>
      </c>
      <c r="BD141" s="61">
        <f>Saisie!AT141</f>
        <v>0</v>
      </c>
      <c r="BE141" s="175" t="e">
        <f t="array" ref="BE141">_xlfn.IFS(Saisie!AU141="OUI",1,Saisie!AU141="NON",0)</f>
        <v>#N/A</v>
      </c>
      <c r="BF141" s="267">
        <f>Saisie!AV141</f>
        <v>0</v>
      </c>
      <c r="BG141" s="55">
        <f>Saisie!AW141</f>
        <v>0</v>
      </c>
      <c r="BH141" s="55" t="e">
        <f t="array" ref="BH141">_xlfn.IFS(Saisie!AX141="OUI",1,Saisie!AX141="NON",0)</f>
        <v>#N/A</v>
      </c>
      <c r="BI141" s="62">
        <f>Saisie!AY141</f>
        <v>0</v>
      </c>
      <c r="BJ141" s="55" t="e">
        <f t="array" ref="BJ141">_xlfn.IFS(Saisie!AZ141="OUI",1,Saisie!AZ141="NON",0)</f>
        <v>#N/A</v>
      </c>
      <c r="BK141" s="55" t="e">
        <f t="array" ref="BK141">_xlfn.IFS(Saisie!BA141="OUI",1,Saisie!BA141="NON",0)</f>
        <v>#N/A</v>
      </c>
      <c r="BL141" s="55">
        <f>Saisie!BB141</f>
        <v>0</v>
      </c>
      <c r="BM141" s="49" t="e">
        <f>Saisie!BC141</f>
        <v>#REF!</v>
      </c>
      <c r="BN141" s="175"/>
    </row>
    <row r="142" spans="1:66" s="176" customFormat="1" x14ac:dyDescent="0.45">
      <c r="A142" s="12">
        <v>136</v>
      </c>
      <c r="B142" s="150">
        <f>Saisie!B142</f>
        <v>0</v>
      </c>
      <c r="C142" s="150">
        <f>Saisie!C142</f>
        <v>0</v>
      </c>
      <c r="D142" s="150">
        <f>Saisie!D142</f>
        <v>0</v>
      </c>
      <c r="E142" s="150">
        <f>Saisie!E142</f>
        <v>0</v>
      </c>
      <c r="F142" s="150">
        <f>Saisie!F142</f>
        <v>0</v>
      </c>
      <c r="G142" s="150">
        <f>Saisie!G142</f>
        <v>0</v>
      </c>
      <c r="H142" s="150">
        <f>Saisie!I142</f>
        <v>0</v>
      </c>
      <c r="I142" s="150">
        <f>Saisie!J142</f>
        <v>0</v>
      </c>
      <c r="J142" s="150">
        <f>Saisie!K142</f>
        <v>0</v>
      </c>
      <c r="K142" s="150">
        <f>Saisie!L142</f>
        <v>0</v>
      </c>
      <c r="L142" s="150" t="e">
        <f>Saisie!#REF!</f>
        <v>#REF!</v>
      </c>
      <c r="M142" s="55" t="e">
        <f t="array" ref="M142">_xlfn.IFS(Saisie!M142="OUI",1,Saisie!M142="NON",0)</f>
        <v>#N/A</v>
      </c>
      <c r="N142" s="64" t="e">
        <f>Saisie!#REF!</f>
        <v>#REF!</v>
      </c>
      <c r="O142" s="63" t="e">
        <f>Saisie!#REF!</f>
        <v>#REF!</v>
      </c>
      <c r="P142" s="63">
        <f>Saisie!N142</f>
        <v>0</v>
      </c>
      <c r="Q142" s="63" t="e">
        <f t="array" ref="Q142">_xlfn.IFS(Saisie!#REF!="OUI",1,Saisie!#REF!="NON",0)</f>
        <v>#REF!</v>
      </c>
      <c r="R142" s="63" t="e">
        <f>Saisie!#REF!</f>
        <v>#REF!</v>
      </c>
      <c r="S142" s="65" t="e">
        <f>Saisie!#REF!</f>
        <v>#REF!</v>
      </c>
      <c r="T142" s="63" t="e">
        <f>Saisie!#REF!</f>
        <v>#REF!</v>
      </c>
      <c r="U142" s="63" t="e">
        <f>Saisie!#REF!</f>
        <v>#REF!</v>
      </c>
      <c r="V142" s="63" t="e">
        <f t="array" ref="V142">_xlfn.IFS(Saisie!#REF!="OUI",1,Saisie!#REF!="NON",0)</f>
        <v>#REF!</v>
      </c>
      <c r="W142" s="63" t="e">
        <f t="array" ref="W142">_xlfn.IFS(Saisie!O142="OUI",1,Saisie!O142="NON",0)</f>
        <v>#N/A</v>
      </c>
      <c r="X142" s="63">
        <f>Saisie!P142</f>
        <v>0</v>
      </c>
      <c r="Y142" s="299">
        <f>Saisie!H142</f>
        <v>0</v>
      </c>
      <c r="Z142" s="58" t="e">
        <f>Saisie!#REF!</f>
        <v>#REF!</v>
      </c>
      <c r="AA142" s="299">
        <f>Saisie!Q142</f>
        <v>0</v>
      </c>
      <c r="AB142" s="63" t="e">
        <f t="array" ref="AB142">_xlfn.IFS(Saisie!R142="OUI",1,Saisie!R142="NON",0)</f>
        <v>#N/A</v>
      </c>
      <c r="AC142" s="63">
        <f>Saisie!S142</f>
        <v>0</v>
      </c>
      <c r="AD142" s="63" t="e">
        <f t="array" ref="AD142">_xlfn.IFS(Saisie!T142="OUI",1,Saisie!T142="NON",0)</f>
        <v>#N/A</v>
      </c>
      <c r="AE142" s="171">
        <f>Saisie!U142</f>
        <v>0</v>
      </c>
      <c r="AF142" s="262">
        <v>3</v>
      </c>
      <c r="AG142" s="129">
        <f>Saisie!W142</f>
        <v>0</v>
      </c>
      <c r="AH142" s="20">
        <f>Saisie!X142</f>
        <v>0</v>
      </c>
      <c r="AI142" s="21">
        <f>Saisie!Y142</f>
        <v>0</v>
      </c>
      <c r="AJ142" s="59">
        <f>Saisie!Z142</f>
        <v>0</v>
      </c>
      <c r="AK142" s="20">
        <f>Saisie!AA142</f>
        <v>0</v>
      </c>
      <c r="AL142" s="21">
        <f>Saisie!AB142</f>
        <v>0</v>
      </c>
      <c r="AM142" s="59">
        <f>Saisie!AC142</f>
        <v>0</v>
      </c>
      <c r="AN142" s="20">
        <f>Saisie!AD142</f>
        <v>0</v>
      </c>
      <c r="AO142" s="21">
        <f>Saisie!AE142</f>
        <v>0</v>
      </c>
      <c r="AP142" s="59">
        <f>Saisie!AF142</f>
        <v>0</v>
      </c>
      <c r="AQ142" s="129" t="e">
        <f t="array" ref="AQ142">_xlfn.IFS(Saisie!AG142="OUI",1,Saisie!AG142="NON",0)</f>
        <v>#N/A</v>
      </c>
      <c r="AR142" s="129" t="e">
        <f t="array" ref="AR142">_xlfn.IFS(Saisie!AH142="OUI",1,Saisie!AH142="NON",0)</f>
        <v>#N/A</v>
      </c>
      <c r="AS142" s="171">
        <f>Saisie!AI142</f>
        <v>0</v>
      </c>
      <c r="AT142" s="263" t="e">
        <f t="array" ref="AT142">_xlfn.IFS(Saisie!AJ142="OUI",1,Saisie!AJ142="NON",0)</f>
        <v>#N/A</v>
      </c>
      <c r="AU142" s="173">
        <f>Saisie!AK142</f>
        <v>0</v>
      </c>
      <c r="AV142" s="263" t="e">
        <f t="array" ref="AV142">_xlfn.IFS(Saisie!AL142="OUI",1,Saisie!AL142="NON",0)</f>
        <v>#N/A</v>
      </c>
      <c r="AW142" s="171">
        <f>Saisie!AM142</f>
        <v>0</v>
      </c>
      <c r="AX142" s="68">
        <f>Saisie!AN142</f>
        <v>0</v>
      </c>
      <c r="AY142" s="20">
        <f>Saisie!AO142</f>
        <v>0</v>
      </c>
      <c r="AZ142" s="21">
        <f>Saisie!AP142</f>
        <v>0</v>
      </c>
      <c r="BA142" s="298">
        <f>Saisie!AQ142</f>
        <v>0</v>
      </c>
      <c r="BB142" s="170">
        <f>Saisie!AR142</f>
        <v>0</v>
      </c>
      <c r="BC142" s="174">
        <f>Saisie!AS142</f>
        <v>0</v>
      </c>
      <c r="BD142" s="61">
        <f>Saisie!AT142</f>
        <v>0</v>
      </c>
      <c r="BE142" s="175" t="e">
        <f t="array" ref="BE142">_xlfn.IFS(Saisie!AU142="OUI",1,Saisie!AU142="NON",0)</f>
        <v>#N/A</v>
      </c>
      <c r="BF142" s="267">
        <f>Saisie!AV142</f>
        <v>0</v>
      </c>
      <c r="BG142" s="55">
        <f>Saisie!AW142</f>
        <v>0</v>
      </c>
      <c r="BH142" s="55" t="e">
        <f t="array" ref="BH142">_xlfn.IFS(Saisie!AX142="OUI",1,Saisie!AX142="NON",0)</f>
        <v>#N/A</v>
      </c>
      <c r="BI142" s="62">
        <f>Saisie!AY142</f>
        <v>0</v>
      </c>
      <c r="BJ142" s="55" t="e">
        <f t="array" ref="BJ142">_xlfn.IFS(Saisie!AZ142="OUI",1,Saisie!AZ142="NON",0)</f>
        <v>#N/A</v>
      </c>
      <c r="BK142" s="55" t="e">
        <f t="array" ref="BK142">_xlfn.IFS(Saisie!BA142="OUI",1,Saisie!BA142="NON",0)</f>
        <v>#N/A</v>
      </c>
      <c r="BL142" s="55">
        <f>Saisie!BB142</f>
        <v>0</v>
      </c>
      <c r="BM142" s="49" t="e">
        <f>Saisie!BC142</f>
        <v>#REF!</v>
      </c>
      <c r="BN142" s="175"/>
    </row>
    <row r="143" spans="1:66" s="176" customFormat="1" x14ac:dyDescent="0.45">
      <c r="A143" s="13">
        <v>137</v>
      </c>
      <c r="B143" s="150">
        <f>Saisie!B143</f>
        <v>0</v>
      </c>
      <c r="C143" s="150">
        <f>Saisie!C143</f>
        <v>0</v>
      </c>
      <c r="D143" s="150">
        <f>Saisie!D143</f>
        <v>0</v>
      </c>
      <c r="E143" s="150">
        <f>Saisie!E143</f>
        <v>0</v>
      </c>
      <c r="F143" s="150">
        <f>Saisie!F143</f>
        <v>0</v>
      </c>
      <c r="G143" s="150">
        <f>Saisie!G143</f>
        <v>0</v>
      </c>
      <c r="H143" s="150">
        <f>Saisie!I143</f>
        <v>0</v>
      </c>
      <c r="I143" s="150">
        <f>Saisie!J143</f>
        <v>0</v>
      </c>
      <c r="J143" s="150">
        <f>Saisie!K143</f>
        <v>0</v>
      </c>
      <c r="K143" s="150">
        <f>Saisie!L143</f>
        <v>0</v>
      </c>
      <c r="L143" s="150" t="e">
        <f>Saisie!#REF!</f>
        <v>#REF!</v>
      </c>
      <c r="M143" s="55" t="e">
        <f t="array" ref="M143">_xlfn.IFS(Saisie!M143="OUI",1,Saisie!M143="NON",0)</f>
        <v>#N/A</v>
      </c>
      <c r="N143" s="64" t="e">
        <f>Saisie!#REF!</f>
        <v>#REF!</v>
      </c>
      <c r="O143" s="63" t="e">
        <f>Saisie!#REF!</f>
        <v>#REF!</v>
      </c>
      <c r="P143" s="63">
        <f>Saisie!N143</f>
        <v>0</v>
      </c>
      <c r="Q143" s="63" t="e">
        <f t="array" ref="Q143">_xlfn.IFS(Saisie!#REF!="OUI",1,Saisie!#REF!="NON",0)</f>
        <v>#REF!</v>
      </c>
      <c r="R143" s="63" t="e">
        <f>Saisie!#REF!</f>
        <v>#REF!</v>
      </c>
      <c r="S143" s="65" t="e">
        <f>Saisie!#REF!</f>
        <v>#REF!</v>
      </c>
      <c r="T143" s="63" t="e">
        <f>Saisie!#REF!</f>
        <v>#REF!</v>
      </c>
      <c r="U143" s="63" t="e">
        <f>Saisie!#REF!</f>
        <v>#REF!</v>
      </c>
      <c r="V143" s="63" t="e">
        <f t="array" ref="V143">_xlfn.IFS(Saisie!#REF!="OUI",1,Saisie!#REF!="NON",0)</f>
        <v>#REF!</v>
      </c>
      <c r="W143" s="63" t="e">
        <f t="array" ref="W143">_xlfn.IFS(Saisie!O143="OUI",1,Saisie!O143="NON",0)</f>
        <v>#N/A</v>
      </c>
      <c r="X143" s="63">
        <f>Saisie!P143</f>
        <v>0</v>
      </c>
      <c r="Y143" s="299">
        <f>Saisie!H143</f>
        <v>0</v>
      </c>
      <c r="Z143" s="58" t="e">
        <f>Saisie!#REF!</f>
        <v>#REF!</v>
      </c>
      <c r="AA143" s="299">
        <f>Saisie!Q143</f>
        <v>0</v>
      </c>
      <c r="AB143" s="63" t="e">
        <f t="array" ref="AB143">_xlfn.IFS(Saisie!R143="OUI",1,Saisie!R143="NON",0)</f>
        <v>#N/A</v>
      </c>
      <c r="AC143" s="63">
        <f>Saisie!S143</f>
        <v>0</v>
      </c>
      <c r="AD143" s="63" t="e">
        <f t="array" ref="AD143">_xlfn.IFS(Saisie!T143="OUI",1,Saisie!T143="NON",0)</f>
        <v>#N/A</v>
      </c>
      <c r="AE143" s="171">
        <f>Saisie!U143</f>
        <v>0</v>
      </c>
      <c r="AF143" s="262">
        <v>3</v>
      </c>
      <c r="AG143" s="129">
        <f>Saisie!W143</f>
        <v>0</v>
      </c>
      <c r="AH143" s="20">
        <f>Saisie!X143</f>
        <v>0</v>
      </c>
      <c r="AI143" s="21">
        <f>Saisie!Y143</f>
        <v>0</v>
      </c>
      <c r="AJ143" s="59">
        <f>Saisie!Z143</f>
        <v>0</v>
      </c>
      <c r="AK143" s="20">
        <f>Saisie!AA143</f>
        <v>0</v>
      </c>
      <c r="AL143" s="21">
        <f>Saisie!AB143</f>
        <v>0</v>
      </c>
      <c r="AM143" s="59">
        <f>Saisie!AC143</f>
        <v>0</v>
      </c>
      <c r="AN143" s="20">
        <f>Saisie!AD143</f>
        <v>0</v>
      </c>
      <c r="AO143" s="21">
        <f>Saisie!AE143</f>
        <v>0</v>
      </c>
      <c r="AP143" s="59">
        <f>Saisie!AF143</f>
        <v>0</v>
      </c>
      <c r="AQ143" s="129" t="e">
        <f t="array" ref="AQ143">_xlfn.IFS(Saisie!AG143="OUI",1,Saisie!AG143="NON",0)</f>
        <v>#N/A</v>
      </c>
      <c r="AR143" s="129" t="e">
        <f t="array" ref="AR143">_xlfn.IFS(Saisie!AH143="OUI",1,Saisie!AH143="NON",0)</f>
        <v>#N/A</v>
      </c>
      <c r="AS143" s="171">
        <f>Saisie!AI143</f>
        <v>0</v>
      </c>
      <c r="AT143" s="263" t="e">
        <f t="array" ref="AT143">_xlfn.IFS(Saisie!AJ143="OUI",1,Saisie!AJ143="NON",0)</f>
        <v>#N/A</v>
      </c>
      <c r="AU143" s="173">
        <f>Saisie!AK143</f>
        <v>0</v>
      </c>
      <c r="AV143" s="263" t="e">
        <f t="array" ref="AV143">_xlfn.IFS(Saisie!AL143="OUI",1,Saisie!AL143="NON",0)</f>
        <v>#N/A</v>
      </c>
      <c r="AW143" s="171">
        <f>Saisie!AM143</f>
        <v>0</v>
      </c>
      <c r="AX143" s="68">
        <f>Saisie!AN143</f>
        <v>0</v>
      </c>
      <c r="AY143" s="20">
        <f>Saisie!AO143</f>
        <v>0</v>
      </c>
      <c r="AZ143" s="21">
        <f>Saisie!AP143</f>
        <v>0</v>
      </c>
      <c r="BA143" s="298">
        <f>Saisie!AQ143</f>
        <v>0</v>
      </c>
      <c r="BB143" s="170">
        <f>Saisie!AR143</f>
        <v>0</v>
      </c>
      <c r="BC143" s="174">
        <f>Saisie!AS143</f>
        <v>0</v>
      </c>
      <c r="BD143" s="61">
        <f>Saisie!AT143</f>
        <v>0</v>
      </c>
      <c r="BE143" s="175" t="e">
        <f t="array" ref="BE143">_xlfn.IFS(Saisie!AU143="OUI",1,Saisie!AU143="NON",0)</f>
        <v>#N/A</v>
      </c>
      <c r="BF143" s="267">
        <f>Saisie!AV143</f>
        <v>0</v>
      </c>
      <c r="BG143" s="55">
        <f>Saisie!AW143</f>
        <v>0</v>
      </c>
      <c r="BH143" s="55" t="e">
        <f t="array" ref="BH143">_xlfn.IFS(Saisie!AX143="OUI",1,Saisie!AX143="NON",0)</f>
        <v>#N/A</v>
      </c>
      <c r="BI143" s="62">
        <f>Saisie!AY143</f>
        <v>0</v>
      </c>
      <c r="BJ143" s="55" t="e">
        <f t="array" ref="BJ143">_xlfn.IFS(Saisie!AZ143="OUI",1,Saisie!AZ143="NON",0)</f>
        <v>#N/A</v>
      </c>
      <c r="BK143" s="55" t="e">
        <f t="array" ref="BK143">_xlfn.IFS(Saisie!BA143="OUI",1,Saisie!BA143="NON",0)</f>
        <v>#N/A</v>
      </c>
      <c r="BL143" s="55">
        <f>Saisie!BB143</f>
        <v>0</v>
      </c>
      <c r="BM143" s="49">
        <f>Saisie!BC143</f>
        <v>0</v>
      </c>
      <c r="BN143" s="175"/>
    </row>
    <row r="144" spans="1:66" s="176" customFormat="1" x14ac:dyDescent="0.45">
      <c r="A144" s="13">
        <v>138</v>
      </c>
      <c r="B144" s="150">
        <f>Saisie!B144</f>
        <v>0</v>
      </c>
      <c r="C144" s="150">
        <f>Saisie!C144</f>
        <v>0</v>
      </c>
      <c r="D144" s="150">
        <f>Saisie!D144</f>
        <v>0</v>
      </c>
      <c r="E144" s="150">
        <f>Saisie!E144</f>
        <v>0</v>
      </c>
      <c r="F144" s="150">
        <f>Saisie!F144</f>
        <v>0</v>
      </c>
      <c r="G144" s="150">
        <f>Saisie!G144</f>
        <v>0</v>
      </c>
      <c r="H144" s="150">
        <f>Saisie!I144</f>
        <v>0</v>
      </c>
      <c r="I144" s="150">
        <f>Saisie!J144</f>
        <v>0</v>
      </c>
      <c r="J144" s="150">
        <f>Saisie!K144</f>
        <v>0</v>
      </c>
      <c r="K144" s="150">
        <f>Saisie!L144</f>
        <v>0</v>
      </c>
      <c r="L144" s="150" t="e">
        <f>Saisie!#REF!</f>
        <v>#REF!</v>
      </c>
      <c r="M144" s="55" t="e">
        <f t="array" ref="M144">_xlfn.IFS(Saisie!M144="OUI",1,Saisie!M144="NON",0)</f>
        <v>#N/A</v>
      </c>
      <c r="N144" s="64" t="e">
        <f>Saisie!#REF!</f>
        <v>#REF!</v>
      </c>
      <c r="O144" s="63" t="e">
        <f>Saisie!#REF!</f>
        <v>#REF!</v>
      </c>
      <c r="P144" s="63">
        <f>Saisie!N144</f>
        <v>0</v>
      </c>
      <c r="Q144" s="63" t="e">
        <f t="array" ref="Q144">_xlfn.IFS(Saisie!#REF!="OUI",1,Saisie!#REF!="NON",0)</f>
        <v>#REF!</v>
      </c>
      <c r="R144" s="63" t="e">
        <f>Saisie!#REF!</f>
        <v>#REF!</v>
      </c>
      <c r="S144" s="65" t="e">
        <f>Saisie!#REF!</f>
        <v>#REF!</v>
      </c>
      <c r="T144" s="63" t="e">
        <f>Saisie!#REF!</f>
        <v>#REF!</v>
      </c>
      <c r="U144" s="63" t="e">
        <f>Saisie!#REF!</f>
        <v>#REF!</v>
      </c>
      <c r="V144" s="63" t="e">
        <f t="array" ref="V144">_xlfn.IFS(Saisie!#REF!="OUI",1,Saisie!#REF!="NON",0)</f>
        <v>#REF!</v>
      </c>
      <c r="W144" s="63" t="e">
        <f t="array" ref="W144">_xlfn.IFS(Saisie!O144="OUI",1,Saisie!O144="NON",0)</f>
        <v>#N/A</v>
      </c>
      <c r="X144" s="63">
        <f>Saisie!P144</f>
        <v>0</v>
      </c>
      <c r="Y144" s="299">
        <f>Saisie!H144</f>
        <v>0</v>
      </c>
      <c r="Z144" s="58" t="e">
        <f>Saisie!#REF!</f>
        <v>#REF!</v>
      </c>
      <c r="AA144" s="299">
        <f>Saisie!Q144</f>
        <v>0</v>
      </c>
      <c r="AB144" s="63" t="e">
        <f t="array" ref="AB144">_xlfn.IFS(Saisie!R144="OUI",1,Saisie!R144="NON",0)</f>
        <v>#N/A</v>
      </c>
      <c r="AC144" s="63">
        <f>Saisie!S144</f>
        <v>0</v>
      </c>
      <c r="AD144" s="63" t="e">
        <f t="array" ref="AD144">_xlfn.IFS(Saisie!T144="OUI",1,Saisie!T144="NON",0)</f>
        <v>#N/A</v>
      </c>
      <c r="AE144" s="171">
        <f>Saisie!U144</f>
        <v>0</v>
      </c>
      <c r="AF144" s="262">
        <v>3</v>
      </c>
      <c r="AG144" s="129">
        <f>Saisie!W144</f>
        <v>0</v>
      </c>
      <c r="AH144" s="20">
        <f>Saisie!X144</f>
        <v>0</v>
      </c>
      <c r="AI144" s="21">
        <f>Saisie!Y144</f>
        <v>0</v>
      </c>
      <c r="AJ144" s="59">
        <f>Saisie!Z144</f>
        <v>0</v>
      </c>
      <c r="AK144" s="20">
        <f>Saisie!AA144</f>
        <v>0</v>
      </c>
      <c r="AL144" s="21">
        <f>Saisie!AB144</f>
        <v>0</v>
      </c>
      <c r="AM144" s="59">
        <f>Saisie!AC144</f>
        <v>0</v>
      </c>
      <c r="AN144" s="20">
        <f>Saisie!AD144</f>
        <v>0</v>
      </c>
      <c r="AO144" s="21">
        <f>Saisie!AE144</f>
        <v>0</v>
      </c>
      <c r="AP144" s="59">
        <f>Saisie!AF144</f>
        <v>0</v>
      </c>
      <c r="AQ144" s="129" t="e">
        <f t="array" ref="AQ144">_xlfn.IFS(Saisie!AG144="OUI",1,Saisie!AG144="NON",0)</f>
        <v>#N/A</v>
      </c>
      <c r="AR144" s="129" t="e">
        <f t="array" ref="AR144">_xlfn.IFS(Saisie!AH144="OUI",1,Saisie!AH144="NON",0)</f>
        <v>#N/A</v>
      </c>
      <c r="AS144" s="171">
        <f>Saisie!AI144</f>
        <v>0</v>
      </c>
      <c r="AT144" s="263" t="e">
        <f t="array" ref="AT144">_xlfn.IFS(Saisie!AJ144="OUI",1,Saisie!AJ144="NON",0)</f>
        <v>#N/A</v>
      </c>
      <c r="AU144" s="173">
        <f>Saisie!AK144</f>
        <v>0</v>
      </c>
      <c r="AV144" s="263" t="e">
        <f t="array" ref="AV144">_xlfn.IFS(Saisie!AL144="OUI",1,Saisie!AL144="NON",0)</f>
        <v>#N/A</v>
      </c>
      <c r="AW144" s="171">
        <f>Saisie!AM144</f>
        <v>0</v>
      </c>
      <c r="AX144" s="68">
        <f>Saisie!AN144</f>
        <v>0</v>
      </c>
      <c r="AY144" s="20">
        <f>Saisie!AO144</f>
        <v>0</v>
      </c>
      <c r="AZ144" s="21">
        <f>Saisie!AP144</f>
        <v>0</v>
      </c>
      <c r="BA144" s="298">
        <f>Saisie!AQ144</f>
        <v>0</v>
      </c>
      <c r="BB144" s="170">
        <f>Saisie!AR144</f>
        <v>0</v>
      </c>
      <c r="BC144" s="174">
        <f>Saisie!AS144</f>
        <v>0</v>
      </c>
      <c r="BD144" s="61">
        <f>Saisie!AT144</f>
        <v>0</v>
      </c>
      <c r="BE144" s="175" t="e">
        <f t="array" ref="BE144">_xlfn.IFS(Saisie!AU144="OUI",1,Saisie!AU144="NON",0)</f>
        <v>#N/A</v>
      </c>
      <c r="BF144" s="267">
        <f>Saisie!AV144</f>
        <v>0</v>
      </c>
      <c r="BG144" s="55">
        <f>Saisie!AW144</f>
        <v>0</v>
      </c>
      <c r="BH144" s="55" t="e">
        <f t="array" ref="BH144">_xlfn.IFS(Saisie!AX144="OUI",1,Saisie!AX144="NON",0)</f>
        <v>#N/A</v>
      </c>
      <c r="BI144" s="62">
        <f>Saisie!AY144</f>
        <v>0</v>
      </c>
      <c r="BJ144" s="55" t="e">
        <f t="array" ref="BJ144">_xlfn.IFS(Saisie!AZ144="OUI",1,Saisie!AZ144="NON",0)</f>
        <v>#N/A</v>
      </c>
      <c r="BK144" s="55" t="e">
        <f t="array" ref="BK144">_xlfn.IFS(Saisie!BA144="OUI",1,Saisie!BA144="NON",0)</f>
        <v>#N/A</v>
      </c>
      <c r="BL144" s="55">
        <f>Saisie!BB144</f>
        <v>0</v>
      </c>
      <c r="BM144" s="49">
        <f>Saisie!BC144</f>
        <v>0</v>
      </c>
      <c r="BN144" s="175"/>
    </row>
    <row r="145" spans="1:66" s="176" customFormat="1" x14ac:dyDescent="0.45">
      <c r="A145" s="12">
        <v>139</v>
      </c>
      <c r="B145" s="150">
        <f>Saisie!B145</f>
        <v>0</v>
      </c>
      <c r="C145" s="150">
        <f>Saisie!C145</f>
        <v>0</v>
      </c>
      <c r="D145" s="150">
        <f>Saisie!D145</f>
        <v>0</v>
      </c>
      <c r="E145" s="150">
        <f>Saisie!E145</f>
        <v>0</v>
      </c>
      <c r="F145" s="150">
        <f>Saisie!F145</f>
        <v>0</v>
      </c>
      <c r="G145" s="150">
        <f>Saisie!G145</f>
        <v>0</v>
      </c>
      <c r="H145" s="150">
        <f>Saisie!I145</f>
        <v>0</v>
      </c>
      <c r="I145" s="150">
        <f>Saisie!J145</f>
        <v>0</v>
      </c>
      <c r="J145" s="150">
        <f>Saisie!K145</f>
        <v>0</v>
      </c>
      <c r="K145" s="150">
        <f>Saisie!L145</f>
        <v>0</v>
      </c>
      <c r="L145" s="150" t="e">
        <f>Saisie!#REF!</f>
        <v>#REF!</v>
      </c>
      <c r="M145" s="55" t="e">
        <f t="array" ref="M145">_xlfn.IFS(Saisie!M145="OUI",1,Saisie!M145="NON",0)</f>
        <v>#N/A</v>
      </c>
      <c r="N145" s="64" t="e">
        <f>Saisie!#REF!</f>
        <v>#REF!</v>
      </c>
      <c r="O145" s="63" t="e">
        <f>Saisie!#REF!</f>
        <v>#REF!</v>
      </c>
      <c r="P145" s="63">
        <f>Saisie!N145</f>
        <v>0</v>
      </c>
      <c r="Q145" s="63" t="e">
        <f t="array" ref="Q145">_xlfn.IFS(Saisie!#REF!="OUI",1,Saisie!#REF!="NON",0)</f>
        <v>#REF!</v>
      </c>
      <c r="R145" s="63" t="e">
        <f>Saisie!#REF!</f>
        <v>#REF!</v>
      </c>
      <c r="S145" s="65" t="e">
        <f>Saisie!#REF!</f>
        <v>#REF!</v>
      </c>
      <c r="T145" s="63" t="e">
        <f>Saisie!#REF!</f>
        <v>#REF!</v>
      </c>
      <c r="U145" s="63" t="e">
        <f>Saisie!#REF!</f>
        <v>#REF!</v>
      </c>
      <c r="V145" s="63" t="e">
        <f t="array" ref="V145">_xlfn.IFS(Saisie!#REF!="OUI",1,Saisie!#REF!="NON",0)</f>
        <v>#REF!</v>
      </c>
      <c r="W145" s="63" t="e">
        <f t="array" ref="W145">_xlfn.IFS(Saisie!O145="OUI",1,Saisie!O145="NON",0)</f>
        <v>#N/A</v>
      </c>
      <c r="X145" s="63">
        <f>Saisie!P145</f>
        <v>0</v>
      </c>
      <c r="Y145" s="299">
        <f>Saisie!H145</f>
        <v>0</v>
      </c>
      <c r="Z145" s="58" t="e">
        <f>Saisie!#REF!</f>
        <v>#REF!</v>
      </c>
      <c r="AA145" s="299">
        <f>Saisie!Q145</f>
        <v>0</v>
      </c>
      <c r="AB145" s="63" t="e">
        <f t="array" ref="AB145">_xlfn.IFS(Saisie!R145="OUI",1,Saisie!R145="NON",0)</f>
        <v>#N/A</v>
      </c>
      <c r="AC145" s="63">
        <f>Saisie!S145</f>
        <v>0</v>
      </c>
      <c r="AD145" s="63" t="e">
        <f t="array" ref="AD145">_xlfn.IFS(Saisie!T145="OUI",1,Saisie!T145="NON",0)</f>
        <v>#N/A</v>
      </c>
      <c r="AE145" s="171">
        <f>Saisie!U145</f>
        <v>0</v>
      </c>
      <c r="AF145" s="262">
        <v>3</v>
      </c>
      <c r="AG145" s="129">
        <f>Saisie!W145</f>
        <v>0</v>
      </c>
      <c r="AH145" s="20">
        <f>Saisie!X145</f>
        <v>0</v>
      </c>
      <c r="AI145" s="21">
        <f>Saisie!Y145</f>
        <v>0</v>
      </c>
      <c r="AJ145" s="59">
        <f>Saisie!Z145</f>
        <v>0</v>
      </c>
      <c r="AK145" s="20">
        <f>Saisie!AA145</f>
        <v>0</v>
      </c>
      <c r="AL145" s="21">
        <f>Saisie!AB145</f>
        <v>0</v>
      </c>
      <c r="AM145" s="59">
        <f>Saisie!AC145</f>
        <v>0</v>
      </c>
      <c r="AN145" s="20">
        <f>Saisie!AD145</f>
        <v>0</v>
      </c>
      <c r="AO145" s="21">
        <f>Saisie!AE145</f>
        <v>0</v>
      </c>
      <c r="AP145" s="59">
        <f>Saisie!AF145</f>
        <v>0</v>
      </c>
      <c r="AQ145" s="129" t="e">
        <f t="array" ref="AQ145">_xlfn.IFS(Saisie!AG145="OUI",1,Saisie!AG145="NON",0)</f>
        <v>#N/A</v>
      </c>
      <c r="AR145" s="129" t="e">
        <f t="array" ref="AR145">_xlfn.IFS(Saisie!AH145="OUI",1,Saisie!AH145="NON",0)</f>
        <v>#N/A</v>
      </c>
      <c r="AS145" s="171">
        <f>Saisie!AI145</f>
        <v>0</v>
      </c>
      <c r="AT145" s="263" t="e">
        <f t="array" ref="AT145">_xlfn.IFS(Saisie!AJ145="OUI",1,Saisie!AJ145="NON",0)</f>
        <v>#N/A</v>
      </c>
      <c r="AU145" s="173">
        <f>Saisie!AK145</f>
        <v>0</v>
      </c>
      <c r="AV145" s="263" t="e">
        <f t="array" ref="AV145">_xlfn.IFS(Saisie!AL145="OUI",1,Saisie!AL145="NON",0)</f>
        <v>#N/A</v>
      </c>
      <c r="AW145" s="171">
        <f>Saisie!AM145</f>
        <v>0</v>
      </c>
      <c r="AX145" s="68">
        <f>Saisie!AN145</f>
        <v>0</v>
      </c>
      <c r="AY145" s="20">
        <f>Saisie!AO145</f>
        <v>0</v>
      </c>
      <c r="AZ145" s="21">
        <f>Saisie!AP145</f>
        <v>0</v>
      </c>
      <c r="BA145" s="298">
        <f>Saisie!AQ145</f>
        <v>0</v>
      </c>
      <c r="BB145" s="170">
        <f>Saisie!AR145</f>
        <v>0</v>
      </c>
      <c r="BC145" s="174">
        <f>Saisie!AS145</f>
        <v>0</v>
      </c>
      <c r="BD145" s="61">
        <f>Saisie!AT145</f>
        <v>0</v>
      </c>
      <c r="BE145" s="175" t="e">
        <f t="array" ref="BE145">_xlfn.IFS(Saisie!AU145="OUI",1,Saisie!AU145="NON",0)</f>
        <v>#N/A</v>
      </c>
      <c r="BF145" s="267">
        <f>Saisie!AV145</f>
        <v>0</v>
      </c>
      <c r="BG145" s="55">
        <f>Saisie!AW145</f>
        <v>0</v>
      </c>
      <c r="BH145" s="55" t="e">
        <f t="array" ref="BH145">_xlfn.IFS(Saisie!AX145="OUI",1,Saisie!AX145="NON",0)</f>
        <v>#N/A</v>
      </c>
      <c r="BI145" s="62">
        <f>Saisie!AY145</f>
        <v>0</v>
      </c>
      <c r="BJ145" s="55" t="e">
        <f t="array" ref="BJ145">_xlfn.IFS(Saisie!AZ145="OUI",1,Saisie!AZ145="NON",0)</f>
        <v>#N/A</v>
      </c>
      <c r="BK145" s="55" t="e">
        <f t="array" ref="BK145">_xlfn.IFS(Saisie!BA145="OUI",1,Saisie!BA145="NON",0)</f>
        <v>#N/A</v>
      </c>
      <c r="BL145" s="55">
        <f>Saisie!BB145</f>
        <v>0</v>
      </c>
      <c r="BM145" s="49">
        <f>Saisie!BC145</f>
        <v>0</v>
      </c>
      <c r="BN145" s="175"/>
    </row>
    <row r="146" spans="1:66" s="176" customFormat="1" x14ac:dyDescent="0.45">
      <c r="A146" s="13">
        <v>140</v>
      </c>
      <c r="B146" s="150">
        <f>Saisie!B146</f>
        <v>0</v>
      </c>
      <c r="C146" s="150">
        <f>Saisie!C146</f>
        <v>0</v>
      </c>
      <c r="D146" s="150">
        <f>Saisie!D146</f>
        <v>0</v>
      </c>
      <c r="E146" s="150">
        <f>Saisie!E146</f>
        <v>0</v>
      </c>
      <c r="F146" s="150">
        <f>Saisie!F146</f>
        <v>0</v>
      </c>
      <c r="G146" s="150">
        <f>Saisie!G146</f>
        <v>0</v>
      </c>
      <c r="H146" s="150">
        <f>Saisie!I146</f>
        <v>0</v>
      </c>
      <c r="I146" s="150">
        <f>Saisie!J146</f>
        <v>0</v>
      </c>
      <c r="J146" s="150">
        <f>Saisie!K146</f>
        <v>0</v>
      </c>
      <c r="K146" s="150">
        <f>Saisie!L146</f>
        <v>0</v>
      </c>
      <c r="L146" s="150" t="e">
        <f>Saisie!#REF!</f>
        <v>#REF!</v>
      </c>
      <c r="M146" s="55" t="e">
        <f t="array" ref="M146">_xlfn.IFS(Saisie!M146="OUI",1,Saisie!M146="NON",0)</f>
        <v>#N/A</v>
      </c>
      <c r="N146" s="64" t="e">
        <f>Saisie!#REF!</f>
        <v>#REF!</v>
      </c>
      <c r="O146" s="63" t="e">
        <f>Saisie!#REF!</f>
        <v>#REF!</v>
      </c>
      <c r="P146" s="63">
        <f>Saisie!N146</f>
        <v>0</v>
      </c>
      <c r="Q146" s="63" t="e">
        <f t="array" ref="Q146">_xlfn.IFS(Saisie!#REF!="OUI",1,Saisie!#REF!="NON",0)</f>
        <v>#REF!</v>
      </c>
      <c r="R146" s="63" t="e">
        <f>Saisie!#REF!</f>
        <v>#REF!</v>
      </c>
      <c r="S146" s="65" t="e">
        <f>Saisie!#REF!</f>
        <v>#REF!</v>
      </c>
      <c r="T146" s="63" t="e">
        <f>Saisie!#REF!</f>
        <v>#REF!</v>
      </c>
      <c r="U146" s="63" t="e">
        <f>Saisie!#REF!</f>
        <v>#REF!</v>
      </c>
      <c r="V146" s="63" t="e">
        <f t="array" ref="V146">_xlfn.IFS(Saisie!#REF!="OUI",1,Saisie!#REF!="NON",0)</f>
        <v>#REF!</v>
      </c>
      <c r="W146" s="63" t="e">
        <f t="array" ref="W146">_xlfn.IFS(Saisie!O146="OUI",1,Saisie!O146="NON",0)</f>
        <v>#N/A</v>
      </c>
      <c r="X146" s="63">
        <f>Saisie!P146</f>
        <v>0</v>
      </c>
      <c r="Y146" s="299">
        <f>Saisie!H146</f>
        <v>0</v>
      </c>
      <c r="Z146" s="58" t="e">
        <f>Saisie!#REF!</f>
        <v>#REF!</v>
      </c>
      <c r="AA146" s="299">
        <f>Saisie!Q146</f>
        <v>0</v>
      </c>
      <c r="AB146" s="63" t="e">
        <f t="array" ref="AB146">_xlfn.IFS(Saisie!R146="OUI",1,Saisie!R146="NON",0)</f>
        <v>#N/A</v>
      </c>
      <c r="AC146" s="63">
        <f>Saisie!S146</f>
        <v>0</v>
      </c>
      <c r="AD146" s="63" t="e">
        <f t="array" ref="AD146">_xlfn.IFS(Saisie!T146="OUI",1,Saisie!T146="NON",0)</f>
        <v>#N/A</v>
      </c>
      <c r="AE146" s="171">
        <f>Saisie!U146</f>
        <v>0</v>
      </c>
      <c r="AF146" s="262">
        <v>3</v>
      </c>
      <c r="AG146" s="129">
        <f>Saisie!W146</f>
        <v>0</v>
      </c>
      <c r="AH146" s="20">
        <f>Saisie!X146</f>
        <v>0</v>
      </c>
      <c r="AI146" s="21">
        <f>Saisie!Y146</f>
        <v>0</v>
      </c>
      <c r="AJ146" s="59">
        <f>Saisie!Z146</f>
        <v>0</v>
      </c>
      <c r="AK146" s="20">
        <f>Saisie!AA146</f>
        <v>0</v>
      </c>
      <c r="AL146" s="21">
        <f>Saisie!AB146</f>
        <v>0</v>
      </c>
      <c r="AM146" s="59">
        <f>Saisie!AC146</f>
        <v>0</v>
      </c>
      <c r="AN146" s="20">
        <f>Saisie!AD146</f>
        <v>0</v>
      </c>
      <c r="AO146" s="21">
        <f>Saisie!AE146</f>
        <v>0</v>
      </c>
      <c r="AP146" s="59">
        <f>Saisie!AF146</f>
        <v>0</v>
      </c>
      <c r="AQ146" s="129" t="e">
        <f t="array" ref="AQ146">_xlfn.IFS(Saisie!AG146="OUI",1,Saisie!AG146="NON",0)</f>
        <v>#N/A</v>
      </c>
      <c r="AR146" s="129" t="e">
        <f t="array" ref="AR146">_xlfn.IFS(Saisie!AH146="OUI",1,Saisie!AH146="NON",0)</f>
        <v>#N/A</v>
      </c>
      <c r="AS146" s="171">
        <f>Saisie!AI146</f>
        <v>0</v>
      </c>
      <c r="AT146" s="263" t="e">
        <f t="array" ref="AT146">_xlfn.IFS(Saisie!AJ146="OUI",1,Saisie!AJ146="NON",0)</f>
        <v>#N/A</v>
      </c>
      <c r="AU146" s="173">
        <f>Saisie!AK146</f>
        <v>0</v>
      </c>
      <c r="AV146" s="263" t="e">
        <f t="array" ref="AV146">_xlfn.IFS(Saisie!AL146="OUI",1,Saisie!AL146="NON",0)</f>
        <v>#N/A</v>
      </c>
      <c r="AW146" s="171">
        <f>Saisie!AM146</f>
        <v>0</v>
      </c>
      <c r="AX146" s="68">
        <f>Saisie!AN146</f>
        <v>0</v>
      </c>
      <c r="AY146" s="20">
        <f>Saisie!AO146</f>
        <v>0</v>
      </c>
      <c r="AZ146" s="21">
        <f>Saisie!AP146</f>
        <v>0</v>
      </c>
      <c r="BA146" s="298">
        <f>Saisie!AQ146</f>
        <v>0</v>
      </c>
      <c r="BB146" s="170">
        <f>Saisie!AR146</f>
        <v>0</v>
      </c>
      <c r="BC146" s="174">
        <f>Saisie!AS146</f>
        <v>0</v>
      </c>
      <c r="BD146" s="61">
        <f>Saisie!AT146</f>
        <v>0</v>
      </c>
      <c r="BE146" s="175" t="e">
        <f t="array" ref="BE146">_xlfn.IFS(Saisie!AU146="OUI",1,Saisie!AU146="NON",0)</f>
        <v>#N/A</v>
      </c>
      <c r="BF146" s="267">
        <f>Saisie!AV146</f>
        <v>0</v>
      </c>
      <c r="BG146" s="55">
        <f>Saisie!AW146</f>
        <v>0</v>
      </c>
      <c r="BH146" s="55" t="e">
        <f t="array" ref="BH146">_xlfn.IFS(Saisie!AX146="OUI",1,Saisie!AX146="NON",0)</f>
        <v>#N/A</v>
      </c>
      <c r="BI146" s="62">
        <f>Saisie!AY146</f>
        <v>0</v>
      </c>
      <c r="BJ146" s="55" t="e">
        <f t="array" ref="BJ146">_xlfn.IFS(Saisie!AZ146="OUI",1,Saisie!AZ146="NON",0)</f>
        <v>#N/A</v>
      </c>
      <c r="BK146" s="55" t="e">
        <f t="array" ref="BK146">_xlfn.IFS(Saisie!BA146="OUI",1,Saisie!BA146="NON",0)</f>
        <v>#N/A</v>
      </c>
      <c r="BL146" s="55">
        <f>Saisie!BB146</f>
        <v>0</v>
      </c>
      <c r="BM146" s="49">
        <f>Saisie!BC146</f>
        <v>0</v>
      </c>
      <c r="BN146" s="175"/>
    </row>
    <row r="147" spans="1:66" s="176" customFormat="1" x14ac:dyDescent="0.45">
      <c r="A147" s="13">
        <v>141</v>
      </c>
      <c r="B147" s="150">
        <f>Saisie!B147</f>
        <v>0</v>
      </c>
      <c r="C147" s="150">
        <f>Saisie!C147</f>
        <v>0</v>
      </c>
      <c r="D147" s="150">
        <f>Saisie!D147</f>
        <v>0</v>
      </c>
      <c r="E147" s="150">
        <f>Saisie!E147</f>
        <v>0</v>
      </c>
      <c r="F147" s="150">
        <f>Saisie!F147</f>
        <v>0</v>
      </c>
      <c r="G147" s="150">
        <f>Saisie!G147</f>
        <v>0</v>
      </c>
      <c r="H147" s="150">
        <f>Saisie!I147</f>
        <v>0</v>
      </c>
      <c r="I147" s="150">
        <f>Saisie!J147</f>
        <v>0</v>
      </c>
      <c r="J147" s="150">
        <f>Saisie!K147</f>
        <v>0</v>
      </c>
      <c r="K147" s="150">
        <f>Saisie!L147</f>
        <v>0</v>
      </c>
      <c r="L147" s="150" t="e">
        <f>Saisie!#REF!</f>
        <v>#REF!</v>
      </c>
      <c r="M147" s="55" t="e">
        <f t="array" ref="M147">_xlfn.IFS(Saisie!M147="OUI",1,Saisie!M147="NON",0)</f>
        <v>#N/A</v>
      </c>
      <c r="N147" s="64" t="e">
        <f>Saisie!#REF!</f>
        <v>#REF!</v>
      </c>
      <c r="O147" s="63" t="e">
        <f>Saisie!#REF!</f>
        <v>#REF!</v>
      </c>
      <c r="P147" s="63">
        <f>Saisie!N147</f>
        <v>0</v>
      </c>
      <c r="Q147" s="63" t="e">
        <f t="array" ref="Q147">_xlfn.IFS(Saisie!#REF!="OUI",1,Saisie!#REF!="NON",0)</f>
        <v>#REF!</v>
      </c>
      <c r="R147" s="63" t="e">
        <f>Saisie!#REF!</f>
        <v>#REF!</v>
      </c>
      <c r="S147" s="65" t="e">
        <f>Saisie!#REF!</f>
        <v>#REF!</v>
      </c>
      <c r="T147" s="63" t="e">
        <f>Saisie!#REF!</f>
        <v>#REF!</v>
      </c>
      <c r="U147" s="63" t="e">
        <f>Saisie!#REF!</f>
        <v>#REF!</v>
      </c>
      <c r="V147" s="63" t="e">
        <f t="array" ref="V147">_xlfn.IFS(Saisie!#REF!="OUI",1,Saisie!#REF!="NON",0)</f>
        <v>#REF!</v>
      </c>
      <c r="W147" s="63" t="e">
        <f t="array" ref="W147">_xlfn.IFS(Saisie!O147="OUI",1,Saisie!O147="NON",0)</f>
        <v>#N/A</v>
      </c>
      <c r="X147" s="63">
        <f>Saisie!P147</f>
        <v>0</v>
      </c>
      <c r="Y147" s="299">
        <f>Saisie!H147</f>
        <v>0</v>
      </c>
      <c r="Z147" s="58" t="e">
        <f>Saisie!#REF!</f>
        <v>#REF!</v>
      </c>
      <c r="AA147" s="299">
        <f>Saisie!Q147</f>
        <v>0</v>
      </c>
      <c r="AB147" s="63" t="e">
        <f t="array" ref="AB147">_xlfn.IFS(Saisie!R147="OUI",1,Saisie!R147="NON",0)</f>
        <v>#N/A</v>
      </c>
      <c r="AC147" s="63">
        <f>Saisie!S147</f>
        <v>0</v>
      </c>
      <c r="AD147" s="63" t="e">
        <f t="array" ref="AD147">_xlfn.IFS(Saisie!T147="OUI",1,Saisie!T147="NON",0)</f>
        <v>#N/A</v>
      </c>
      <c r="AE147" s="171">
        <f>Saisie!U147</f>
        <v>0</v>
      </c>
      <c r="AF147" s="262">
        <v>3</v>
      </c>
      <c r="AG147" s="129">
        <f>Saisie!W147</f>
        <v>0</v>
      </c>
      <c r="AH147" s="20">
        <f>Saisie!X147</f>
        <v>0</v>
      </c>
      <c r="AI147" s="21">
        <f>Saisie!Y147</f>
        <v>0</v>
      </c>
      <c r="AJ147" s="59">
        <f>Saisie!Z147</f>
        <v>0</v>
      </c>
      <c r="AK147" s="20">
        <f>Saisie!AA147</f>
        <v>0</v>
      </c>
      <c r="AL147" s="21">
        <f>Saisie!AB147</f>
        <v>0</v>
      </c>
      <c r="AM147" s="59">
        <f>Saisie!AC147</f>
        <v>0</v>
      </c>
      <c r="AN147" s="20">
        <f>Saisie!AD147</f>
        <v>0</v>
      </c>
      <c r="AO147" s="21">
        <f>Saisie!AE147</f>
        <v>0</v>
      </c>
      <c r="AP147" s="59">
        <f>Saisie!AF147</f>
        <v>0</v>
      </c>
      <c r="AQ147" s="129" t="e">
        <f t="array" ref="AQ147">_xlfn.IFS(Saisie!AG147="OUI",1,Saisie!AG147="NON",0)</f>
        <v>#N/A</v>
      </c>
      <c r="AR147" s="129" t="e">
        <f t="array" ref="AR147">_xlfn.IFS(Saisie!AH147="OUI",1,Saisie!AH147="NON",0)</f>
        <v>#N/A</v>
      </c>
      <c r="AS147" s="171">
        <f>Saisie!AI147</f>
        <v>0</v>
      </c>
      <c r="AT147" s="263" t="e">
        <f t="array" ref="AT147">_xlfn.IFS(Saisie!AJ147="OUI",1,Saisie!AJ147="NON",0)</f>
        <v>#N/A</v>
      </c>
      <c r="AU147" s="173">
        <f>Saisie!AK147</f>
        <v>0</v>
      </c>
      <c r="AV147" s="263" t="e">
        <f t="array" ref="AV147">_xlfn.IFS(Saisie!AL147="OUI",1,Saisie!AL147="NON",0)</f>
        <v>#N/A</v>
      </c>
      <c r="AW147" s="171">
        <f>Saisie!AM147</f>
        <v>0</v>
      </c>
      <c r="AX147" s="68">
        <f>Saisie!AN147</f>
        <v>0</v>
      </c>
      <c r="AY147" s="20">
        <f>Saisie!AO147</f>
        <v>0</v>
      </c>
      <c r="AZ147" s="21">
        <f>Saisie!AP147</f>
        <v>0</v>
      </c>
      <c r="BA147" s="298">
        <f>Saisie!AQ147</f>
        <v>0</v>
      </c>
      <c r="BB147" s="170">
        <f>Saisie!AR147</f>
        <v>0</v>
      </c>
      <c r="BC147" s="174">
        <f>Saisie!AS147</f>
        <v>0</v>
      </c>
      <c r="BD147" s="61">
        <f>Saisie!AT147</f>
        <v>0</v>
      </c>
      <c r="BE147" s="175" t="e">
        <f t="array" ref="BE147">_xlfn.IFS(Saisie!AU147="OUI",1,Saisie!AU147="NON",0)</f>
        <v>#N/A</v>
      </c>
      <c r="BF147" s="267">
        <f>Saisie!AV147</f>
        <v>0</v>
      </c>
      <c r="BG147" s="55">
        <f>Saisie!AW147</f>
        <v>0</v>
      </c>
      <c r="BH147" s="55" t="e">
        <f t="array" ref="BH147">_xlfn.IFS(Saisie!AX147="OUI",1,Saisie!AX147="NON",0)</f>
        <v>#N/A</v>
      </c>
      <c r="BI147" s="62">
        <f>Saisie!AY147</f>
        <v>0</v>
      </c>
      <c r="BJ147" s="55" t="e">
        <f t="array" ref="BJ147">_xlfn.IFS(Saisie!AZ147="OUI",1,Saisie!AZ147="NON",0)</f>
        <v>#N/A</v>
      </c>
      <c r="BK147" s="55" t="e">
        <f t="array" ref="BK147">_xlfn.IFS(Saisie!BA147="OUI",1,Saisie!BA147="NON",0)</f>
        <v>#N/A</v>
      </c>
      <c r="BL147" s="55">
        <f>Saisie!BB147</f>
        <v>0</v>
      </c>
      <c r="BM147" s="49">
        <f>Saisie!BC147</f>
        <v>0</v>
      </c>
      <c r="BN147" s="175"/>
    </row>
    <row r="148" spans="1:66" s="176" customFormat="1" x14ac:dyDescent="0.45">
      <c r="A148" s="12">
        <v>142</v>
      </c>
      <c r="B148" s="150">
        <f>Saisie!B148</f>
        <v>0</v>
      </c>
      <c r="C148" s="150">
        <f>Saisie!C148</f>
        <v>0</v>
      </c>
      <c r="D148" s="150">
        <f>Saisie!D148</f>
        <v>0</v>
      </c>
      <c r="E148" s="150">
        <f>Saisie!E148</f>
        <v>0</v>
      </c>
      <c r="F148" s="150">
        <f>Saisie!F148</f>
        <v>0</v>
      </c>
      <c r="G148" s="150">
        <f>Saisie!G148</f>
        <v>0</v>
      </c>
      <c r="H148" s="150">
        <f>Saisie!I148</f>
        <v>0</v>
      </c>
      <c r="I148" s="150">
        <f>Saisie!J148</f>
        <v>0</v>
      </c>
      <c r="J148" s="150">
        <f>Saisie!K148</f>
        <v>0</v>
      </c>
      <c r="K148" s="150">
        <f>Saisie!L148</f>
        <v>0</v>
      </c>
      <c r="L148" s="150" t="e">
        <f>Saisie!#REF!</f>
        <v>#REF!</v>
      </c>
      <c r="M148" s="55" t="e">
        <f t="array" ref="M148">_xlfn.IFS(Saisie!M148="OUI",1,Saisie!M148="NON",0)</f>
        <v>#N/A</v>
      </c>
      <c r="N148" s="64" t="e">
        <f>Saisie!#REF!</f>
        <v>#REF!</v>
      </c>
      <c r="O148" s="63" t="e">
        <f>Saisie!#REF!</f>
        <v>#REF!</v>
      </c>
      <c r="P148" s="63">
        <f>Saisie!N148</f>
        <v>0</v>
      </c>
      <c r="Q148" s="63" t="e">
        <f t="array" ref="Q148">_xlfn.IFS(Saisie!#REF!="OUI",1,Saisie!#REF!="NON",0)</f>
        <v>#REF!</v>
      </c>
      <c r="R148" s="63" t="e">
        <f>Saisie!#REF!</f>
        <v>#REF!</v>
      </c>
      <c r="S148" s="65" t="e">
        <f>Saisie!#REF!</f>
        <v>#REF!</v>
      </c>
      <c r="T148" s="63" t="e">
        <f>Saisie!#REF!</f>
        <v>#REF!</v>
      </c>
      <c r="U148" s="63" t="e">
        <f>Saisie!#REF!</f>
        <v>#REF!</v>
      </c>
      <c r="V148" s="63" t="e">
        <f t="array" ref="V148">_xlfn.IFS(Saisie!#REF!="OUI",1,Saisie!#REF!="NON",0)</f>
        <v>#REF!</v>
      </c>
      <c r="W148" s="63" t="e">
        <f t="array" ref="W148">_xlfn.IFS(Saisie!O148="OUI",1,Saisie!O148="NON",0)</f>
        <v>#N/A</v>
      </c>
      <c r="X148" s="63">
        <f>Saisie!P148</f>
        <v>0</v>
      </c>
      <c r="Y148" s="299">
        <f>Saisie!H148</f>
        <v>0</v>
      </c>
      <c r="Z148" s="58" t="e">
        <f>Saisie!#REF!</f>
        <v>#REF!</v>
      </c>
      <c r="AA148" s="299">
        <f>Saisie!Q148</f>
        <v>0</v>
      </c>
      <c r="AB148" s="63" t="e">
        <f t="array" ref="AB148">_xlfn.IFS(Saisie!R148="OUI",1,Saisie!R148="NON",0)</f>
        <v>#N/A</v>
      </c>
      <c r="AC148" s="63">
        <f>Saisie!S148</f>
        <v>0</v>
      </c>
      <c r="AD148" s="63" t="e">
        <f t="array" ref="AD148">_xlfn.IFS(Saisie!T148="OUI",1,Saisie!T148="NON",0)</f>
        <v>#N/A</v>
      </c>
      <c r="AE148" s="171">
        <f>Saisie!U148</f>
        <v>0</v>
      </c>
      <c r="AF148" s="262">
        <v>3</v>
      </c>
      <c r="AG148" s="129">
        <f>Saisie!W148</f>
        <v>0</v>
      </c>
      <c r="AH148" s="20">
        <f>Saisie!X148</f>
        <v>0</v>
      </c>
      <c r="AI148" s="21">
        <f>Saisie!Y148</f>
        <v>0</v>
      </c>
      <c r="AJ148" s="59">
        <f>Saisie!Z148</f>
        <v>0</v>
      </c>
      <c r="AK148" s="20">
        <f>Saisie!AA148</f>
        <v>0</v>
      </c>
      <c r="AL148" s="21">
        <f>Saisie!AB148</f>
        <v>0</v>
      </c>
      <c r="AM148" s="59">
        <f>Saisie!AC148</f>
        <v>0</v>
      </c>
      <c r="AN148" s="20">
        <f>Saisie!AD148</f>
        <v>0</v>
      </c>
      <c r="AO148" s="21">
        <f>Saisie!AE148</f>
        <v>0</v>
      </c>
      <c r="AP148" s="59">
        <f>Saisie!AF148</f>
        <v>0</v>
      </c>
      <c r="AQ148" s="129" t="e">
        <f t="array" ref="AQ148">_xlfn.IFS(Saisie!AG148="OUI",1,Saisie!AG148="NON",0)</f>
        <v>#N/A</v>
      </c>
      <c r="AR148" s="129" t="e">
        <f t="array" ref="AR148">_xlfn.IFS(Saisie!AH148="OUI",1,Saisie!AH148="NON",0)</f>
        <v>#N/A</v>
      </c>
      <c r="AS148" s="171">
        <f>Saisie!AI148</f>
        <v>0</v>
      </c>
      <c r="AT148" s="263" t="e">
        <f t="array" ref="AT148">_xlfn.IFS(Saisie!AJ148="OUI",1,Saisie!AJ148="NON",0)</f>
        <v>#N/A</v>
      </c>
      <c r="AU148" s="173">
        <f>Saisie!AK148</f>
        <v>0</v>
      </c>
      <c r="AV148" s="263" t="e">
        <f t="array" ref="AV148">_xlfn.IFS(Saisie!AL148="OUI",1,Saisie!AL148="NON",0)</f>
        <v>#N/A</v>
      </c>
      <c r="AW148" s="171">
        <f>Saisie!AM148</f>
        <v>0</v>
      </c>
      <c r="AX148" s="68">
        <f>Saisie!AN148</f>
        <v>0</v>
      </c>
      <c r="AY148" s="20">
        <f>Saisie!AO148</f>
        <v>0</v>
      </c>
      <c r="AZ148" s="21">
        <f>Saisie!AP148</f>
        <v>0</v>
      </c>
      <c r="BA148" s="298">
        <f>Saisie!AQ148</f>
        <v>0</v>
      </c>
      <c r="BB148" s="170">
        <f>Saisie!AR148</f>
        <v>0</v>
      </c>
      <c r="BC148" s="174">
        <f>Saisie!AS148</f>
        <v>0</v>
      </c>
      <c r="BD148" s="61">
        <f>Saisie!AT148</f>
        <v>0</v>
      </c>
      <c r="BE148" s="175" t="e">
        <f t="array" ref="BE148">_xlfn.IFS(Saisie!AU148="OUI",1,Saisie!AU148="NON",0)</f>
        <v>#N/A</v>
      </c>
      <c r="BF148" s="267">
        <f>Saisie!AV148</f>
        <v>0</v>
      </c>
      <c r="BG148" s="55">
        <f>Saisie!AW148</f>
        <v>0</v>
      </c>
      <c r="BH148" s="55" t="e">
        <f t="array" ref="BH148">_xlfn.IFS(Saisie!AX148="OUI",1,Saisie!AX148="NON",0)</f>
        <v>#N/A</v>
      </c>
      <c r="BI148" s="62">
        <f>Saisie!AY148</f>
        <v>0</v>
      </c>
      <c r="BJ148" s="55" t="e">
        <f t="array" ref="BJ148">_xlfn.IFS(Saisie!AZ148="OUI",1,Saisie!AZ148="NON",0)</f>
        <v>#N/A</v>
      </c>
      <c r="BK148" s="55" t="e">
        <f t="array" ref="BK148">_xlfn.IFS(Saisie!BA148="OUI",1,Saisie!BA148="NON",0)</f>
        <v>#N/A</v>
      </c>
      <c r="BL148" s="55">
        <f>Saisie!BB148</f>
        <v>0</v>
      </c>
      <c r="BM148" s="49" t="e">
        <f>Saisie!BC148</f>
        <v>#REF!</v>
      </c>
      <c r="BN148" s="175"/>
    </row>
    <row r="149" spans="1:66" s="176" customFormat="1" x14ac:dyDescent="0.45">
      <c r="A149" s="13">
        <v>143</v>
      </c>
      <c r="B149" s="150">
        <f>Saisie!B149</f>
        <v>0</v>
      </c>
      <c r="C149" s="150">
        <f>Saisie!C149</f>
        <v>0</v>
      </c>
      <c r="D149" s="150">
        <f>Saisie!D149</f>
        <v>0</v>
      </c>
      <c r="E149" s="150">
        <f>Saisie!E149</f>
        <v>0</v>
      </c>
      <c r="F149" s="150">
        <f>Saisie!F149</f>
        <v>0</v>
      </c>
      <c r="G149" s="150">
        <f>Saisie!G149</f>
        <v>0</v>
      </c>
      <c r="H149" s="150">
        <f>Saisie!I149</f>
        <v>0</v>
      </c>
      <c r="I149" s="150">
        <f>Saisie!J149</f>
        <v>0</v>
      </c>
      <c r="J149" s="150">
        <f>Saisie!K149</f>
        <v>0</v>
      </c>
      <c r="K149" s="150">
        <f>Saisie!L149</f>
        <v>0</v>
      </c>
      <c r="L149" s="150" t="e">
        <f>Saisie!#REF!</f>
        <v>#REF!</v>
      </c>
      <c r="M149" s="55" t="e">
        <f t="array" ref="M149">_xlfn.IFS(Saisie!M149="OUI",1,Saisie!M149="NON",0)</f>
        <v>#N/A</v>
      </c>
      <c r="N149" s="64" t="e">
        <f>Saisie!#REF!</f>
        <v>#REF!</v>
      </c>
      <c r="O149" s="63" t="e">
        <f>Saisie!#REF!</f>
        <v>#REF!</v>
      </c>
      <c r="P149" s="63">
        <f>Saisie!N149</f>
        <v>0</v>
      </c>
      <c r="Q149" s="63" t="e">
        <f t="array" ref="Q149">_xlfn.IFS(Saisie!#REF!="OUI",1,Saisie!#REF!="NON",0)</f>
        <v>#REF!</v>
      </c>
      <c r="R149" s="63" t="e">
        <f>Saisie!#REF!</f>
        <v>#REF!</v>
      </c>
      <c r="S149" s="65" t="e">
        <f>Saisie!#REF!</f>
        <v>#REF!</v>
      </c>
      <c r="T149" s="63" t="e">
        <f>Saisie!#REF!</f>
        <v>#REF!</v>
      </c>
      <c r="U149" s="63" t="e">
        <f>Saisie!#REF!</f>
        <v>#REF!</v>
      </c>
      <c r="V149" s="63" t="e">
        <f t="array" ref="V149">_xlfn.IFS(Saisie!#REF!="OUI",1,Saisie!#REF!="NON",0)</f>
        <v>#REF!</v>
      </c>
      <c r="W149" s="63" t="e">
        <f t="array" ref="W149">_xlfn.IFS(Saisie!O149="OUI",1,Saisie!O149="NON",0)</f>
        <v>#N/A</v>
      </c>
      <c r="X149" s="63">
        <f>Saisie!P149</f>
        <v>0</v>
      </c>
      <c r="Y149" s="299">
        <f>Saisie!H149</f>
        <v>0</v>
      </c>
      <c r="Z149" s="58" t="e">
        <f>Saisie!#REF!</f>
        <v>#REF!</v>
      </c>
      <c r="AA149" s="299">
        <f>Saisie!Q149</f>
        <v>0</v>
      </c>
      <c r="AB149" s="63" t="e">
        <f t="array" ref="AB149">_xlfn.IFS(Saisie!R149="OUI",1,Saisie!R149="NON",0)</f>
        <v>#N/A</v>
      </c>
      <c r="AC149" s="63">
        <f>Saisie!S149</f>
        <v>0</v>
      </c>
      <c r="AD149" s="63" t="e">
        <f t="array" ref="AD149">_xlfn.IFS(Saisie!T149="OUI",1,Saisie!T149="NON",0)</f>
        <v>#N/A</v>
      </c>
      <c r="AE149" s="171">
        <f>Saisie!U149</f>
        <v>0</v>
      </c>
      <c r="AF149" s="262">
        <v>1</v>
      </c>
      <c r="AG149" s="129">
        <f>Saisie!W149</f>
        <v>0</v>
      </c>
      <c r="AH149" s="20">
        <f>Saisie!X149</f>
        <v>0</v>
      </c>
      <c r="AI149" s="21">
        <f>Saisie!Y149</f>
        <v>0</v>
      </c>
      <c r="AJ149" s="59">
        <f>Saisie!Z149</f>
        <v>0</v>
      </c>
      <c r="AK149" s="20">
        <f>Saisie!AA149</f>
        <v>0</v>
      </c>
      <c r="AL149" s="21">
        <f>Saisie!AB149</f>
        <v>0</v>
      </c>
      <c r="AM149" s="59">
        <f>Saisie!AC149</f>
        <v>0</v>
      </c>
      <c r="AN149" s="20">
        <f>Saisie!AD149</f>
        <v>0</v>
      </c>
      <c r="AO149" s="21">
        <f>Saisie!AE149</f>
        <v>0</v>
      </c>
      <c r="AP149" s="59">
        <f>Saisie!AF149</f>
        <v>0</v>
      </c>
      <c r="AQ149" s="129" t="e">
        <f t="array" ref="AQ149">_xlfn.IFS(Saisie!AG149="OUI",1,Saisie!AG149="NON",0)</f>
        <v>#N/A</v>
      </c>
      <c r="AR149" s="129" t="e">
        <f t="array" ref="AR149">_xlfn.IFS(Saisie!AH149="OUI",1,Saisie!AH149="NON",0)</f>
        <v>#N/A</v>
      </c>
      <c r="AS149" s="171">
        <f>Saisie!AI149</f>
        <v>0</v>
      </c>
      <c r="AT149" s="263" t="e">
        <f t="array" ref="AT149">_xlfn.IFS(Saisie!AJ149="OUI",1,Saisie!AJ149="NON",0)</f>
        <v>#N/A</v>
      </c>
      <c r="AU149" s="173">
        <f>Saisie!AK149</f>
        <v>0</v>
      </c>
      <c r="AV149" s="263" t="e">
        <f t="array" ref="AV149">_xlfn.IFS(Saisie!AL149="OUI",1,Saisie!AL149="NON",0)</f>
        <v>#N/A</v>
      </c>
      <c r="AW149" s="171">
        <f>Saisie!AM149</f>
        <v>0</v>
      </c>
      <c r="AX149" s="68">
        <f>Saisie!AN149</f>
        <v>0</v>
      </c>
      <c r="AY149" s="20">
        <f>Saisie!AO149</f>
        <v>0</v>
      </c>
      <c r="AZ149" s="21">
        <f>Saisie!AP149</f>
        <v>0</v>
      </c>
      <c r="BA149" s="298">
        <f>Saisie!AQ149</f>
        <v>0</v>
      </c>
      <c r="BB149" s="170">
        <f>Saisie!AR149</f>
        <v>0</v>
      </c>
      <c r="BC149" s="174">
        <f>Saisie!AS149</f>
        <v>0</v>
      </c>
      <c r="BD149" s="61">
        <f>Saisie!AT149</f>
        <v>0</v>
      </c>
      <c r="BE149" s="175" t="e">
        <f t="array" ref="BE149">_xlfn.IFS(Saisie!AU149="OUI",1,Saisie!AU149="NON",0)</f>
        <v>#N/A</v>
      </c>
      <c r="BF149" s="267">
        <f>Saisie!AV149</f>
        <v>0</v>
      </c>
      <c r="BG149" s="55">
        <f>Saisie!AW149</f>
        <v>0</v>
      </c>
      <c r="BH149" s="55" t="e">
        <f t="array" ref="BH149">_xlfn.IFS(Saisie!AX149="OUI",1,Saisie!AX149="NON",0)</f>
        <v>#N/A</v>
      </c>
      <c r="BI149" s="62">
        <f>Saisie!AY149</f>
        <v>0</v>
      </c>
      <c r="BJ149" s="55" t="e">
        <f t="array" ref="BJ149">_xlfn.IFS(Saisie!AZ149="OUI",1,Saisie!AZ149="NON",0)</f>
        <v>#N/A</v>
      </c>
      <c r="BK149" s="55" t="e">
        <f t="array" ref="BK149">_xlfn.IFS(Saisie!BA149="OUI",1,Saisie!BA149="NON",0)</f>
        <v>#N/A</v>
      </c>
      <c r="BL149" s="55">
        <f>Saisie!BB149</f>
        <v>0</v>
      </c>
      <c r="BM149" s="49" t="e">
        <f>Saisie!BC149</f>
        <v>#REF!</v>
      </c>
      <c r="BN149" s="175"/>
    </row>
    <row r="150" spans="1:66" s="176" customFormat="1" x14ac:dyDescent="0.45">
      <c r="A150" s="13">
        <v>144</v>
      </c>
      <c r="B150" s="150">
        <f>Saisie!B150</f>
        <v>0</v>
      </c>
      <c r="C150" s="150">
        <f>Saisie!C150</f>
        <v>0</v>
      </c>
      <c r="D150" s="150">
        <f>Saisie!D150</f>
        <v>0</v>
      </c>
      <c r="E150" s="150">
        <f>Saisie!E150</f>
        <v>0</v>
      </c>
      <c r="F150" s="150">
        <f>Saisie!F150</f>
        <v>0</v>
      </c>
      <c r="G150" s="150">
        <f>Saisie!G150</f>
        <v>0</v>
      </c>
      <c r="H150" s="150">
        <f>Saisie!I150</f>
        <v>0</v>
      </c>
      <c r="I150" s="150">
        <f>Saisie!J150</f>
        <v>0</v>
      </c>
      <c r="J150" s="150">
        <f>Saisie!K150</f>
        <v>0</v>
      </c>
      <c r="K150" s="150">
        <f>Saisie!L150</f>
        <v>0</v>
      </c>
      <c r="L150" s="150" t="e">
        <f>Saisie!#REF!</f>
        <v>#REF!</v>
      </c>
      <c r="M150" s="55" t="e">
        <f t="array" ref="M150">_xlfn.IFS(Saisie!M150="OUI",1,Saisie!M150="NON",0)</f>
        <v>#N/A</v>
      </c>
      <c r="N150" s="64" t="e">
        <f>Saisie!#REF!</f>
        <v>#REF!</v>
      </c>
      <c r="O150" s="63" t="e">
        <f>Saisie!#REF!</f>
        <v>#REF!</v>
      </c>
      <c r="P150" s="63">
        <f>Saisie!N150</f>
        <v>0</v>
      </c>
      <c r="Q150" s="63" t="e">
        <f t="array" ref="Q150">_xlfn.IFS(Saisie!#REF!="OUI",1,Saisie!#REF!="NON",0)</f>
        <v>#REF!</v>
      </c>
      <c r="R150" s="63" t="e">
        <f>Saisie!#REF!</f>
        <v>#REF!</v>
      </c>
      <c r="S150" s="65" t="e">
        <f>Saisie!#REF!</f>
        <v>#REF!</v>
      </c>
      <c r="T150" s="63" t="e">
        <f>Saisie!#REF!</f>
        <v>#REF!</v>
      </c>
      <c r="U150" s="63" t="e">
        <f>Saisie!#REF!</f>
        <v>#REF!</v>
      </c>
      <c r="V150" s="63" t="e">
        <f t="array" ref="V150">_xlfn.IFS(Saisie!#REF!="OUI",1,Saisie!#REF!="NON",0)</f>
        <v>#REF!</v>
      </c>
      <c r="W150" s="63" t="e">
        <f t="array" ref="W150">_xlfn.IFS(Saisie!O150="OUI",1,Saisie!O150="NON",0)</f>
        <v>#N/A</v>
      </c>
      <c r="X150" s="63">
        <f>Saisie!P150</f>
        <v>0</v>
      </c>
      <c r="Y150" s="299">
        <f>Saisie!H150</f>
        <v>0</v>
      </c>
      <c r="Z150" s="58" t="e">
        <f>Saisie!#REF!</f>
        <v>#REF!</v>
      </c>
      <c r="AA150" s="299">
        <f>Saisie!Q150</f>
        <v>0</v>
      </c>
      <c r="AB150" s="63" t="e">
        <f t="array" ref="AB150">_xlfn.IFS(Saisie!R150="OUI",1,Saisie!R150="NON",0)</f>
        <v>#N/A</v>
      </c>
      <c r="AC150" s="63">
        <f>Saisie!S150</f>
        <v>0</v>
      </c>
      <c r="AD150" s="63" t="e">
        <f t="array" ref="AD150">_xlfn.IFS(Saisie!T150="OUI",1,Saisie!T150="NON",0)</f>
        <v>#N/A</v>
      </c>
      <c r="AE150" s="171">
        <f>Saisie!U150</f>
        <v>0</v>
      </c>
      <c r="AF150" s="262">
        <v>3</v>
      </c>
      <c r="AG150" s="129">
        <f>Saisie!W150</f>
        <v>0</v>
      </c>
      <c r="AH150" s="20">
        <f>Saisie!X150</f>
        <v>0</v>
      </c>
      <c r="AI150" s="21">
        <f>Saisie!Y150</f>
        <v>0</v>
      </c>
      <c r="AJ150" s="59">
        <f>Saisie!Z150</f>
        <v>0</v>
      </c>
      <c r="AK150" s="20">
        <f>Saisie!AA150</f>
        <v>0</v>
      </c>
      <c r="AL150" s="21">
        <f>Saisie!AB150</f>
        <v>0</v>
      </c>
      <c r="AM150" s="59">
        <f>Saisie!AC150</f>
        <v>0</v>
      </c>
      <c r="AN150" s="20">
        <f>Saisie!AD150</f>
        <v>0</v>
      </c>
      <c r="AO150" s="21">
        <f>Saisie!AE150</f>
        <v>0</v>
      </c>
      <c r="AP150" s="59">
        <f>Saisie!AF150</f>
        <v>0</v>
      </c>
      <c r="AQ150" s="129" t="e">
        <f t="array" ref="AQ150">_xlfn.IFS(Saisie!AG150="OUI",1,Saisie!AG150="NON",0)</f>
        <v>#N/A</v>
      </c>
      <c r="AR150" s="129" t="e">
        <f t="array" ref="AR150">_xlfn.IFS(Saisie!AH150="OUI",1,Saisie!AH150="NON",0)</f>
        <v>#N/A</v>
      </c>
      <c r="AS150" s="171">
        <f>Saisie!AI150</f>
        <v>0</v>
      </c>
      <c r="AT150" s="263" t="e">
        <f t="array" ref="AT150">_xlfn.IFS(Saisie!AJ150="OUI",1,Saisie!AJ150="NON",0)</f>
        <v>#N/A</v>
      </c>
      <c r="AU150" s="173">
        <f>Saisie!AK150</f>
        <v>0</v>
      </c>
      <c r="AV150" s="263" t="e">
        <f t="array" ref="AV150">_xlfn.IFS(Saisie!AL150="OUI",1,Saisie!AL150="NON",0)</f>
        <v>#N/A</v>
      </c>
      <c r="AW150" s="171">
        <f>Saisie!AM150</f>
        <v>0</v>
      </c>
      <c r="AX150" s="68">
        <f>Saisie!AN150</f>
        <v>0</v>
      </c>
      <c r="AY150" s="20">
        <f>Saisie!AO150</f>
        <v>0</v>
      </c>
      <c r="AZ150" s="21">
        <f>Saisie!AP150</f>
        <v>0</v>
      </c>
      <c r="BA150" s="298">
        <f>Saisie!AQ150</f>
        <v>0</v>
      </c>
      <c r="BB150" s="170">
        <f>Saisie!AR150</f>
        <v>0</v>
      </c>
      <c r="BC150" s="174">
        <f>Saisie!AS150</f>
        <v>0</v>
      </c>
      <c r="BD150" s="61">
        <f>Saisie!AT150</f>
        <v>0</v>
      </c>
      <c r="BE150" s="175" t="e">
        <f t="array" ref="BE150">_xlfn.IFS(Saisie!AU150="OUI",1,Saisie!AU150="NON",0)</f>
        <v>#N/A</v>
      </c>
      <c r="BF150" s="267">
        <f>Saisie!AV150</f>
        <v>0</v>
      </c>
      <c r="BG150" s="55">
        <f>Saisie!AW150</f>
        <v>0</v>
      </c>
      <c r="BH150" s="55" t="e">
        <f t="array" ref="BH150">_xlfn.IFS(Saisie!AX150="OUI",1,Saisie!AX150="NON",0)</f>
        <v>#N/A</v>
      </c>
      <c r="BI150" s="62">
        <f>Saisie!AY150</f>
        <v>0</v>
      </c>
      <c r="BJ150" s="55" t="e">
        <f t="array" ref="BJ150">_xlfn.IFS(Saisie!AZ150="OUI",1,Saisie!AZ150="NON",0)</f>
        <v>#N/A</v>
      </c>
      <c r="BK150" s="55" t="e">
        <f t="array" ref="BK150">_xlfn.IFS(Saisie!BA150="OUI",1,Saisie!BA150="NON",0)</f>
        <v>#N/A</v>
      </c>
      <c r="BL150" s="55">
        <f>Saisie!BB150</f>
        <v>0</v>
      </c>
      <c r="BM150" s="49" t="e">
        <f>Saisie!BC150</f>
        <v>#REF!</v>
      </c>
      <c r="BN150" s="175"/>
    </row>
    <row r="151" spans="1:66" s="176" customFormat="1" x14ac:dyDescent="0.45">
      <c r="A151" s="12">
        <v>145</v>
      </c>
      <c r="B151" s="150">
        <f>Saisie!B151</f>
        <v>0</v>
      </c>
      <c r="C151" s="150">
        <f>Saisie!C151</f>
        <v>0</v>
      </c>
      <c r="D151" s="150">
        <f>Saisie!D151</f>
        <v>0</v>
      </c>
      <c r="E151" s="150">
        <f>Saisie!E151</f>
        <v>0</v>
      </c>
      <c r="F151" s="150">
        <f>Saisie!F151</f>
        <v>0</v>
      </c>
      <c r="G151" s="150">
        <f>Saisie!G151</f>
        <v>0</v>
      </c>
      <c r="H151" s="150">
        <f>Saisie!I151</f>
        <v>0</v>
      </c>
      <c r="I151" s="150">
        <f>Saisie!J151</f>
        <v>0</v>
      </c>
      <c r="J151" s="150">
        <f>Saisie!K151</f>
        <v>0</v>
      </c>
      <c r="K151" s="150">
        <f>Saisie!L151</f>
        <v>0</v>
      </c>
      <c r="L151" s="150" t="e">
        <f>Saisie!#REF!</f>
        <v>#REF!</v>
      </c>
      <c r="M151" s="55" t="e">
        <f t="array" ref="M151">_xlfn.IFS(Saisie!M151="OUI",1,Saisie!M151="NON",0)</f>
        <v>#N/A</v>
      </c>
      <c r="N151" s="64" t="e">
        <f>Saisie!#REF!</f>
        <v>#REF!</v>
      </c>
      <c r="O151" s="63" t="e">
        <f>Saisie!#REF!</f>
        <v>#REF!</v>
      </c>
      <c r="P151" s="63">
        <f>Saisie!N151</f>
        <v>0</v>
      </c>
      <c r="Q151" s="63" t="e">
        <f t="array" ref="Q151">_xlfn.IFS(Saisie!#REF!="OUI",1,Saisie!#REF!="NON",0)</f>
        <v>#REF!</v>
      </c>
      <c r="R151" s="63" t="e">
        <f>Saisie!#REF!</f>
        <v>#REF!</v>
      </c>
      <c r="S151" s="65" t="e">
        <f>Saisie!#REF!</f>
        <v>#REF!</v>
      </c>
      <c r="T151" s="63" t="e">
        <f>Saisie!#REF!</f>
        <v>#REF!</v>
      </c>
      <c r="U151" s="63" t="e">
        <f>Saisie!#REF!</f>
        <v>#REF!</v>
      </c>
      <c r="V151" s="63" t="e">
        <f t="array" ref="V151">_xlfn.IFS(Saisie!#REF!="OUI",1,Saisie!#REF!="NON",0)</f>
        <v>#REF!</v>
      </c>
      <c r="W151" s="63" t="e">
        <f t="array" ref="W151">_xlfn.IFS(Saisie!O151="OUI",1,Saisie!O151="NON",0)</f>
        <v>#N/A</v>
      </c>
      <c r="X151" s="63">
        <f>Saisie!P151</f>
        <v>0</v>
      </c>
      <c r="Y151" s="299">
        <f>Saisie!H151</f>
        <v>0</v>
      </c>
      <c r="Z151" s="58" t="e">
        <f>Saisie!#REF!</f>
        <v>#REF!</v>
      </c>
      <c r="AA151" s="299">
        <f>Saisie!Q151</f>
        <v>0</v>
      </c>
      <c r="AB151" s="63" t="e">
        <f t="array" ref="AB151">_xlfn.IFS(Saisie!R151="OUI",1,Saisie!R151="NON",0)</f>
        <v>#N/A</v>
      </c>
      <c r="AC151" s="63">
        <f>Saisie!S151</f>
        <v>0</v>
      </c>
      <c r="AD151" s="63" t="e">
        <f t="array" ref="AD151">_xlfn.IFS(Saisie!T151="OUI",1,Saisie!T151="NON",0)</f>
        <v>#N/A</v>
      </c>
      <c r="AE151" s="171">
        <f>Saisie!U151</f>
        <v>0</v>
      </c>
      <c r="AF151" s="262">
        <v>3</v>
      </c>
      <c r="AG151" s="129">
        <f>Saisie!W151</f>
        <v>0</v>
      </c>
      <c r="AH151" s="20">
        <f>Saisie!X151</f>
        <v>0</v>
      </c>
      <c r="AI151" s="21">
        <f>Saisie!Y151</f>
        <v>0</v>
      </c>
      <c r="AJ151" s="59">
        <f>Saisie!Z151</f>
        <v>0</v>
      </c>
      <c r="AK151" s="20">
        <f>Saisie!AA151</f>
        <v>0</v>
      </c>
      <c r="AL151" s="21">
        <f>Saisie!AB151</f>
        <v>0</v>
      </c>
      <c r="AM151" s="59">
        <f>Saisie!AC151</f>
        <v>0</v>
      </c>
      <c r="AN151" s="20">
        <f>Saisie!AD151</f>
        <v>0</v>
      </c>
      <c r="AO151" s="21">
        <f>Saisie!AE151</f>
        <v>0</v>
      </c>
      <c r="AP151" s="59">
        <f>Saisie!AF151</f>
        <v>0</v>
      </c>
      <c r="AQ151" s="129" t="e">
        <f t="array" ref="AQ151">_xlfn.IFS(Saisie!AG151="OUI",1,Saisie!AG151="NON",0)</f>
        <v>#N/A</v>
      </c>
      <c r="AR151" s="129" t="e">
        <f t="array" ref="AR151">_xlfn.IFS(Saisie!AH151="OUI",1,Saisie!AH151="NON",0)</f>
        <v>#N/A</v>
      </c>
      <c r="AS151" s="171">
        <f>Saisie!AI151</f>
        <v>0</v>
      </c>
      <c r="AT151" s="263" t="e">
        <f t="array" ref="AT151">_xlfn.IFS(Saisie!AJ151="OUI",1,Saisie!AJ151="NON",0)</f>
        <v>#N/A</v>
      </c>
      <c r="AU151" s="173">
        <f>Saisie!AK151</f>
        <v>0</v>
      </c>
      <c r="AV151" s="263" t="e">
        <f t="array" ref="AV151">_xlfn.IFS(Saisie!AL151="OUI",1,Saisie!AL151="NON",0)</f>
        <v>#N/A</v>
      </c>
      <c r="AW151" s="171">
        <f>Saisie!AM151</f>
        <v>0</v>
      </c>
      <c r="AX151" s="68">
        <f>Saisie!AN151</f>
        <v>0</v>
      </c>
      <c r="AY151" s="20">
        <f>Saisie!AO151</f>
        <v>0</v>
      </c>
      <c r="AZ151" s="21">
        <f>Saisie!AP151</f>
        <v>0</v>
      </c>
      <c r="BA151" s="298">
        <f>Saisie!AQ151</f>
        <v>0</v>
      </c>
      <c r="BB151" s="170">
        <f>Saisie!AR151</f>
        <v>0</v>
      </c>
      <c r="BC151" s="174">
        <f>Saisie!AS151</f>
        <v>0</v>
      </c>
      <c r="BD151" s="61">
        <f>Saisie!AT151</f>
        <v>0</v>
      </c>
      <c r="BE151" s="175" t="e">
        <f t="array" ref="BE151">_xlfn.IFS(Saisie!AU151="OUI",1,Saisie!AU151="NON",0)</f>
        <v>#N/A</v>
      </c>
      <c r="BF151" s="267">
        <f>Saisie!AV151</f>
        <v>0</v>
      </c>
      <c r="BG151" s="55">
        <f>Saisie!AW151</f>
        <v>0</v>
      </c>
      <c r="BH151" s="55" t="e">
        <f t="array" ref="BH151">_xlfn.IFS(Saisie!AX151="OUI",1,Saisie!AX151="NON",0)</f>
        <v>#N/A</v>
      </c>
      <c r="BI151" s="62">
        <f>Saisie!AY151</f>
        <v>0</v>
      </c>
      <c r="BJ151" s="55" t="e">
        <f t="array" ref="BJ151">_xlfn.IFS(Saisie!AZ151="OUI",1,Saisie!AZ151="NON",0)</f>
        <v>#N/A</v>
      </c>
      <c r="BK151" s="55" t="e">
        <f t="array" ref="BK151">_xlfn.IFS(Saisie!BA151="OUI",1,Saisie!BA151="NON",0)</f>
        <v>#N/A</v>
      </c>
      <c r="BL151" s="55">
        <f>Saisie!BB151</f>
        <v>0</v>
      </c>
      <c r="BM151" s="49" t="e">
        <f>Saisie!BC151</f>
        <v>#REF!</v>
      </c>
      <c r="BN151" s="175"/>
    </row>
    <row r="152" spans="1:66" s="176" customFormat="1" x14ac:dyDescent="0.45">
      <c r="A152" s="13">
        <v>146</v>
      </c>
      <c r="B152" s="150">
        <f>Saisie!B152</f>
        <v>0</v>
      </c>
      <c r="C152" s="150">
        <f>Saisie!C152</f>
        <v>0</v>
      </c>
      <c r="D152" s="150">
        <f>Saisie!D152</f>
        <v>0</v>
      </c>
      <c r="E152" s="150">
        <f>Saisie!E152</f>
        <v>0</v>
      </c>
      <c r="F152" s="150">
        <f>Saisie!F152</f>
        <v>0</v>
      </c>
      <c r="G152" s="150">
        <f>Saisie!G152</f>
        <v>0</v>
      </c>
      <c r="H152" s="150">
        <f>Saisie!I152</f>
        <v>0</v>
      </c>
      <c r="I152" s="150">
        <f>Saisie!J152</f>
        <v>0</v>
      </c>
      <c r="J152" s="150">
        <f>Saisie!K152</f>
        <v>0</v>
      </c>
      <c r="K152" s="150">
        <f>Saisie!L152</f>
        <v>0</v>
      </c>
      <c r="L152" s="150" t="e">
        <f>Saisie!#REF!</f>
        <v>#REF!</v>
      </c>
      <c r="M152" s="55" t="e">
        <f t="array" ref="M152">_xlfn.IFS(Saisie!M152="OUI",1,Saisie!M152="NON",0)</f>
        <v>#N/A</v>
      </c>
      <c r="N152" s="64" t="e">
        <f>Saisie!#REF!</f>
        <v>#REF!</v>
      </c>
      <c r="O152" s="63" t="e">
        <f>Saisie!#REF!</f>
        <v>#REF!</v>
      </c>
      <c r="P152" s="63">
        <f>Saisie!N152</f>
        <v>0</v>
      </c>
      <c r="Q152" s="63" t="e">
        <f t="array" ref="Q152">_xlfn.IFS(Saisie!#REF!="OUI",1,Saisie!#REF!="NON",0)</f>
        <v>#REF!</v>
      </c>
      <c r="R152" s="63" t="e">
        <f>Saisie!#REF!</f>
        <v>#REF!</v>
      </c>
      <c r="S152" s="65" t="e">
        <f>Saisie!#REF!</f>
        <v>#REF!</v>
      </c>
      <c r="T152" s="63" t="e">
        <f>Saisie!#REF!</f>
        <v>#REF!</v>
      </c>
      <c r="U152" s="63" t="e">
        <f>Saisie!#REF!</f>
        <v>#REF!</v>
      </c>
      <c r="V152" s="63" t="e">
        <f t="array" ref="V152">_xlfn.IFS(Saisie!#REF!="OUI",1,Saisie!#REF!="NON",0)</f>
        <v>#REF!</v>
      </c>
      <c r="W152" s="63" t="e">
        <f t="array" ref="W152">_xlfn.IFS(Saisie!O152="OUI",1,Saisie!O152="NON",0)</f>
        <v>#N/A</v>
      </c>
      <c r="X152" s="63">
        <f>Saisie!P152</f>
        <v>0</v>
      </c>
      <c r="Y152" s="299">
        <f>Saisie!H152</f>
        <v>0</v>
      </c>
      <c r="Z152" s="58" t="e">
        <f>Saisie!#REF!</f>
        <v>#REF!</v>
      </c>
      <c r="AA152" s="299">
        <f>Saisie!Q152</f>
        <v>0</v>
      </c>
      <c r="AB152" s="63" t="e">
        <f t="array" ref="AB152">_xlfn.IFS(Saisie!R152="OUI",1,Saisie!R152="NON",0)</f>
        <v>#N/A</v>
      </c>
      <c r="AC152" s="63">
        <f>Saisie!S152</f>
        <v>0</v>
      </c>
      <c r="AD152" s="63" t="e">
        <f t="array" ref="AD152">_xlfn.IFS(Saisie!T152="OUI",1,Saisie!T152="NON",0)</f>
        <v>#N/A</v>
      </c>
      <c r="AE152" s="171">
        <f>Saisie!U152</f>
        <v>0</v>
      </c>
      <c r="AF152" s="262">
        <v>3</v>
      </c>
      <c r="AG152" s="129">
        <f>Saisie!W152</f>
        <v>0</v>
      </c>
      <c r="AH152" s="20">
        <f>Saisie!X152</f>
        <v>0</v>
      </c>
      <c r="AI152" s="21">
        <f>Saisie!Y152</f>
        <v>0</v>
      </c>
      <c r="AJ152" s="59">
        <f>Saisie!Z152</f>
        <v>0</v>
      </c>
      <c r="AK152" s="20">
        <f>Saisie!AA152</f>
        <v>0</v>
      </c>
      <c r="AL152" s="21">
        <f>Saisie!AB152</f>
        <v>0</v>
      </c>
      <c r="AM152" s="59">
        <f>Saisie!AC152</f>
        <v>0</v>
      </c>
      <c r="AN152" s="20">
        <f>Saisie!AD152</f>
        <v>0</v>
      </c>
      <c r="AO152" s="21">
        <f>Saisie!AE152</f>
        <v>0</v>
      </c>
      <c r="AP152" s="59">
        <f>Saisie!AF152</f>
        <v>0</v>
      </c>
      <c r="AQ152" s="129" t="e">
        <f t="array" ref="AQ152">_xlfn.IFS(Saisie!AG152="OUI",1,Saisie!AG152="NON",0)</f>
        <v>#N/A</v>
      </c>
      <c r="AR152" s="129" t="e">
        <f t="array" ref="AR152">_xlfn.IFS(Saisie!AH152="OUI",1,Saisie!AH152="NON",0)</f>
        <v>#N/A</v>
      </c>
      <c r="AS152" s="171">
        <f>Saisie!AI152</f>
        <v>0</v>
      </c>
      <c r="AT152" s="263" t="e">
        <f t="array" ref="AT152">_xlfn.IFS(Saisie!AJ152="OUI",1,Saisie!AJ152="NON",0)</f>
        <v>#N/A</v>
      </c>
      <c r="AU152" s="173">
        <f>Saisie!AK152</f>
        <v>0</v>
      </c>
      <c r="AV152" s="263" t="e">
        <f t="array" ref="AV152">_xlfn.IFS(Saisie!AL152="OUI",1,Saisie!AL152="NON",0)</f>
        <v>#N/A</v>
      </c>
      <c r="AW152" s="171">
        <f>Saisie!AM152</f>
        <v>0</v>
      </c>
      <c r="AX152" s="68">
        <f>Saisie!AN152</f>
        <v>0</v>
      </c>
      <c r="AY152" s="20">
        <f>Saisie!AO152</f>
        <v>0</v>
      </c>
      <c r="AZ152" s="21">
        <f>Saisie!AP152</f>
        <v>0</v>
      </c>
      <c r="BA152" s="298">
        <f>Saisie!AQ152</f>
        <v>0</v>
      </c>
      <c r="BB152" s="170">
        <f>Saisie!AR152</f>
        <v>0</v>
      </c>
      <c r="BC152" s="174">
        <f>Saisie!AS152</f>
        <v>0</v>
      </c>
      <c r="BD152" s="61">
        <f>Saisie!AT152</f>
        <v>0</v>
      </c>
      <c r="BE152" s="175" t="e">
        <f t="array" ref="BE152">_xlfn.IFS(Saisie!AU152="OUI",1,Saisie!AU152="NON",0)</f>
        <v>#N/A</v>
      </c>
      <c r="BF152" s="267">
        <f>Saisie!AV152</f>
        <v>0</v>
      </c>
      <c r="BG152" s="55">
        <f>Saisie!AW152</f>
        <v>0</v>
      </c>
      <c r="BH152" s="55" t="e">
        <f t="array" ref="BH152">_xlfn.IFS(Saisie!AX152="OUI",1,Saisie!AX152="NON",0)</f>
        <v>#N/A</v>
      </c>
      <c r="BI152" s="62">
        <f>Saisie!AY152</f>
        <v>0</v>
      </c>
      <c r="BJ152" s="55" t="e">
        <f t="array" ref="BJ152">_xlfn.IFS(Saisie!AZ152="OUI",1,Saisie!AZ152="NON",0)</f>
        <v>#N/A</v>
      </c>
      <c r="BK152" s="55" t="e">
        <f t="array" ref="BK152">_xlfn.IFS(Saisie!BA152="OUI",1,Saisie!BA152="NON",0)</f>
        <v>#N/A</v>
      </c>
      <c r="BL152" s="55">
        <f>Saisie!BB152</f>
        <v>0</v>
      </c>
      <c r="BM152" s="49" t="e">
        <f>Saisie!BC152</f>
        <v>#REF!</v>
      </c>
      <c r="BN152" s="175"/>
    </row>
    <row r="153" spans="1:66" s="176" customFormat="1" x14ac:dyDescent="0.45">
      <c r="A153" s="13">
        <v>147</v>
      </c>
      <c r="B153" s="150">
        <f>Saisie!B153</f>
        <v>0</v>
      </c>
      <c r="C153" s="150">
        <f>Saisie!C153</f>
        <v>0</v>
      </c>
      <c r="D153" s="150">
        <f>Saisie!D153</f>
        <v>0</v>
      </c>
      <c r="E153" s="150">
        <f>Saisie!E153</f>
        <v>0</v>
      </c>
      <c r="F153" s="150">
        <f>Saisie!F153</f>
        <v>0</v>
      </c>
      <c r="G153" s="150">
        <f>Saisie!G153</f>
        <v>0</v>
      </c>
      <c r="H153" s="150">
        <f>Saisie!I153</f>
        <v>0</v>
      </c>
      <c r="I153" s="150">
        <f>Saisie!J153</f>
        <v>0</v>
      </c>
      <c r="J153" s="150">
        <f>Saisie!K153</f>
        <v>0</v>
      </c>
      <c r="K153" s="150">
        <f>Saisie!L153</f>
        <v>0</v>
      </c>
      <c r="L153" s="150" t="e">
        <f>Saisie!#REF!</f>
        <v>#REF!</v>
      </c>
      <c r="M153" s="55" t="e">
        <f t="array" ref="M153">_xlfn.IFS(Saisie!M153="OUI",1,Saisie!M153="NON",0)</f>
        <v>#N/A</v>
      </c>
      <c r="N153" s="64" t="e">
        <f>Saisie!#REF!</f>
        <v>#REF!</v>
      </c>
      <c r="O153" s="63" t="e">
        <f>Saisie!#REF!</f>
        <v>#REF!</v>
      </c>
      <c r="P153" s="63">
        <f>Saisie!N153</f>
        <v>0</v>
      </c>
      <c r="Q153" s="63" t="e">
        <f t="array" ref="Q153">_xlfn.IFS(Saisie!#REF!="OUI",1,Saisie!#REF!="NON",0)</f>
        <v>#REF!</v>
      </c>
      <c r="R153" s="63" t="e">
        <f>Saisie!#REF!</f>
        <v>#REF!</v>
      </c>
      <c r="S153" s="65" t="e">
        <f>Saisie!#REF!</f>
        <v>#REF!</v>
      </c>
      <c r="T153" s="63" t="e">
        <f>Saisie!#REF!</f>
        <v>#REF!</v>
      </c>
      <c r="U153" s="63" t="e">
        <f>Saisie!#REF!</f>
        <v>#REF!</v>
      </c>
      <c r="V153" s="63" t="e">
        <f t="array" ref="V153">_xlfn.IFS(Saisie!#REF!="OUI",1,Saisie!#REF!="NON",0)</f>
        <v>#REF!</v>
      </c>
      <c r="W153" s="63" t="e">
        <f t="array" ref="W153">_xlfn.IFS(Saisie!O153="OUI",1,Saisie!O153="NON",0)</f>
        <v>#N/A</v>
      </c>
      <c r="X153" s="63">
        <f>Saisie!P153</f>
        <v>0</v>
      </c>
      <c r="Y153" s="299">
        <f>Saisie!H153</f>
        <v>0</v>
      </c>
      <c r="Z153" s="58" t="e">
        <f>Saisie!#REF!</f>
        <v>#REF!</v>
      </c>
      <c r="AA153" s="299">
        <f>Saisie!Q153</f>
        <v>0</v>
      </c>
      <c r="AB153" s="63" t="e">
        <f t="array" ref="AB153">_xlfn.IFS(Saisie!R153="OUI",1,Saisie!R153="NON",0)</f>
        <v>#N/A</v>
      </c>
      <c r="AC153" s="63">
        <f>Saisie!S153</f>
        <v>0</v>
      </c>
      <c r="AD153" s="63" t="e">
        <f t="array" ref="AD153">_xlfn.IFS(Saisie!T153="OUI",1,Saisie!T153="NON",0)</f>
        <v>#N/A</v>
      </c>
      <c r="AE153" s="171">
        <f>Saisie!U153</f>
        <v>0</v>
      </c>
      <c r="AF153" s="262">
        <v>3</v>
      </c>
      <c r="AG153" s="129">
        <f>Saisie!W153</f>
        <v>0</v>
      </c>
      <c r="AH153" s="20">
        <f>Saisie!X153</f>
        <v>0</v>
      </c>
      <c r="AI153" s="21">
        <f>Saisie!Y153</f>
        <v>0</v>
      </c>
      <c r="AJ153" s="59">
        <f>Saisie!Z153</f>
        <v>0</v>
      </c>
      <c r="AK153" s="20">
        <f>Saisie!AA153</f>
        <v>0</v>
      </c>
      <c r="AL153" s="21">
        <f>Saisie!AB153</f>
        <v>0</v>
      </c>
      <c r="AM153" s="59">
        <f>Saisie!AC153</f>
        <v>0</v>
      </c>
      <c r="AN153" s="20">
        <f>Saisie!AD153</f>
        <v>0</v>
      </c>
      <c r="AO153" s="21">
        <f>Saisie!AE153</f>
        <v>0</v>
      </c>
      <c r="AP153" s="59">
        <f>Saisie!AF153</f>
        <v>0</v>
      </c>
      <c r="AQ153" s="129" t="e">
        <f t="array" ref="AQ153">_xlfn.IFS(Saisie!AG153="OUI",1,Saisie!AG153="NON",0)</f>
        <v>#N/A</v>
      </c>
      <c r="AR153" s="129" t="e">
        <f t="array" ref="AR153">_xlfn.IFS(Saisie!AH153="OUI",1,Saisie!AH153="NON",0)</f>
        <v>#N/A</v>
      </c>
      <c r="AS153" s="171">
        <f>Saisie!AI153</f>
        <v>0</v>
      </c>
      <c r="AT153" s="263" t="e">
        <f t="array" ref="AT153">_xlfn.IFS(Saisie!AJ153="OUI",1,Saisie!AJ153="NON",0)</f>
        <v>#N/A</v>
      </c>
      <c r="AU153" s="173">
        <f>Saisie!AK153</f>
        <v>0</v>
      </c>
      <c r="AV153" s="263" t="e">
        <f t="array" ref="AV153">_xlfn.IFS(Saisie!AL153="OUI",1,Saisie!AL153="NON",0)</f>
        <v>#N/A</v>
      </c>
      <c r="AW153" s="171">
        <f>Saisie!AM153</f>
        <v>0</v>
      </c>
      <c r="AX153" s="68">
        <f>Saisie!AN153</f>
        <v>0</v>
      </c>
      <c r="AY153" s="20">
        <f>Saisie!AO153</f>
        <v>0</v>
      </c>
      <c r="AZ153" s="21">
        <f>Saisie!AP153</f>
        <v>0</v>
      </c>
      <c r="BA153" s="298">
        <f>Saisie!AQ153</f>
        <v>0</v>
      </c>
      <c r="BB153" s="170">
        <f>Saisie!AR153</f>
        <v>0</v>
      </c>
      <c r="BC153" s="174">
        <f>Saisie!AS153</f>
        <v>0</v>
      </c>
      <c r="BD153" s="61">
        <f>Saisie!AT153</f>
        <v>0</v>
      </c>
      <c r="BE153" s="175" t="e">
        <f t="array" ref="BE153">_xlfn.IFS(Saisie!AU153="OUI",1,Saisie!AU153="NON",0)</f>
        <v>#N/A</v>
      </c>
      <c r="BF153" s="267">
        <f>Saisie!AV153</f>
        <v>0</v>
      </c>
      <c r="BG153" s="55">
        <f>Saisie!AW153</f>
        <v>0</v>
      </c>
      <c r="BH153" s="55" t="e">
        <f t="array" ref="BH153">_xlfn.IFS(Saisie!AX153="OUI",1,Saisie!AX153="NON",0)</f>
        <v>#N/A</v>
      </c>
      <c r="BI153" s="62">
        <f>Saisie!AY153</f>
        <v>0</v>
      </c>
      <c r="BJ153" s="55" t="e">
        <f t="array" ref="BJ153">_xlfn.IFS(Saisie!AZ153="OUI",1,Saisie!AZ153="NON",0)</f>
        <v>#N/A</v>
      </c>
      <c r="BK153" s="55" t="e">
        <f t="array" ref="BK153">_xlfn.IFS(Saisie!BA153="OUI",1,Saisie!BA153="NON",0)</f>
        <v>#N/A</v>
      </c>
      <c r="BL153" s="55">
        <f>Saisie!BB153</f>
        <v>0</v>
      </c>
      <c r="BM153" s="49" t="e">
        <f>Saisie!BC153</f>
        <v>#REF!</v>
      </c>
      <c r="BN153" s="175"/>
    </row>
    <row r="154" spans="1:66" s="176" customFormat="1" x14ac:dyDescent="0.45">
      <c r="A154" s="12">
        <v>148</v>
      </c>
      <c r="B154" s="150">
        <f>Saisie!B154</f>
        <v>0</v>
      </c>
      <c r="C154" s="150">
        <f>Saisie!C154</f>
        <v>0</v>
      </c>
      <c r="D154" s="150">
        <f>Saisie!D154</f>
        <v>0</v>
      </c>
      <c r="E154" s="150">
        <f>Saisie!E154</f>
        <v>0</v>
      </c>
      <c r="F154" s="150">
        <f>Saisie!F154</f>
        <v>0</v>
      </c>
      <c r="G154" s="150">
        <f>Saisie!G154</f>
        <v>0</v>
      </c>
      <c r="H154" s="150">
        <f>Saisie!I154</f>
        <v>0</v>
      </c>
      <c r="I154" s="150">
        <f>Saisie!J154</f>
        <v>0</v>
      </c>
      <c r="J154" s="150">
        <f>Saisie!K154</f>
        <v>0</v>
      </c>
      <c r="K154" s="150">
        <f>Saisie!L154</f>
        <v>0</v>
      </c>
      <c r="L154" s="150" t="e">
        <f>Saisie!#REF!</f>
        <v>#REF!</v>
      </c>
      <c r="M154" s="55" t="e">
        <f t="array" ref="M154">_xlfn.IFS(Saisie!M154="OUI",1,Saisie!M154="NON",0)</f>
        <v>#N/A</v>
      </c>
      <c r="N154" s="64" t="e">
        <f>Saisie!#REF!</f>
        <v>#REF!</v>
      </c>
      <c r="O154" s="63" t="e">
        <f>Saisie!#REF!</f>
        <v>#REF!</v>
      </c>
      <c r="P154" s="63">
        <f>Saisie!N154</f>
        <v>0</v>
      </c>
      <c r="Q154" s="63" t="e">
        <f t="array" ref="Q154">_xlfn.IFS(Saisie!#REF!="OUI",1,Saisie!#REF!="NON",0)</f>
        <v>#REF!</v>
      </c>
      <c r="R154" s="63" t="e">
        <f>Saisie!#REF!</f>
        <v>#REF!</v>
      </c>
      <c r="S154" s="65" t="e">
        <f>Saisie!#REF!</f>
        <v>#REF!</v>
      </c>
      <c r="T154" s="63" t="e">
        <f>Saisie!#REF!</f>
        <v>#REF!</v>
      </c>
      <c r="U154" s="63" t="e">
        <f>Saisie!#REF!</f>
        <v>#REF!</v>
      </c>
      <c r="V154" s="63" t="e">
        <f t="array" ref="V154">_xlfn.IFS(Saisie!#REF!="OUI",1,Saisie!#REF!="NON",0)</f>
        <v>#REF!</v>
      </c>
      <c r="W154" s="63" t="e">
        <f t="array" ref="W154">_xlfn.IFS(Saisie!O154="OUI",1,Saisie!O154="NON",0)</f>
        <v>#N/A</v>
      </c>
      <c r="X154" s="63">
        <f>Saisie!P154</f>
        <v>0</v>
      </c>
      <c r="Y154" s="299">
        <f>Saisie!H154</f>
        <v>0</v>
      </c>
      <c r="Z154" s="58" t="e">
        <f>Saisie!#REF!</f>
        <v>#REF!</v>
      </c>
      <c r="AA154" s="299">
        <f>Saisie!Q154</f>
        <v>0</v>
      </c>
      <c r="AB154" s="63" t="e">
        <f t="array" ref="AB154">_xlfn.IFS(Saisie!R154="OUI",1,Saisie!R154="NON",0)</f>
        <v>#N/A</v>
      </c>
      <c r="AC154" s="63">
        <f>Saisie!S154</f>
        <v>0</v>
      </c>
      <c r="AD154" s="63" t="e">
        <f t="array" ref="AD154">_xlfn.IFS(Saisie!T154="OUI",1,Saisie!T154="NON",0)</f>
        <v>#N/A</v>
      </c>
      <c r="AE154" s="171">
        <f>Saisie!U154</f>
        <v>0</v>
      </c>
      <c r="AF154" s="262">
        <v>3</v>
      </c>
      <c r="AG154" s="129">
        <f>Saisie!W154</f>
        <v>0</v>
      </c>
      <c r="AH154" s="20">
        <f>Saisie!X154</f>
        <v>0</v>
      </c>
      <c r="AI154" s="21">
        <f>Saisie!Y154</f>
        <v>0</v>
      </c>
      <c r="AJ154" s="59">
        <f>Saisie!Z154</f>
        <v>0</v>
      </c>
      <c r="AK154" s="20">
        <f>Saisie!AA154</f>
        <v>0</v>
      </c>
      <c r="AL154" s="21">
        <f>Saisie!AB154</f>
        <v>0</v>
      </c>
      <c r="AM154" s="59">
        <f>Saisie!AC154</f>
        <v>0</v>
      </c>
      <c r="AN154" s="20">
        <f>Saisie!AD154</f>
        <v>0</v>
      </c>
      <c r="AO154" s="21">
        <f>Saisie!AE154</f>
        <v>0</v>
      </c>
      <c r="AP154" s="59">
        <f>Saisie!AF154</f>
        <v>0</v>
      </c>
      <c r="AQ154" s="129" t="e">
        <f t="array" ref="AQ154">_xlfn.IFS(Saisie!AG154="OUI",1,Saisie!AG154="NON",0)</f>
        <v>#N/A</v>
      </c>
      <c r="AR154" s="129" t="e">
        <f t="array" ref="AR154">_xlfn.IFS(Saisie!AH154="OUI",1,Saisie!AH154="NON",0)</f>
        <v>#N/A</v>
      </c>
      <c r="AS154" s="171">
        <f>Saisie!AI154</f>
        <v>0</v>
      </c>
      <c r="AT154" s="263" t="e">
        <f t="array" ref="AT154">_xlfn.IFS(Saisie!AJ154="OUI",1,Saisie!AJ154="NON",0)</f>
        <v>#N/A</v>
      </c>
      <c r="AU154" s="173">
        <f>Saisie!AK154</f>
        <v>0</v>
      </c>
      <c r="AV154" s="263" t="e">
        <f t="array" ref="AV154">_xlfn.IFS(Saisie!AL154="OUI",1,Saisie!AL154="NON",0)</f>
        <v>#N/A</v>
      </c>
      <c r="AW154" s="171">
        <f>Saisie!AM154</f>
        <v>0</v>
      </c>
      <c r="AX154" s="68">
        <f>Saisie!AN154</f>
        <v>0</v>
      </c>
      <c r="AY154" s="20">
        <f>Saisie!AO154</f>
        <v>0</v>
      </c>
      <c r="AZ154" s="21">
        <f>Saisie!AP154</f>
        <v>0</v>
      </c>
      <c r="BA154" s="298">
        <f>Saisie!AQ154</f>
        <v>0</v>
      </c>
      <c r="BB154" s="170">
        <f>Saisie!AR154</f>
        <v>0</v>
      </c>
      <c r="BC154" s="174">
        <f>Saisie!AS154</f>
        <v>0</v>
      </c>
      <c r="BD154" s="61">
        <f>Saisie!AT154</f>
        <v>0</v>
      </c>
      <c r="BE154" s="175" t="e">
        <f t="array" ref="BE154">_xlfn.IFS(Saisie!AU154="OUI",1,Saisie!AU154="NON",0)</f>
        <v>#N/A</v>
      </c>
      <c r="BF154" s="267">
        <f>Saisie!AV154</f>
        <v>0</v>
      </c>
      <c r="BG154" s="55">
        <f>Saisie!AW154</f>
        <v>0</v>
      </c>
      <c r="BH154" s="55" t="e">
        <f t="array" ref="BH154">_xlfn.IFS(Saisie!AX154="OUI",1,Saisie!AX154="NON",0)</f>
        <v>#N/A</v>
      </c>
      <c r="BI154" s="62">
        <f>Saisie!AY154</f>
        <v>0</v>
      </c>
      <c r="BJ154" s="55" t="e">
        <f t="array" ref="BJ154">_xlfn.IFS(Saisie!AZ154="OUI",1,Saisie!AZ154="NON",0)</f>
        <v>#N/A</v>
      </c>
      <c r="BK154" s="55" t="e">
        <f t="array" ref="BK154">_xlfn.IFS(Saisie!BA154="OUI",1,Saisie!BA154="NON",0)</f>
        <v>#N/A</v>
      </c>
      <c r="BL154" s="55">
        <f>Saisie!BB154</f>
        <v>0</v>
      </c>
      <c r="BM154" s="49" t="e">
        <f>Saisie!BC154</f>
        <v>#REF!</v>
      </c>
      <c r="BN154" s="175"/>
    </row>
    <row r="155" spans="1:66" s="176" customFormat="1" x14ac:dyDescent="0.45">
      <c r="A155" s="13">
        <v>149</v>
      </c>
      <c r="B155" s="150">
        <f>Saisie!B155</f>
        <v>0</v>
      </c>
      <c r="C155" s="150">
        <f>Saisie!C155</f>
        <v>0</v>
      </c>
      <c r="D155" s="150">
        <f>Saisie!D155</f>
        <v>0</v>
      </c>
      <c r="E155" s="150">
        <f>Saisie!E155</f>
        <v>0</v>
      </c>
      <c r="F155" s="150">
        <f>Saisie!F155</f>
        <v>0</v>
      </c>
      <c r="G155" s="150">
        <f>Saisie!G155</f>
        <v>0</v>
      </c>
      <c r="H155" s="150">
        <f>Saisie!I155</f>
        <v>0</v>
      </c>
      <c r="I155" s="150">
        <f>Saisie!J155</f>
        <v>0</v>
      </c>
      <c r="J155" s="150">
        <f>Saisie!K155</f>
        <v>0</v>
      </c>
      <c r="K155" s="150">
        <f>Saisie!L155</f>
        <v>0</v>
      </c>
      <c r="L155" s="150" t="e">
        <f>Saisie!#REF!</f>
        <v>#REF!</v>
      </c>
      <c r="M155" s="55" t="e">
        <f t="array" ref="M155">_xlfn.IFS(Saisie!M155="OUI",1,Saisie!M155="NON",0)</f>
        <v>#N/A</v>
      </c>
      <c r="N155" s="64" t="e">
        <f>Saisie!#REF!</f>
        <v>#REF!</v>
      </c>
      <c r="O155" s="63" t="e">
        <f>Saisie!#REF!</f>
        <v>#REF!</v>
      </c>
      <c r="P155" s="63">
        <f>Saisie!N155</f>
        <v>0</v>
      </c>
      <c r="Q155" s="63" t="e">
        <f t="array" ref="Q155">_xlfn.IFS(Saisie!#REF!="OUI",1,Saisie!#REF!="NON",0)</f>
        <v>#REF!</v>
      </c>
      <c r="R155" s="63" t="e">
        <f>Saisie!#REF!</f>
        <v>#REF!</v>
      </c>
      <c r="S155" s="65" t="e">
        <f>Saisie!#REF!</f>
        <v>#REF!</v>
      </c>
      <c r="T155" s="63" t="e">
        <f>Saisie!#REF!</f>
        <v>#REF!</v>
      </c>
      <c r="U155" s="63" t="e">
        <f>Saisie!#REF!</f>
        <v>#REF!</v>
      </c>
      <c r="V155" s="63" t="e">
        <f t="array" ref="V155">_xlfn.IFS(Saisie!#REF!="OUI",1,Saisie!#REF!="NON",0)</f>
        <v>#REF!</v>
      </c>
      <c r="W155" s="63" t="e">
        <f t="array" ref="W155">_xlfn.IFS(Saisie!O155="OUI",1,Saisie!O155="NON",0)</f>
        <v>#N/A</v>
      </c>
      <c r="X155" s="63">
        <f>Saisie!P155</f>
        <v>0</v>
      </c>
      <c r="Y155" s="299">
        <f>Saisie!H155</f>
        <v>0</v>
      </c>
      <c r="Z155" s="58" t="e">
        <f>Saisie!#REF!</f>
        <v>#REF!</v>
      </c>
      <c r="AA155" s="299">
        <f>Saisie!Q155</f>
        <v>0</v>
      </c>
      <c r="AB155" s="63" t="e">
        <f t="array" ref="AB155">_xlfn.IFS(Saisie!R155="OUI",1,Saisie!R155="NON",0)</f>
        <v>#N/A</v>
      </c>
      <c r="AC155" s="63">
        <f>Saisie!S155</f>
        <v>0</v>
      </c>
      <c r="AD155" s="63" t="e">
        <f t="array" ref="AD155">_xlfn.IFS(Saisie!T155="OUI",1,Saisie!T155="NON",0)</f>
        <v>#N/A</v>
      </c>
      <c r="AE155" s="171">
        <f>Saisie!U155</f>
        <v>0</v>
      </c>
      <c r="AF155" s="262">
        <v>1</v>
      </c>
      <c r="AG155" s="129">
        <f>Saisie!W155</f>
        <v>0</v>
      </c>
      <c r="AH155" s="20">
        <f>Saisie!X155</f>
        <v>0</v>
      </c>
      <c r="AI155" s="21">
        <f>Saisie!Y155</f>
        <v>0</v>
      </c>
      <c r="AJ155" s="59">
        <f>Saisie!Z155</f>
        <v>0</v>
      </c>
      <c r="AK155" s="20">
        <f>Saisie!AA155</f>
        <v>0</v>
      </c>
      <c r="AL155" s="21">
        <f>Saisie!AB155</f>
        <v>0</v>
      </c>
      <c r="AM155" s="59">
        <f>Saisie!AC155</f>
        <v>0</v>
      </c>
      <c r="AN155" s="20">
        <f>Saisie!AD155</f>
        <v>0</v>
      </c>
      <c r="AO155" s="21">
        <f>Saisie!AE155</f>
        <v>0</v>
      </c>
      <c r="AP155" s="59">
        <f>Saisie!AF155</f>
        <v>0</v>
      </c>
      <c r="AQ155" s="129" t="e">
        <f t="array" ref="AQ155">_xlfn.IFS(Saisie!AG155="OUI",1,Saisie!AG155="NON",0)</f>
        <v>#N/A</v>
      </c>
      <c r="AR155" s="129" t="e">
        <f t="array" ref="AR155">_xlfn.IFS(Saisie!AH155="OUI",1,Saisie!AH155="NON",0)</f>
        <v>#N/A</v>
      </c>
      <c r="AS155" s="171">
        <f>Saisie!AI155</f>
        <v>0</v>
      </c>
      <c r="AT155" s="263" t="e">
        <f t="array" ref="AT155">_xlfn.IFS(Saisie!AJ155="OUI",1,Saisie!AJ155="NON",0)</f>
        <v>#N/A</v>
      </c>
      <c r="AU155" s="173">
        <f>Saisie!AK155</f>
        <v>0</v>
      </c>
      <c r="AV155" s="263" t="e">
        <f t="array" ref="AV155">_xlfn.IFS(Saisie!AL155="OUI",1,Saisie!AL155="NON",0)</f>
        <v>#N/A</v>
      </c>
      <c r="AW155" s="171">
        <f>Saisie!AM155</f>
        <v>0</v>
      </c>
      <c r="AX155" s="68">
        <f>Saisie!AN155</f>
        <v>0</v>
      </c>
      <c r="AY155" s="20">
        <f>Saisie!AO155</f>
        <v>0</v>
      </c>
      <c r="AZ155" s="21">
        <f>Saisie!AP155</f>
        <v>0</v>
      </c>
      <c r="BA155" s="298">
        <f>Saisie!AQ155</f>
        <v>0</v>
      </c>
      <c r="BB155" s="170">
        <f>Saisie!AR155</f>
        <v>0</v>
      </c>
      <c r="BC155" s="174">
        <f>Saisie!AS155</f>
        <v>0</v>
      </c>
      <c r="BD155" s="61">
        <f>Saisie!AT155</f>
        <v>0</v>
      </c>
      <c r="BE155" s="175" t="e">
        <f t="array" ref="BE155">_xlfn.IFS(Saisie!AU155="OUI",1,Saisie!AU155="NON",0)</f>
        <v>#N/A</v>
      </c>
      <c r="BF155" s="267">
        <f>Saisie!AV155</f>
        <v>0</v>
      </c>
      <c r="BG155" s="55">
        <f>Saisie!AW155</f>
        <v>0</v>
      </c>
      <c r="BH155" s="55" t="e">
        <f t="array" ref="BH155">_xlfn.IFS(Saisie!AX155="OUI",1,Saisie!AX155="NON",0)</f>
        <v>#N/A</v>
      </c>
      <c r="BI155" s="62">
        <f>Saisie!AY155</f>
        <v>0</v>
      </c>
      <c r="BJ155" s="55" t="e">
        <f t="array" ref="BJ155">_xlfn.IFS(Saisie!AZ155="OUI",1,Saisie!AZ155="NON",0)</f>
        <v>#N/A</v>
      </c>
      <c r="BK155" s="55" t="e">
        <f t="array" ref="BK155">_xlfn.IFS(Saisie!BA155="OUI",1,Saisie!BA155="NON",0)</f>
        <v>#N/A</v>
      </c>
      <c r="BL155" s="55">
        <f>Saisie!BB155</f>
        <v>0</v>
      </c>
      <c r="BM155" s="49" t="e">
        <f>Saisie!BC155</f>
        <v>#REF!</v>
      </c>
      <c r="BN155" s="175"/>
    </row>
    <row r="156" spans="1:66" s="176" customFormat="1" x14ac:dyDescent="0.45">
      <c r="A156" s="13">
        <v>150</v>
      </c>
      <c r="B156" s="150">
        <f>Saisie!B156</f>
        <v>0</v>
      </c>
      <c r="C156" s="150">
        <f>Saisie!C156</f>
        <v>0</v>
      </c>
      <c r="D156" s="150">
        <f>Saisie!D156</f>
        <v>0</v>
      </c>
      <c r="E156" s="150">
        <f>Saisie!E156</f>
        <v>0</v>
      </c>
      <c r="F156" s="150">
        <f>Saisie!F156</f>
        <v>0</v>
      </c>
      <c r="G156" s="150">
        <f>Saisie!G156</f>
        <v>0</v>
      </c>
      <c r="H156" s="150">
        <f>Saisie!I156</f>
        <v>0</v>
      </c>
      <c r="I156" s="150">
        <f>Saisie!J156</f>
        <v>0</v>
      </c>
      <c r="J156" s="150">
        <f>Saisie!K156</f>
        <v>0</v>
      </c>
      <c r="K156" s="150">
        <f>Saisie!L156</f>
        <v>0</v>
      </c>
      <c r="L156" s="150" t="e">
        <f>Saisie!#REF!</f>
        <v>#REF!</v>
      </c>
      <c r="M156" s="55" t="e">
        <f t="array" ref="M156">_xlfn.IFS(Saisie!M156="OUI",1,Saisie!M156="NON",0)</f>
        <v>#N/A</v>
      </c>
      <c r="N156" s="64" t="e">
        <f>Saisie!#REF!</f>
        <v>#REF!</v>
      </c>
      <c r="O156" s="63" t="e">
        <f>Saisie!#REF!</f>
        <v>#REF!</v>
      </c>
      <c r="P156" s="63">
        <f>Saisie!N156</f>
        <v>0</v>
      </c>
      <c r="Q156" s="63" t="e">
        <f t="array" ref="Q156">_xlfn.IFS(Saisie!#REF!="OUI",1,Saisie!#REF!="NON",0)</f>
        <v>#REF!</v>
      </c>
      <c r="R156" s="63" t="e">
        <f>Saisie!#REF!</f>
        <v>#REF!</v>
      </c>
      <c r="S156" s="65" t="e">
        <f>Saisie!#REF!</f>
        <v>#REF!</v>
      </c>
      <c r="T156" s="63" t="e">
        <f>Saisie!#REF!</f>
        <v>#REF!</v>
      </c>
      <c r="U156" s="63" t="e">
        <f>Saisie!#REF!</f>
        <v>#REF!</v>
      </c>
      <c r="V156" s="63" t="e">
        <f t="array" ref="V156">_xlfn.IFS(Saisie!#REF!="OUI",1,Saisie!#REF!="NON",0)</f>
        <v>#REF!</v>
      </c>
      <c r="W156" s="63" t="e">
        <f t="array" ref="W156">_xlfn.IFS(Saisie!O156="OUI",1,Saisie!O156="NON",0)</f>
        <v>#N/A</v>
      </c>
      <c r="X156" s="63">
        <f>Saisie!P156</f>
        <v>0</v>
      </c>
      <c r="Y156" s="299">
        <f>Saisie!H156</f>
        <v>0</v>
      </c>
      <c r="Z156" s="58" t="e">
        <f>Saisie!#REF!</f>
        <v>#REF!</v>
      </c>
      <c r="AA156" s="299">
        <f>Saisie!Q156</f>
        <v>0</v>
      </c>
      <c r="AB156" s="63" t="e">
        <f t="array" ref="AB156">_xlfn.IFS(Saisie!R156="OUI",1,Saisie!R156="NON",0)</f>
        <v>#N/A</v>
      </c>
      <c r="AC156" s="63">
        <f>Saisie!S156</f>
        <v>0</v>
      </c>
      <c r="AD156" s="63" t="e">
        <f t="array" ref="AD156">_xlfn.IFS(Saisie!T156="OUI",1,Saisie!T156="NON",0)</f>
        <v>#N/A</v>
      </c>
      <c r="AE156" s="171">
        <f>Saisie!U156</f>
        <v>0</v>
      </c>
      <c r="AF156" s="262">
        <v>1</v>
      </c>
      <c r="AG156" s="129">
        <f>Saisie!W156</f>
        <v>0</v>
      </c>
      <c r="AH156" s="20">
        <f>Saisie!X156</f>
        <v>0</v>
      </c>
      <c r="AI156" s="21">
        <f>Saisie!Y156</f>
        <v>0</v>
      </c>
      <c r="AJ156" s="59">
        <f>Saisie!Z156</f>
        <v>0</v>
      </c>
      <c r="AK156" s="20">
        <f>Saisie!AA156</f>
        <v>0</v>
      </c>
      <c r="AL156" s="21">
        <f>Saisie!AB156</f>
        <v>0</v>
      </c>
      <c r="AM156" s="59">
        <f>Saisie!AC156</f>
        <v>0</v>
      </c>
      <c r="AN156" s="20">
        <f>Saisie!AD156</f>
        <v>0</v>
      </c>
      <c r="AO156" s="21">
        <f>Saisie!AE156</f>
        <v>0</v>
      </c>
      <c r="AP156" s="59">
        <f>Saisie!AF156</f>
        <v>0</v>
      </c>
      <c r="AQ156" s="129" t="e">
        <f t="array" ref="AQ156">_xlfn.IFS(Saisie!AG156="OUI",1,Saisie!AG156="NON",0)</f>
        <v>#N/A</v>
      </c>
      <c r="AR156" s="129" t="e">
        <f t="array" ref="AR156">_xlfn.IFS(Saisie!AH156="OUI",1,Saisie!AH156="NON",0)</f>
        <v>#N/A</v>
      </c>
      <c r="AS156" s="171">
        <f>Saisie!AI156</f>
        <v>0</v>
      </c>
      <c r="AT156" s="263" t="e">
        <f t="array" ref="AT156">_xlfn.IFS(Saisie!AJ156="OUI",1,Saisie!AJ156="NON",0)</f>
        <v>#N/A</v>
      </c>
      <c r="AU156" s="173">
        <f>Saisie!AK156</f>
        <v>0</v>
      </c>
      <c r="AV156" s="263" t="e">
        <f t="array" ref="AV156">_xlfn.IFS(Saisie!AL156="OUI",1,Saisie!AL156="NON",0)</f>
        <v>#N/A</v>
      </c>
      <c r="AW156" s="171">
        <f>Saisie!AM156</f>
        <v>0</v>
      </c>
      <c r="AX156" s="68">
        <f>Saisie!AN156</f>
        <v>0</v>
      </c>
      <c r="AY156" s="20">
        <f>Saisie!AO156</f>
        <v>0</v>
      </c>
      <c r="AZ156" s="21">
        <f>Saisie!AP156</f>
        <v>0</v>
      </c>
      <c r="BA156" s="298">
        <f>Saisie!AQ156</f>
        <v>0</v>
      </c>
      <c r="BB156" s="170">
        <f>Saisie!AR156</f>
        <v>0</v>
      </c>
      <c r="BC156" s="174">
        <f>Saisie!AS156</f>
        <v>0</v>
      </c>
      <c r="BD156" s="61">
        <f>Saisie!AT156</f>
        <v>0</v>
      </c>
      <c r="BE156" s="175" t="e">
        <f t="array" ref="BE156">_xlfn.IFS(Saisie!AU156="OUI",1,Saisie!AU156="NON",0)</f>
        <v>#N/A</v>
      </c>
      <c r="BF156" s="267">
        <f>Saisie!AV156</f>
        <v>0</v>
      </c>
      <c r="BG156" s="55">
        <f>Saisie!AW156</f>
        <v>0</v>
      </c>
      <c r="BH156" s="55" t="e">
        <f t="array" ref="BH156">_xlfn.IFS(Saisie!AX156="OUI",1,Saisie!AX156="NON",0)</f>
        <v>#N/A</v>
      </c>
      <c r="BI156" s="62">
        <f>Saisie!AY156</f>
        <v>0</v>
      </c>
      <c r="BJ156" s="55" t="e">
        <f t="array" ref="BJ156">_xlfn.IFS(Saisie!AZ156="OUI",1,Saisie!AZ156="NON",0)</f>
        <v>#N/A</v>
      </c>
      <c r="BK156" s="55" t="e">
        <f t="array" ref="BK156">_xlfn.IFS(Saisie!BA156="OUI",1,Saisie!BA156="NON",0)</f>
        <v>#N/A</v>
      </c>
      <c r="BL156" s="55">
        <f>Saisie!BB156</f>
        <v>0</v>
      </c>
      <c r="BM156" s="49" t="e">
        <f>Saisie!BC156</f>
        <v>#REF!</v>
      </c>
      <c r="BN156" s="175"/>
    </row>
    <row r="157" spans="1:66" s="176" customFormat="1" x14ac:dyDescent="0.45">
      <c r="A157" s="12">
        <v>151</v>
      </c>
      <c r="B157" s="150">
        <f>Saisie!B157</f>
        <v>0</v>
      </c>
      <c r="C157" s="150">
        <f>Saisie!C157</f>
        <v>0</v>
      </c>
      <c r="D157" s="150">
        <f>Saisie!D157</f>
        <v>0</v>
      </c>
      <c r="E157" s="150">
        <f>Saisie!E157</f>
        <v>0</v>
      </c>
      <c r="F157" s="150">
        <f>Saisie!F157</f>
        <v>0</v>
      </c>
      <c r="G157" s="150">
        <f>Saisie!G157</f>
        <v>0</v>
      </c>
      <c r="H157" s="150">
        <f>Saisie!I157</f>
        <v>0</v>
      </c>
      <c r="I157" s="150">
        <f>Saisie!J157</f>
        <v>0</v>
      </c>
      <c r="J157" s="150">
        <f>Saisie!K157</f>
        <v>0</v>
      </c>
      <c r="K157" s="150">
        <f>Saisie!L157</f>
        <v>0</v>
      </c>
      <c r="L157" s="150" t="e">
        <f>Saisie!#REF!</f>
        <v>#REF!</v>
      </c>
      <c r="M157" s="55" t="e">
        <f t="array" ref="M157">_xlfn.IFS(Saisie!M157="OUI",1,Saisie!M157="NON",0)</f>
        <v>#N/A</v>
      </c>
      <c r="N157" s="64" t="e">
        <f>Saisie!#REF!</f>
        <v>#REF!</v>
      </c>
      <c r="O157" s="63" t="e">
        <f>Saisie!#REF!</f>
        <v>#REF!</v>
      </c>
      <c r="P157" s="63">
        <f>Saisie!N157</f>
        <v>0</v>
      </c>
      <c r="Q157" s="63" t="e">
        <f t="array" ref="Q157">_xlfn.IFS(Saisie!#REF!="OUI",1,Saisie!#REF!="NON",0)</f>
        <v>#REF!</v>
      </c>
      <c r="R157" s="63" t="e">
        <f>Saisie!#REF!</f>
        <v>#REF!</v>
      </c>
      <c r="S157" s="65" t="e">
        <f>Saisie!#REF!</f>
        <v>#REF!</v>
      </c>
      <c r="T157" s="63" t="e">
        <f>Saisie!#REF!</f>
        <v>#REF!</v>
      </c>
      <c r="U157" s="63" t="e">
        <f>Saisie!#REF!</f>
        <v>#REF!</v>
      </c>
      <c r="V157" s="63" t="e">
        <f t="array" ref="V157">_xlfn.IFS(Saisie!#REF!="OUI",1,Saisie!#REF!="NON",0)</f>
        <v>#REF!</v>
      </c>
      <c r="W157" s="63" t="e">
        <f t="array" ref="W157">_xlfn.IFS(Saisie!O157="OUI",1,Saisie!O157="NON",0)</f>
        <v>#N/A</v>
      </c>
      <c r="X157" s="63">
        <f>Saisie!P157</f>
        <v>0</v>
      </c>
      <c r="Y157" s="299">
        <f>Saisie!H157</f>
        <v>0</v>
      </c>
      <c r="Z157" s="58" t="e">
        <f>Saisie!#REF!</f>
        <v>#REF!</v>
      </c>
      <c r="AA157" s="299">
        <f>Saisie!Q157</f>
        <v>0</v>
      </c>
      <c r="AB157" s="63" t="e">
        <f t="array" ref="AB157">_xlfn.IFS(Saisie!R157="OUI",1,Saisie!R157="NON",0)</f>
        <v>#N/A</v>
      </c>
      <c r="AC157" s="63">
        <f>Saisie!S157</f>
        <v>0</v>
      </c>
      <c r="AD157" s="63" t="e">
        <f t="array" ref="AD157">_xlfn.IFS(Saisie!T157="OUI",1,Saisie!T157="NON",0)</f>
        <v>#N/A</v>
      </c>
      <c r="AE157" s="171">
        <f>Saisie!U157</f>
        <v>0</v>
      </c>
      <c r="AF157" s="262">
        <v>3</v>
      </c>
      <c r="AG157" s="129">
        <f>Saisie!W157</f>
        <v>0</v>
      </c>
      <c r="AH157" s="20">
        <f>Saisie!X157</f>
        <v>0</v>
      </c>
      <c r="AI157" s="21">
        <f>Saisie!Y157</f>
        <v>0</v>
      </c>
      <c r="AJ157" s="59">
        <f>Saisie!Z157</f>
        <v>0</v>
      </c>
      <c r="AK157" s="20">
        <f>Saisie!AA157</f>
        <v>0</v>
      </c>
      <c r="AL157" s="21">
        <f>Saisie!AB157</f>
        <v>0</v>
      </c>
      <c r="AM157" s="59">
        <f>Saisie!AC157</f>
        <v>0</v>
      </c>
      <c r="AN157" s="20">
        <f>Saisie!AD157</f>
        <v>0</v>
      </c>
      <c r="AO157" s="21">
        <f>Saisie!AE157</f>
        <v>0</v>
      </c>
      <c r="AP157" s="59">
        <f>Saisie!AF157</f>
        <v>0</v>
      </c>
      <c r="AQ157" s="129" t="e">
        <f t="array" ref="AQ157">_xlfn.IFS(Saisie!AG157="OUI",1,Saisie!AG157="NON",0)</f>
        <v>#N/A</v>
      </c>
      <c r="AR157" s="129" t="e">
        <f t="array" ref="AR157">_xlfn.IFS(Saisie!AH157="OUI",1,Saisie!AH157="NON",0)</f>
        <v>#N/A</v>
      </c>
      <c r="AS157" s="171">
        <f>Saisie!AI157</f>
        <v>0</v>
      </c>
      <c r="AT157" s="263" t="e">
        <f t="array" ref="AT157">_xlfn.IFS(Saisie!AJ157="OUI",1,Saisie!AJ157="NON",0)</f>
        <v>#N/A</v>
      </c>
      <c r="AU157" s="173">
        <f>Saisie!AK157</f>
        <v>0</v>
      </c>
      <c r="AV157" s="263" t="e">
        <f t="array" ref="AV157">_xlfn.IFS(Saisie!AL157="OUI",1,Saisie!AL157="NON",0)</f>
        <v>#N/A</v>
      </c>
      <c r="AW157" s="171">
        <f>Saisie!AM157</f>
        <v>0</v>
      </c>
      <c r="AX157" s="68">
        <f>Saisie!AN157</f>
        <v>0</v>
      </c>
      <c r="AY157" s="20">
        <f>Saisie!AO157</f>
        <v>0</v>
      </c>
      <c r="AZ157" s="21">
        <f>Saisie!AP157</f>
        <v>0</v>
      </c>
      <c r="BA157" s="298">
        <f>Saisie!AQ157</f>
        <v>0</v>
      </c>
      <c r="BB157" s="170">
        <f>Saisie!AR157</f>
        <v>0</v>
      </c>
      <c r="BC157" s="174">
        <f>Saisie!AS157</f>
        <v>0</v>
      </c>
      <c r="BD157" s="61">
        <f>Saisie!AT157</f>
        <v>0</v>
      </c>
      <c r="BE157" s="175" t="e">
        <f t="array" ref="BE157">_xlfn.IFS(Saisie!AU157="OUI",1,Saisie!AU157="NON",0)</f>
        <v>#N/A</v>
      </c>
      <c r="BF157" s="267">
        <f>Saisie!AV157</f>
        <v>0</v>
      </c>
      <c r="BG157" s="55">
        <f>Saisie!AW157</f>
        <v>0</v>
      </c>
      <c r="BH157" s="55" t="e">
        <f t="array" ref="BH157">_xlfn.IFS(Saisie!AX157="OUI",1,Saisie!AX157="NON",0)</f>
        <v>#N/A</v>
      </c>
      <c r="BI157" s="62">
        <f>Saisie!AY157</f>
        <v>0</v>
      </c>
      <c r="BJ157" s="55" t="e">
        <f t="array" ref="BJ157">_xlfn.IFS(Saisie!AZ157="OUI",1,Saisie!AZ157="NON",0)</f>
        <v>#N/A</v>
      </c>
      <c r="BK157" s="55" t="e">
        <f t="array" ref="BK157">_xlfn.IFS(Saisie!BA157="OUI",1,Saisie!BA157="NON",0)</f>
        <v>#N/A</v>
      </c>
      <c r="BL157" s="55">
        <f>Saisie!BB157</f>
        <v>0</v>
      </c>
      <c r="BM157" s="49" t="e">
        <f>Saisie!BC157</f>
        <v>#REF!</v>
      </c>
      <c r="BN157" s="175"/>
    </row>
    <row r="158" spans="1:66" s="176" customFormat="1" x14ac:dyDescent="0.45">
      <c r="A158" s="13">
        <v>152</v>
      </c>
      <c r="B158" s="150">
        <f>Saisie!B158</f>
        <v>0</v>
      </c>
      <c r="C158" s="150">
        <f>Saisie!C158</f>
        <v>0</v>
      </c>
      <c r="D158" s="150">
        <f>Saisie!D158</f>
        <v>0</v>
      </c>
      <c r="E158" s="150">
        <f>Saisie!E158</f>
        <v>0</v>
      </c>
      <c r="F158" s="150">
        <f>Saisie!F158</f>
        <v>0</v>
      </c>
      <c r="G158" s="150">
        <f>Saisie!G158</f>
        <v>0</v>
      </c>
      <c r="H158" s="150">
        <f>Saisie!I158</f>
        <v>0</v>
      </c>
      <c r="I158" s="150">
        <f>Saisie!J158</f>
        <v>0</v>
      </c>
      <c r="J158" s="150">
        <f>Saisie!K158</f>
        <v>0</v>
      </c>
      <c r="K158" s="150">
        <f>Saisie!L158</f>
        <v>0</v>
      </c>
      <c r="L158" s="150" t="e">
        <f>Saisie!#REF!</f>
        <v>#REF!</v>
      </c>
      <c r="M158" s="55" t="e">
        <f t="array" ref="M158">_xlfn.IFS(Saisie!M158="OUI",1,Saisie!M158="NON",0)</f>
        <v>#N/A</v>
      </c>
      <c r="N158" s="64" t="e">
        <f>Saisie!#REF!</f>
        <v>#REF!</v>
      </c>
      <c r="O158" s="63" t="e">
        <f>Saisie!#REF!</f>
        <v>#REF!</v>
      </c>
      <c r="P158" s="63">
        <f>Saisie!N158</f>
        <v>0</v>
      </c>
      <c r="Q158" s="63" t="e">
        <f t="array" ref="Q158">_xlfn.IFS(Saisie!#REF!="OUI",1,Saisie!#REF!="NON",0)</f>
        <v>#REF!</v>
      </c>
      <c r="R158" s="63" t="e">
        <f>Saisie!#REF!</f>
        <v>#REF!</v>
      </c>
      <c r="S158" s="65" t="e">
        <f>Saisie!#REF!</f>
        <v>#REF!</v>
      </c>
      <c r="T158" s="63" t="e">
        <f>Saisie!#REF!</f>
        <v>#REF!</v>
      </c>
      <c r="U158" s="63" t="e">
        <f>Saisie!#REF!</f>
        <v>#REF!</v>
      </c>
      <c r="V158" s="63" t="e">
        <f t="array" ref="V158">_xlfn.IFS(Saisie!#REF!="OUI",1,Saisie!#REF!="NON",0)</f>
        <v>#REF!</v>
      </c>
      <c r="W158" s="63" t="e">
        <f t="array" ref="W158">_xlfn.IFS(Saisie!O158="OUI",1,Saisie!O158="NON",0)</f>
        <v>#N/A</v>
      </c>
      <c r="X158" s="63">
        <f>Saisie!P158</f>
        <v>0</v>
      </c>
      <c r="Y158" s="299">
        <f>Saisie!H158</f>
        <v>0</v>
      </c>
      <c r="Z158" s="58" t="e">
        <f>Saisie!#REF!</f>
        <v>#REF!</v>
      </c>
      <c r="AA158" s="299">
        <f>Saisie!Q158</f>
        <v>0</v>
      </c>
      <c r="AB158" s="63" t="e">
        <f t="array" ref="AB158">_xlfn.IFS(Saisie!R158="OUI",1,Saisie!R158="NON",0)</f>
        <v>#N/A</v>
      </c>
      <c r="AC158" s="63">
        <f>Saisie!S158</f>
        <v>0</v>
      </c>
      <c r="AD158" s="63" t="e">
        <f t="array" ref="AD158">_xlfn.IFS(Saisie!T158="OUI",1,Saisie!T158="NON",0)</f>
        <v>#N/A</v>
      </c>
      <c r="AE158" s="171">
        <f>Saisie!U158</f>
        <v>0</v>
      </c>
      <c r="AF158" s="262">
        <v>3</v>
      </c>
      <c r="AG158" s="129">
        <f>Saisie!W158</f>
        <v>0</v>
      </c>
      <c r="AH158" s="20">
        <f>Saisie!X158</f>
        <v>0</v>
      </c>
      <c r="AI158" s="21">
        <f>Saisie!Y158</f>
        <v>0</v>
      </c>
      <c r="AJ158" s="59">
        <f>Saisie!Z158</f>
        <v>0</v>
      </c>
      <c r="AK158" s="20">
        <f>Saisie!AA158</f>
        <v>0</v>
      </c>
      <c r="AL158" s="21">
        <f>Saisie!AB158</f>
        <v>0</v>
      </c>
      <c r="AM158" s="59">
        <f>Saisie!AC158</f>
        <v>0</v>
      </c>
      <c r="AN158" s="20">
        <f>Saisie!AD158</f>
        <v>0</v>
      </c>
      <c r="AO158" s="21">
        <f>Saisie!AE158</f>
        <v>0</v>
      </c>
      <c r="AP158" s="59">
        <f>Saisie!AF158</f>
        <v>0</v>
      </c>
      <c r="AQ158" s="129" t="e">
        <f t="array" ref="AQ158">_xlfn.IFS(Saisie!AG158="OUI",1,Saisie!AG158="NON",0)</f>
        <v>#N/A</v>
      </c>
      <c r="AR158" s="129" t="e">
        <f t="array" ref="AR158">_xlfn.IFS(Saisie!AH158="OUI",1,Saisie!AH158="NON",0)</f>
        <v>#N/A</v>
      </c>
      <c r="AS158" s="171">
        <f>Saisie!AI158</f>
        <v>0</v>
      </c>
      <c r="AT158" s="263" t="e">
        <f t="array" ref="AT158">_xlfn.IFS(Saisie!AJ158="OUI",1,Saisie!AJ158="NON",0)</f>
        <v>#N/A</v>
      </c>
      <c r="AU158" s="173">
        <f>Saisie!AK158</f>
        <v>0</v>
      </c>
      <c r="AV158" s="263" t="e">
        <f t="array" ref="AV158">_xlfn.IFS(Saisie!AL158="OUI",1,Saisie!AL158="NON",0)</f>
        <v>#N/A</v>
      </c>
      <c r="AW158" s="171">
        <f>Saisie!AM158</f>
        <v>0</v>
      </c>
      <c r="AX158" s="68">
        <f>Saisie!AN158</f>
        <v>0</v>
      </c>
      <c r="AY158" s="20">
        <f>Saisie!AO158</f>
        <v>0</v>
      </c>
      <c r="AZ158" s="21">
        <f>Saisie!AP158</f>
        <v>0</v>
      </c>
      <c r="BA158" s="298">
        <f>Saisie!AQ158</f>
        <v>0</v>
      </c>
      <c r="BB158" s="170">
        <f>Saisie!AR158</f>
        <v>0</v>
      </c>
      <c r="BC158" s="174">
        <f>Saisie!AS158</f>
        <v>0</v>
      </c>
      <c r="BD158" s="61">
        <f>Saisie!AT158</f>
        <v>0</v>
      </c>
      <c r="BE158" s="175" t="e">
        <f t="array" ref="BE158">_xlfn.IFS(Saisie!AU158="OUI",1,Saisie!AU158="NON",0)</f>
        <v>#N/A</v>
      </c>
      <c r="BF158" s="267">
        <f>Saisie!AV158</f>
        <v>0</v>
      </c>
      <c r="BG158" s="55">
        <f>Saisie!AW158</f>
        <v>0</v>
      </c>
      <c r="BH158" s="55" t="e">
        <f t="array" ref="BH158">_xlfn.IFS(Saisie!AX158="OUI",1,Saisie!AX158="NON",0)</f>
        <v>#N/A</v>
      </c>
      <c r="BI158" s="62">
        <f>Saisie!AY158</f>
        <v>0</v>
      </c>
      <c r="BJ158" s="55" t="e">
        <f t="array" ref="BJ158">_xlfn.IFS(Saisie!AZ158="OUI",1,Saisie!AZ158="NON",0)</f>
        <v>#N/A</v>
      </c>
      <c r="BK158" s="55" t="e">
        <f t="array" ref="BK158">_xlfn.IFS(Saisie!BA158="OUI",1,Saisie!BA158="NON",0)</f>
        <v>#N/A</v>
      </c>
      <c r="BL158" s="55">
        <f>Saisie!BB158</f>
        <v>0</v>
      </c>
      <c r="BM158" s="49" t="e">
        <f>Saisie!BC158</f>
        <v>#REF!</v>
      </c>
      <c r="BN158" s="175"/>
    </row>
    <row r="159" spans="1:66" s="176" customFormat="1" x14ac:dyDescent="0.45">
      <c r="A159" s="13">
        <v>153</v>
      </c>
      <c r="B159" s="150">
        <f>Saisie!B159</f>
        <v>0</v>
      </c>
      <c r="C159" s="150">
        <f>Saisie!C159</f>
        <v>0</v>
      </c>
      <c r="D159" s="150">
        <f>Saisie!D159</f>
        <v>0</v>
      </c>
      <c r="E159" s="150">
        <f>Saisie!E159</f>
        <v>0</v>
      </c>
      <c r="F159" s="150">
        <f>Saisie!F159</f>
        <v>0</v>
      </c>
      <c r="G159" s="150">
        <f>Saisie!G159</f>
        <v>0</v>
      </c>
      <c r="H159" s="150">
        <f>Saisie!I159</f>
        <v>0</v>
      </c>
      <c r="I159" s="150">
        <f>Saisie!J159</f>
        <v>0</v>
      </c>
      <c r="J159" s="150">
        <f>Saisie!K159</f>
        <v>0</v>
      </c>
      <c r="K159" s="150">
        <f>Saisie!L159</f>
        <v>0</v>
      </c>
      <c r="L159" s="150" t="e">
        <f>Saisie!#REF!</f>
        <v>#REF!</v>
      </c>
      <c r="M159" s="55" t="e">
        <f t="array" ref="M159">_xlfn.IFS(Saisie!M159="OUI",1,Saisie!M159="NON",0)</f>
        <v>#N/A</v>
      </c>
      <c r="N159" s="64" t="e">
        <f>Saisie!#REF!</f>
        <v>#REF!</v>
      </c>
      <c r="O159" s="63" t="e">
        <f>Saisie!#REF!</f>
        <v>#REF!</v>
      </c>
      <c r="P159" s="63">
        <f>Saisie!N159</f>
        <v>0</v>
      </c>
      <c r="Q159" s="63" t="e">
        <f t="array" ref="Q159">_xlfn.IFS(Saisie!#REF!="OUI",1,Saisie!#REF!="NON",0)</f>
        <v>#REF!</v>
      </c>
      <c r="R159" s="63" t="e">
        <f>Saisie!#REF!</f>
        <v>#REF!</v>
      </c>
      <c r="S159" s="65" t="e">
        <f>Saisie!#REF!</f>
        <v>#REF!</v>
      </c>
      <c r="T159" s="63" t="e">
        <f>Saisie!#REF!</f>
        <v>#REF!</v>
      </c>
      <c r="U159" s="63" t="e">
        <f>Saisie!#REF!</f>
        <v>#REF!</v>
      </c>
      <c r="V159" s="63" t="e">
        <f t="array" ref="V159">_xlfn.IFS(Saisie!#REF!="OUI",1,Saisie!#REF!="NON",0)</f>
        <v>#REF!</v>
      </c>
      <c r="W159" s="63" t="e">
        <f t="array" ref="W159">_xlfn.IFS(Saisie!O159="OUI",1,Saisie!O159="NON",0)</f>
        <v>#N/A</v>
      </c>
      <c r="X159" s="63">
        <f>Saisie!P159</f>
        <v>0</v>
      </c>
      <c r="Y159" s="299">
        <f>Saisie!H159</f>
        <v>0</v>
      </c>
      <c r="Z159" s="58" t="e">
        <f>Saisie!#REF!</f>
        <v>#REF!</v>
      </c>
      <c r="AA159" s="299">
        <f>Saisie!Q159</f>
        <v>0</v>
      </c>
      <c r="AB159" s="63" t="e">
        <f t="array" ref="AB159">_xlfn.IFS(Saisie!R159="OUI",1,Saisie!R159="NON",0)</f>
        <v>#N/A</v>
      </c>
      <c r="AC159" s="63">
        <f>Saisie!S159</f>
        <v>0</v>
      </c>
      <c r="AD159" s="63" t="e">
        <f t="array" ref="AD159">_xlfn.IFS(Saisie!T159="OUI",1,Saisie!T159="NON",0)</f>
        <v>#N/A</v>
      </c>
      <c r="AE159" s="171">
        <f>Saisie!U159</f>
        <v>0</v>
      </c>
      <c r="AF159" s="262">
        <v>3</v>
      </c>
      <c r="AG159" s="129">
        <f>Saisie!W159</f>
        <v>0</v>
      </c>
      <c r="AH159" s="20">
        <f>Saisie!X159</f>
        <v>0</v>
      </c>
      <c r="AI159" s="21">
        <f>Saisie!Y159</f>
        <v>0</v>
      </c>
      <c r="AJ159" s="59">
        <f>Saisie!Z159</f>
        <v>0</v>
      </c>
      <c r="AK159" s="20">
        <f>Saisie!AA159</f>
        <v>0</v>
      </c>
      <c r="AL159" s="21">
        <f>Saisie!AB159</f>
        <v>0</v>
      </c>
      <c r="AM159" s="59">
        <f>Saisie!AC159</f>
        <v>0</v>
      </c>
      <c r="AN159" s="20">
        <f>Saisie!AD159</f>
        <v>0</v>
      </c>
      <c r="AO159" s="21">
        <f>Saisie!AE159</f>
        <v>0</v>
      </c>
      <c r="AP159" s="59">
        <f>Saisie!AF159</f>
        <v>0</v>
      </c>
      <c r="AQ159" s="129" t="e">
        <f t="array" ref="AQ159">_xlfn.IFS(Saisie!AG159="OUI",1,Saisie!AG159="NON",0)</f>
        <v>#N/A</v>
      </c>
      <c r="AR159" s="129" t="e">
        <f t="array" ref="AR159">_xlfn.IFS(Saisie!AH159="OUI",1,Saisie!AH159="NON",0)</f>
        <v>#N/A</v>
      </c>
      <c r="AS159" s="171">
        <f>Saisie!AI159</f>
        <v>0</v>
      </c>
      <c r="AT159" s="263" t="e">
        <f t="array" ref="AT159">_xlfn.IFS(Saisie!AJ159="OUI",1,Saisie!AJ159="NON",0)</f>
        <v>#N/A</v>
      </c>
      <c r="AU159" s="173">
        <f>Saisie!AK159</f>
        <v>0</v>
      </c>
      <c r="AV159" s="263" t="e">
        <f t="array" ref="AV159">_xlfn.IFS(Saisie!AL159="OUI",1,Saisie!AL159="NON",0)</f>
        <v>#N/A</v>
      </c>
      <c r="AW159" s="171">
        <f>Saisie!AM159</f>
        <v>0</v>
      </c>
      <c r="AX159" s="68">
        <f>Saisie!AN159</f>
        <v>0</v>
      </c>
      <c r="AY159" s="20">
        <f>Saisie!AO159</f>
        <v>0</v>
      </c>
      <c r="AZ159" s="21">
        <f>Saisie!AP159</f>
        <v>0</v>
      </c>
      <c r="BA159" s="298">
        <f>Saisie!AQ159</f>
        <v>0</v>
      </c>
      <c r="BB159" s="170">
        <f>Saisie!AR159</f>
        <v>0</v>
      </c>
      <c r="BC159" s="174">
        <f>Saisie!AS159</f>
        <v>0</v>
      </c>
      <c r="BD159" s="61">
        <f>Saisie!AT159</f>
        <v>0</v>
      </c>
      <c r="BE159" s="175" t="e">
        <f t="array" ref="BE159">_xlfn.IFS(Saisie!AU159="OUI",1,Saisie!AU159="NON",0)</f>
        <v>#N/A</v>
      </c>
      <c r="BF159" s="267">
        <f>Saisie!AV159</f>
        <v>0</v>
      </c>
      <c r="BG159" s="55">
        <f>Saisie!AW159</f>
        <v>0</v>
      </c>
      <c r="BH159" s="55" t="e">
        <f t="array" ref="BH159">_xlfn.IFS(Saisie!AX159="OUI",1,Saisie!AX159="NON",0)</f>
        <v>#N/A</v>
      </c>
      <c r="BI159" s="62">
        <f>Saisie!AY159</f>
        <v>0</v>
      </c>
      <c r="BJ159" s="55" t="e">
        <f t="array" ref="BJ159">_xlfn.IFS(Saisie!AZ159="OUI",1,Saisie!AZ159="NON",0)</f>
        <v>#N/A</v>
      </c>
      <c r="BK159" s="55" t="e">
        <f t="array" ref="BK159">_xlfn.IFS(Saisie!BA159="OUI",1,Saisie!BA159="NON",0)</f>
        <v>#N/A</v>
      </c>
      <c r="BL159" s="55">
        <f>Saisie!BB159</f>
        <v>0</v>
      </c>
      <c r="BM159" s="49" t="e">
        <f>Saisie!BC159</f>
        <v>#REF!</v>
      </c>
      <c r="BN159" s="175"/>
    </row>
    <row r="160" spans="1:66" s="176" customFormat="1" x14ac:dyDescent="0.45">
      <c r="A160" s="12">
        <v>154</v>
      </c>
      <c r="B160" s="150">
        <f>Saisie!B160</f>
        <v>0</v>
      </c>
      <c r="C160" s="150">
        <f>Saisie!C160</f>
        <v>0</v>
      </c>
      <c r="D160" s="150">
        <f>Saisie!D160</f>
        <v>0</v>
      </c>
      <c r="E160" s="150">
        <f>Saisie!E160</f>
        <v>0</v>
      </c>
      <c r="F160" s="150">
        <f>Saisie!F160</f>
        <v>0</v>
      </c>
      <c r="G160" s="150">
        <f>Saisie!G160</f>
        <v>0</v>
      </c>
      <c r="H160" s="150">
        <f>Saisie!I160</f>
        <v>0</v>
      </c>
      <c r="I160" s="150">
        <f>Saisie!J160</f>
        <v>0</v>
      </c>
      <c r="J160" s="150">
        <f>Saisie!K160</f>
        <v>0</v>
      </c>
      <c r="K160" s="150">
        <f>Saisie!L160</f>
        <v>0</v>
      </c>
      <c r="L160" s="150" t="e">
        <f>Saisie!#REF!</f>
        <v>#REF!</v>
      </c>
      <c r="M160" s="55" t="e">
        <f t="array" ref="M160">_xlfn.IFS(Saisie!M160="OUI",1,Saisie!M160="NON",0)</f>
        <v>#N/A</v>
      </c>
      <c r="N160" s="64" t="e">
        <f>Saisie!#REF!</f>
        <v>#REF!</v>
      </c>
      <c r="O160" s="63" t="e">
        <f>Saisie!#REF!</f>
        <v>#REF!</v>
      </c>
      <c r="P160" s="63">
        <f>Saisie!N160</f>
        <v>0</v>
      </c>
      <c r="Q160" s="63" t="e">
        <f t="array" ref="Q160">_xlfn.IFS(Saisie!#REF!="OUI",1,Saisie!#REF!="NON",0)</f>
        <v>#REF!</v>
      </c>
      <c r="R160" s="63" t="e">
        <f>Saisie!#REF!</f>
        <v>#REF!</v>
      </c>
      <c r="S160" s="65" t="e">
        <f>Saisie!#REF!</f>
        <v>#REF!</v>
      </c>
      <c r="T160" s="63" t="e">
        <f>Saisie!#REF!</f>
        <v>#REF!</v>
      </c>
      <c r="U160" s="63" t="e">
        <f>Saisie!#REF!</f>
        <v>#REF!</v>
      </c>
      <c r="V160" s="63" t="e">
        <f t="array" ref="V160">_xlfn.IFS(Saisie!#REF!="OUI",1,Saisie!#REF!="NON",0)</f>
        <v>#REF!</v>
      </c>
      <c r="W160" s="63" t="e">
        <f t="array" ref="W160">_xlfn.IFS(Saisie!O160="OUI",1,Saisie!O160="NON",0)</f>
        <v>#N/A</v>
      </c>
      <c r="X160" s="63">
        <f>Saisie!P160</f>
        <v>0</v>
      </c>
      <c r="Y160" s="299">
        <f>Saisie!H160</f>
        <v>0</v>
      </c>
      <c r="Z160" s="58" t="e">
        <f>Saisie!#REF!</f>
        <v>#REF!</v>
      </c>
      <c r="AA160" s="299">
        <f>Saisie!Q160</f>
        <v>0</v>
      </c>
      <c r="AB160" s="63" t="e">
        <f t="array" ref="AB160">_xlfn.IFS(Saisie!R160="OUI",1,Saisie!R160="NON",0)</f>
        <v>#N/A</v>
      </c>
      <c r="AC160" s="63">
        <f>Saisie!S160</f>
        <v>0</v>
      </c>
      <c r="AD160" s="63" t="e">
        <f t="array" ref="AD160">_xlfn.IFS(Saisie!T160="OUI",1,Saisie!T160="NON",0)</f>
        <v>#N/A</v>
      </c>
      <c r="AE160" s="171">
        <f>Saisie!U160</f>
        <v>0</v>
      </c>
      <c r="AF160" s="262">
        <v>1</v>
      </c>
      <c r="AG160" s="129">
        <f>Saisie!W160</f>
        <v>0</v>
      </c>
      <c r="AH160" s="20">
        <f>Saisie!X160</f>
        <v>0</v>
      </c>
      <c r="AI160" s="21">
        <f>Saisie!Y160</f>
        <v>0</v>
      </c>
      <c r="AJ160" s="59">
        <f>Saisie!Z160</f>
        <v>0</v>
      </c>
      <c r="AK160" s="20">
        <f>Saisie!AA160</f>
        <v>0</v>
      </c>
      <c r="AL160" s="21">
        <f>Saisie!AB160</f>
        <v>0</v>
      </c>
      <c r="AM160" s="59">
        <f>Saisie!AC160</f>
        <v>0</v>
      </c>
      <c r="AN160" s="20">
        <f>Saisie!AD160</f>
        <v>0</v>
      </c>
      <c r="AO160" s="21">
        <f>Saisie!AE160</f>
        <v>0</v>
      </c>
      <c r="AP160" s="59">
        <f>Saisie!AF160</f>
        <v>0</v>
      </c>
      <c r="AQ160" s="129" t="e">
        <f t="array" ref="AQ160">_xlfn.IFS(Saisie!AG160="OUI",1,Saisie!AG160="NON",0)</f>
        <v>#N/A</v>
      </c>
      <c r="AR160" s="129" t="e">
        <f t="array" ref="AR160">_xlfn.IFS(Saisie!AH160="OUI",1,Saisie!AH160="NON",0)</f>
        <v>#N/A</v>
      </c>
      <c r="AS160" s="171">
        <f>Saisie!AI160</f>
        <v>0</v>
      </c>
      <c r="AT160" s="263" t="e">
        <f t="array" ref="AT160">_xlfn.IFS(Saisie!AJ160="OUI",1,Saisie!AJ160="NON",0)</f>
        <v>#N/A</v>
      </c>
      <c r="AU160" s="173">
        <f>Saisie!AK160</f>
        <v>0</v>
      </c>
      <c r="AV160" s="263" t="e">
        <f t="array" ref="AV160">_xlfn.IFS(Saisie!AL160="OUI",1,Saisie!AL160="NON",0)</f>
        <v>#N/A</v>
      </c>
      <c r="AW160" s="171">
        <f>Saisie!AM160</f>
        <v>0</v>
      </c>
      <c r="AX160" s="68">
        <f>Saisie!AN160</f>
        <v>0</v>
      </c>
      <c r="AY160" s="20">
        <f>Saisie!AO160</f>
        <v>0</v>
      </c>
      <c r="AZ160" s="21">
        <f>Saisie!AP160</f>
        <v>0</v>
      </c>
      <c r="BA160" s="298">
        <f>Saisie!AQ160</f>
        <v>0</v>
      </c>
      <c r="BB160" s="170">
        <f>Saisie!AR160</f>
        <v>0</v>
      </c>
      <c r="BC160" s="174">
        <f>Saisie!AS160</f>
        <v>0</v>
      </c>
      <c r="BD160" s="61">
        <f>Saisie!AT160</f>
        <v>0</v>
      </c>
      <c r="BE160" s="175" t="e">
        <f t="array" ref="BE160">_xlfn.IFS(Saisie!AU160="OUI",1,Saisie!AU160="NON",0)</f>
        <v>#N/A</v>
      </c>
      <c r="BF160" s="267">
        <f>Saisie!AV160</f>
        <v>0</v>
      </c>
      <c r="BG160" s="55">
        <f>Saisie!AW160</f>
        <v>0</v>
      </c>
      <c r="BH160" s="55" t="e">
        <f t="array" ref="BH160">_xlfn.IFS(Saisie!AX160="OUI",1,Saisie!AX160="NON",0)</f>
        <v>#N/A</v>
      </c>
      <c r="BI160" s="62">
        <f>Saisie!AY160</f>
        <v>0</v>
      </c>
      <c r="BJ160" s="55" t="e">
        <f t="array" ref="BJ160">_xlfn.IFS(Saisie!AZ160="OUI",1,Saisie!AZ160="NON",0)</f>
        <v>#N/A</v>
      </c>
      <c r="BK160" s="55" t="e">
        <f t="array" ref="BK160">_xlfn.IFS(Saisie!BA160="OUI",1,Saisie!BA160="NON",0)</f>
        <v>#N/A</v>
      </c>
      <c r="BL160" s="55">
        <f>Saisie!BB160</f>
        <v>0</v>
      </c>
      <c r="BM160" s="49" t="e">
        <f>Saisie!BC160</f>
        <v>#REF!</v>
      </c>
      <c r="BN160" s="175"/>
    </row>
    <row r="161" spans="1:66" s="176" customFormat="1" x14ac:dyDescent="0.45">
      <c r="A161" s="13">
        <v>155</v>
      </c>
      <c r="B161" s="150">
        <f>Saisie!B161</f>
        <v>0</v>
      </c>
      <c r="C161" s="150">
        <f>Saisie!C161</f>
        <v>0</v>
      </c>
      <c r="D161" s="150">
        <f>Saisie!D161</f>
        <v>0</v>
      </c>
      <c r="E161" s="150">
        <f>Saisie!E161</f>
        <v>0</v>
      </c>
      <c r="F161" s="150">
        <f>Saisie!F161</f>
        <v>0</v>
      </c>
      <c r="G161" s="150">
        <f>Saisie!G161</f>
        <v>0</v>
      </c>
      <c r="H161" s="150">
        <f>Saisie!I161</f>
        <v>0</v>
      </c>
      <c r="I161" s="150">
        <f>Saisie!J161</f>
        <v>0</v>
      </c>
      <c r="J161" s="150">
        <f>Saisie!K161</f>
        <v>0</v>
      </c>
      <c r="K161" s="150">
        <f>Saisie!L161</f>
        <v>0</v>
      </c>
      <c r="L161" s="150" t="e">
        <f>Saisie!#REF!</f>
        <v>#REF!</v>
      </c>
      <c r="M161" s="55" t="e">
        <f t="array" ref="M161">_xlfn.IFS(Saisie!M161="OUI",1,Saisie!M161="NON",0)</f>
        <v>#N/A</v>
      </c>
      <c r="N161" s="64" t="e">
        <f>Saisie!#REF!</f>
        <v>#REF!</v>
      </c>
      <c r="O161" s="63" t="e">
        <f>Saisie!#REF!</f>
        <v>#REF!</v>
      </c>
      <c r="P161" s="63">
        <f>Saisie!N161</f>
        <v>0</v>
      </c>
      <c r="Q161" s="63" t="e">
        <f t="array" ref="Q161">_xlfn.IFS(Saisie!#REF!="OUI",1,Saisie!#REF!="NON",0)</f>
        <v>#REF!</v>
      </c>
      <c r="R161" s="63" t="e">
        <f>Saisie!#REF!</f>
        <v>#REF!</v>
      </c>
      <c r="S161" s="65" t="e">
        <f>Saisie!#REF!</f>
        <v>#REF!</v>
      </c>
      <c r="T161" s="63" t="e">
        <f>Saisie!#REF!</f>
        <v>#REF!</v>
      </c>
      <c r="U161" s="63" t="e">
        <f>Saisie!#REF!</f>
        <v>#REF!</v>
      </c>
      <c r="V161" s="63" t="e">
        <f t="array" ref="V161">_xlfn.IFS(Saisie!#REF!="OUI",1,Saisie!#REF!="NON",0)</f>
        <v>#REF!</v>
      </c>
      <c r="W161" s="63" t="e">
        <f t="array" ref="W161">_xlfn.IFS(Saisie!O161="OUI",1,Saisie!O161="NON",0)</f>
        <v>#N/A</v>
      </c>
      <c r="X161" s="63">
        <f>Saisie!P161</f>
        <v>0</v>
      </c>
      <c r="Y161" s="299">
        <f>Saisie!H161</f>
        <v>0</v>
      </c>
      <c r="Z161" s="58" t="e">
        <f>Saisie!#REF!</f>
        <v>#REF!</v>
      </c>
      <c r="AA161" s="299">
        <f>Saisie!Q161</f>
        <v>0</v>
      </c>
      <c r="AB161" s="63" t="e">
        <f t="array" ref="AB161">_xlfn.IFS(Saisie!R161="OUI",1,Saisie!R161="NON",0)</f>
        <v>#N/A</v>
      </c>
      <c r="AC161" s="63">
        <f>Saisie!S161</f>
        <v>0</v>
      </c>
      <c r="AD161" s="63" t="e">
        <f t="array" ref="AD161">_xlfn.IFS(Saisie!T161="OUI",1,Saisie!T161="NON",0)</f>
        <v>#N/A</v>
      </c>
      <c r="AE161" s="171">
        <f>Saisie!U161</f>
        <v>0</v>
      </c>
      <c r="AF161" s="262">
        <v>1</v>
      </c>
      <c r="AG161" s="129">
        <f>Saisie!W161</f>
        <v>0</v>
      </c>
      <c r="AH161" s="20">
        <f>Saisie!X161</f>
        <v>0</v>
      </c>
      <c r="AI161" s="21">
        <f>Saisie!Y161</f>
        <v>0</v>
      </c>
      <c r="AJ161" s="59">
        <f>Saisie!Z161</f>
        <v>0</v>
      </c>
      <c r="AK161" s="20">
        <f>Saisie!AA161</f>
        <v>0</v>
      </c>
      <c r="AL161" s="21">
        <f>Saisie!AB161</f>
        <v>0</v>
      </c>
      <c r="AM161" s="59">
        <f>Saisie!AC161</f>
        <v>0</v>
      </c>
      <c r="AN161" s="20">
        <f>Saisie!AD161</f>
        <v>0</v>
      </c>
      <c r="AO161" s="21">
        <f>Saisie!AE161</f>
        <v>0</v>
      </c>
      <c r="AP161" s="59">
        <f>Saisie!AF161</f>
        <v>0</v>
      </c>
      <c r="AQ161" s="129" t="e">
        <f t="array" ref="AQ161">_xlfn.IFS(Saisie!AG161="OUI",1,Saisie!AG161="NON",0)</f>
        <v>#N/A</v>
      </c>
      <c r="AR161" s="129" t="e">
        <f t="array" ref="AR161">_xlfn.IFS(Saisie!AH161="OUI",1,Saisie!AH161="NON",0)</f>
        <v>#N/A</v>
      </c>
      <c r="AS161" s="171">
        <f>Saisie!AI161</f>
        <v>0</v>
      </c>
      <c r="AT161" s="263" t="e">
        <f t="array" ref="AT161">_xlfn.IFS(Saisie!AJ161="OUI",1,Saisie!AJ161="NON",0)</f>
        <v>#N/A</v>
      </c>
      <c r="AU161" s="173">
        <f>Saisie!AK161</f>
        <v>0</v>
      </c>
      <c r="AV161" s="263" t="e">
        <f t="array" ref="AV161">_xlfn.IFS(Saisie!AL161="OUI",1,Saisie!AL161="NON",0)</f>
        <v>#N/A</v>
      </c>
      <c r="AW161" s="171">
        <f>Saisie!AM161</f>
        <v>0</v>
      </c>
      <c r="AX161" s="68">
        <f>Saisie!AN161</f>
        <v>0</v>
      </c>
      <c r="AY161" s="20">
        <f>Saisie!AO161</f>
        <v>0</v>
      </c>
      <c r="AZ161" s="21">
        <f>Saisie!AP161</f>
        <v>0</v>
      </c>
      <c r="BA161" s="298">
        <f>Saisie!AQ161</f>
        <v>0</v>
      </c>
      <c r="BB161" s="170">
        <f>Saisie!AR161</f>
        <v>0</v>
      </c>
      <c r="BC161" s="174">
        <f>Saisie!AS161</f>
        <v>0</v>
      </c>
      <c r="BD161" s="61">
        <f>Saisie!AT161</f>
        <v>0</v>
      </c>
      <c r="BE161" s="175" t="e">
        <f t="array" ref="BE161">_xlfn.IFS(Saisie!AU161="OUI",1,Saisie!AU161="NON",0)</f>
        <v>#N/A</v>
      </c>
      <c r="BF161" s="267">
        <f>Saisie!AV161</f>
        <v>0</v>
      </c>
      <c r="BG161" s="55">
        <f>Saisie!AW161</f>
        <v>0</v>
      </c>
      <c r="BH161" s="55" t="e">
        <f t="array" ref="BH161">_xlfn.IFS(Saisie!AX161="OUI",1,Saisie!AX161="NON",0)</f>
        <v>#N/A</v>
      </c>
      <c r="BI161" s="62">
        <f>Saisie!AY161</f>
        <v>0</v>
      </c>
      <c r="BJ161" s="55" t="e">
        <f t="array" ref="BJ161">_xlfn.IFS(Saisie!AZ161="OUI",1,Saisie!AZ161="NON",0)</f>
        <v>#N/A</v>
      </c>
      <c r="BK161" s="55" t="e">
        <f t="array" ref="BK161">_xlfn.IFS(Saisie!BA161="OUI",1,Saisie!BA161="NON",0)</f>
        <v>#N/A</v>
      </c>
      <c r="BL161" s="55">
        <f>Saisie!BB161</f>
        <v>0</v>
      </c>
      <c r="BM161" s="49" t="e">
        <f>Saisie!BC161</f>
        <v>#REF!</v>
      </c>
      <c r="BN161" s="175"/>
    </row>
    <row r="162" spans="1:66" s="176" customFormat="1" x14ac:dyDescent="0.45">
      <c r="A162" s="13">
        <v>156</v>
      </c>
      <c r="B162" s="150">
        <f>Saisie!B162</f>
        <v>0</v>
      </c>
      <c r="C162" s="150">
        <f>Saisie!C162</f>
        <v>0</v>
      </c>
      <c r="D162" s="150">
        <f>Saisie!D162</f>
        <v>0</v>
      </c>
      <c r="E162" s="150">
        <f>Saisie!E162</f>
        <v>0</v>
      </c>
      <c r="F162" s="150">
        <f>Saisie!F162</f>
        <v>0</v>
      </c>
      <c r="G162" s="150">
        <f>Saisie!G162</f>
        <v>0</v>
      </c>
      <c r="H162" s="150">
        <f>Saisie!I162</f>
        <v>0</v>
      </c>
      <c r="I162" s="150">
        <f>Saisie!J162</f>
        <v>0</v>
      </c>
      <c r="J162" s="150">
        <f>Saisie!K162</f>
        <v>0</v>
      </c>
      <c r="K162" s="150">
        <f>Saisie!L162</f>
        <v>0</v>
      </c>
      <c r="L162" s="150" t="e">
        <f>Saisie!#REF!</f>
        <v>#REF!</v>
      </c>
      <c r="M162" s="55" t="e">
        <f t="array" ref="M162">_xlfn.IFS(Saisie!M162="OUI",1,Saisie!M162="NON",0)</f>
        <v>#N/A</v>
      </c>
      <c r="N162" s="64" t="e">
        <f>Saisie!#REF!</f>
        <v>#REF!</v>
      </c>
      <c r="O162" s="63" t="e">
        <f>Saisie!#REF!</f>
        <v>#REF!</v>
      </c>
      <c r="P162" s="63">
        <f>Saisie!N162</f>
        <v>0</v>
      </c>
      <c r="Q162" s="63" t="e">
        <f t="array" ref="Q162">_xlfn.IFS(Saisie!#REF!="OUI",1,Saisie!#REF!="NON",0)</f>
        <v>#REF!</v>
      </c>
      <c r="R162" s="63" t="e">
        <f>Saisie!#REF!</f>
        <v>#REF!</v>
      </c>
      <c r="S162" s="65" t="e">
        <f>Saisie!#REF!</f>
        <v>#REF!</v>
      </c>
      <c r="T162" s="63" t="e">
        <f>Saisie!#REF!</f>
        <v>#REF!</v>
      </c>
      <c r="U162" s="63" t="e">
        <f>Saisie!#REF!</f>
        <v>#REF!</v>
      </c>
      <c r="V162" s="63" t="e">
        <f t="array" ref="V162">_xlfn.IFS(Saisie!#REF!="OUI",1,Saisie!#REF!="NON",0)</f>
        <v>#REF!</v>
      </c>
      <c r="W162" s="63" t="e">
        <f t="array" ref="W162">_xlfn.IFS(Saisie!O162="OUI",1,Saisie!O162="NON",0)</f>
        <v>#N/A</v>
      </c>
      <c r="X162" s="63">
        <f>Saisie!P162</f>
        <v>0</v>
      </c>
      <c r="Y162" s="299">
        <f>Saisie!H162</f>
        <v>0</v>
      </c>
      <c r="Z162" s="58" t="e">
        <f>Saisie!#REF!</f>
        <v>#REF!</v>
      </c>
      <c r="AA162" s="299">
        <f>Saisie!Q162</f>
        <v>0</v>
      </c>
      <c r="AB162" s="63" t="e">
        <f t="array" ref="AB162">_xlfn.IFS(Saisie!R162="OUI",1,Saisie!R162="NON",0)</f>
        <v>#N/A</v>
      </c>
      <c r="AC162" s="63">
        <f>Saisie!S162</f>
        <v>0</v>
      </c>
      <c r="AD162" s="63" t="e">
        <f t="array" ref="AD162">_xlfn.IFS(Saisie!T162="OUI",1,Saisie!T162="NON",0)</f>
        <v>#N/A</v>
      </c>
      <c r="AE162" s="171">
        <f>Saisie!U162</f>
        <v>0</v>
      </c>
      <c r="AF162" s="262">
        <v>3</v>
      </c>
      <c r="AG162" s="129">
        <f>Saisie!W162</f>
        <v>0</v>
      </c>
      <c r="AH162" s="20">
        <f>Saisie!X162</f>
        <v>0</v>
      </c>
      <c r="AI162" s="21">
        <f>Saisie!Y162</f>
        <v>0</v>
      </c>
      <c r="AJ162" s="59">
        <f>Saisie!Z162</f>
        <v>0</v>
      </c>
      <c r="AK162" s="20">
        <f>Saisie!AA162</f>
        <v>0</v>
      </c>
      <c r="AL162" s="21">
        <f>Saisie!AB162</f>
        <v>0</v>
      </c>
      <c r="AM162" s="59">
        <f>Saisie!AC162</f>
        <v>0</v>
      </c>
      <c r="AN162" s="20">
        <f>Saisie!AD162</f>
        <v>0</v>
      </c>
      <c r="AO162" s="21">
        <f>Saisie!AE162</f>
        <v>0</v>
      </c>
      <c r="AP162" s="59">
        <f>Saisie!AF162</f>
        <v>0</v>
      </c>
      <c r="AQ162" s="129" t="e">
        <f t="array" ref="AQ162">_xlfn.IFS(Saisie!AG162="OUI",1,Saisie!AG162="NON",0)</f>
        <v>#N/A</v>
      </c>
      <c r="AR162" s="129" t="e">
        <f t="array" ref="AR162">_xlfn.IFS(Saisie!AH162="OUI",1,Saisie!AH162="NON",0)</f>
        <v>#N/A</v>
      </c>
      <c r="AS162" s="171">
        <f>Saisie!AI162</f>
        <v>0</v>
      </c>
      <c r="AT162" s="263" t="e">
        <f t="array" ref="AT162">_xlfn.IFS(Saisie!AJ162="OUI",1,Saisie!AJ162="NON",0)</f>
        <v>#N/A</v>
      </c>
      <c r="AU162" s="173">
        <f>Saisie!AK162</f>
        <v>0</v>
      </c>
      <c r="AV162" s="263" t="e">
        <f t="array" ref="AV162">_xlfn.IFS(Saisie!AL162="OUI",1,Saisie!AL162="NON",0)</f>
        <v>#N/A</v>
      </c>
      <c r="AW162" s="171">
        <f>Saisie!AM162</f>
        <v>0</v>
      </c>
      <c r="AX162" s="68">
        <f>Saisie!AN162</f>
        <v>0</v>
      </c>
      <c r="AY162" s="20">
        <f>Saisie!AO162</f>
        <v>0</v>
      </c>
      <c r="AZ162" s="21">
        <f>Saisie!AP162</f>
        <v>0</v>
      </c>
      <c r="BA162" s="298">
        <f>Saisie!AQ162</f>
        <v>0</v>
      </c>
      <c r="BB162" s="170">
        <f>Saisie!AR162</f>
        <v>0</v>
      </c>
      <c r="BC162" s="174">
        <f>Saisie!AS162</f>
        <v>0</v>
      </c>
      <c r="BD162" s="61">
        <f>Saisie!AT162</f>
        <v>0</v>
      </c>
      <c r="BE162" s="175" t="e">
        <f t="array" ref="BE162">_xlfn.IFS(Saisie!AU162="OUI",1,Saisie!AU162="NON",0)</f>
        <v>#N/A</v>
      </c>
      <c r="BF162" s="267">
        <f>Saisie!AV162</f>
        <v>0</v>
      </c>
      <c r="BG162" s="55">
        <f>Saisie!AW162</f>
        <v>0</v>
      </c>
      <c r="BH162" s="55" t="e">
        <f t="array" ref="BH162">_xlfn.IFS(Saisie!AX162="OUI",1,Saisie!AX162="NON",0)</f>
        <v>#N/A</v>
      </c>
      <c r="BI162" s="62">
        <f>Saisie!AY162</f>
        <v>0</v>
      </c>
      <c r="BJ162" s="55" t="e">
        <f t="array" ref="BJ162">_xlfn.IFS(Saisie!AZ162="OUI",1,Saisie!AZ162="NON",0)</f>
        <v>#N/A</v>
      </c>
      <c r="BK162" s="55" t="e">
        <f t="array" ref="BK162">_xlfn.IFS(Saisie!BA162="OUI",1,Saisie!BA162="NON",0)</f>
        <v>#N/A</v>
      </c>
      <c r="BL162" s="55">
        <f>Saisie!BB162</f>
        <v>0</v>
      </c>
      <c r="BM162" s="49" t="e">
        <f>Saisie!BC162</f>
        <v>#REF!</v>
      </c>
      <c r="BN162" s="175"/>
    </row>
    <row r="163" spans="1:66" s="176" customFormat="1" x14ac:dyDescent="0.45">
      <c r="A163" s="12">
        <v>157</v>
      </c>
      <c r="B163" s="150">
        <f>Saisie!B163</f>
        <v>0</v>
      </c>
      <c r="C163" s="150">
        <f>Saisie!C163</f>
        <v>0</v>
      </c>
      <c r="D163" s="150">
        <f>Saisie!D163</f>
        <v>0</v>
      </c>
      <c r="E163" s="150">
        <f>Saisie!E163</f>
        <v>0</v>
      </c>
      <c r="F163" s="150">
        <f>Saisie!F163</f>
        <v>0</v>
      </c>
      <c r="G163" s="150">
        <f>Saisie!G163</f>
        <v>0</v>
      </c>
      <c r="H163" s="150">
        <f>Saisie!I163</f>
        <v>0</v>
      </c>
      <c r="I163" s="150">
        <f>Saisie!J163</f>
        <v>0</v>
      </c>
      <c r="J163" s="150">
        <f>Saisie!K163</f>
        <v>0</v>
      </c>
      <c r="K163" s="150">
        <f>Saisie!L163</f>
        <v>0</v>
      </c>
      <c r="L163" s="150" t="e">
        <f>Saisie!#REF!</f>
        <v>#REF!</v>
      </c>
      <c r="M163" s="55" t="e">
        <f t="array" ref="M163">_xlfn.IFS(Saisie!M163="OUI",1,Saisie!M163="NON",0)</f>
        <v>#N/A</v>
      </c>
      <c r="N163" s="64" t="e">
        <f>Saisie!#REF!</f>
        <v>#REF!</v>
      </c>
      <c r="O163" s="63" t="e">
        <f>Saisie!#REF!</f>
        <v>#REF!</v>
      </c>
      <c r="P163" s="63">
        <f>Saisie!N163</f>
        <v>0</v>
      </c>
      <c r="Q163" s="63" t="e">
        <f t="array" ref="Q163">_xlfn.IFS(Saisie!#REF!="OUI",1,Saisie!#REF!="NON",0)</f>
        <v>#REF!</v>
      </c>
      <c r="R163" s="63" t="e">
        <f>Saisie!#REF!</f>
        <v>#REF!</v>
      </c>
      <c r="S163" s="65" t="e">
        <f>Saisie!#REF!</f>
        <v>#REF!</v>
      </c>
      <c r="T163" s="63" t="e">
        <f>Saisie!#REF!</f>
        <v>#REF!</v>
      </c>
      <c r="U163" s="63" t="e">
        <f>Saisie!#REF!</f>
        <v>#REF!</v>
      </c>
      <c r="V163" s="63" t="e">
        <f t="array" ref="V163">_xlfn.IFS(Saisie!#REF!="OUI",1,Saisie!#REF!="NON",0)</f>
        <v>#REF!</v>
      </c>
      <c r="W163" s="63" t="e">
        <f t="array" ref="W163">_xlfn.IFS(Saisie!O163="OUI",1,Saisie!O163="NON",0)</f>
        <v>#N/A</v>
      </c>
      <c r="X163" s="63">
        <f>Saisie!P163</f>
        <v>0</v>
      </c>
      <c r="Y163" s="299">
        <f>Saisie!H163</f>
        <v>0</v>
      </c>
      <c r="Z163" s="58" t="e">
        <f>Saisie!#REF!</f>
        <v>#REF!</v>
      </c>
      <c r="AA163" s="299">
        <f>Saisie!Q163</f>
        <v>0</v>
      </c>
      <c r="AB163" s="63" t="e">
        <f t="array" ref="AB163">_xlfn.IFS(Saisie!R163="OUI",1,Saisie!R163="NON",0)</f>
        <v>#N/A</v>
      </c>
      <c r="AC163" s="63">
        <f>Saisie!S163</f>
        <v>0</v>
      </c>
      <c r="AD163" s="63" t="e">
        <f t="array" ref="AD163">_xlfn.IFS(Saisie!T163="OUI",1,Saisie!T163="NON",0)</f>
        <v>#N/A</v>
      </c>
      <c r="AE163" s="171">
        <f>Saisie!U163</f>
        <v>0</v>
      </c>
      <c r="AF163" s="262">
        <v>1</v>
      </c>
      <c r="AG163" s="129">
        <f>Saisie!W163</f>
        <v>0</v>
      </c>
      <c r="AH163" s="20">
        <f>Saisie!X163</f>
        <v>0</v>
      </c>
      <c r="AI163" s="21">
        <f>Saisie!Y163</f>
        <v>0</v>
      </c>
      <c r="AJ163" s="59">
        <f>Saisie!Z163</f>
        <v>0</v>
      </c>
      <c r="AK163" s="20">
        <f>Saisie!AA163</f>
        <v>0</v>
      </c>
      <c r="AL163" s="21">
        <f>Saisie!AB163</f>
        <v>0</v>
      </c>
      <c r="AM163" s="59">
        <f>Saisie!AC163</f>
        <v>0</v>
      </c>
      <c r="AN163" s="20">
        <f>Saisie!AD163</f>
        <v>0</v>
      </c>
      <c r="AO163" s="21">
        <f>Saisie!AE163</f>
        <v>0</v>
      </c>
      <c r="AP163" s="59">
        <f>Saisie!AF163</f>
        <v>0</v>
      </c>
      <c r="AQ163" s="129" t="e">
        <f t="array" ref="AQ163">_xlfn.IFS(Saisie!AG163="OUI",1,Saisie!AG163="NON",0)</f>
        <v>#N/A</v>
      </c>
      <c r="AR163" s="129" t="e">
        <f t="array" ref="AR163">_xlfn.IFS(Saisie!AH163="OUI",1,Saisie!AH163="NON",0)</f>
        <v>#N/A</v>
      </c>
      <c r="AS163" s="171">
        <f>Saisie!AI163</f>
        <v>0</v>
      </c>
      <c r="AT163" s="263" t="e">
        <f t="array" ref="AT163">_xlfn.IFS(Saisie!AJ163="OUI",1,Saisie!AJ163="NON",0)</f>
        <v>#N/A</v>
      </c>
      <c r="AU163" s="173">
        <f>Saisie!AK163</f>
        <v>0</v>
      </c>
      <c r="AV163" s="263" t="e">
        <f t="array" ref="AV163">_xlfn.IFS(Saisie!AL163="OUI",1,Saisie!AL163="NON",0)</f>
        <v>#N/A</v>
      </c>
      <c r="AW163" s="171">
        <f>Saisie!AM163</f>
        <v>0</v>
      </c>
      <c r="AX163" s="68">
        <f>Saisie!AN163</f>
        <v>0</v>
      </c>
      <c r="AY163" s="20">
        <f>Saisie!AO163</f>
        <v>0</v>
      </c>
      <c r="AZ163" s="21">
        <f>Saisie!AP163</f>
        <v>0</v>
      </c>
      <c r="BA163" s="298">
        <f>Saisie!AQ163</f>
        <v>0</v>
      </c>
      <c r="BB163" s="170">
        <f>Saisie!AR163</f>
        <v>0</v>
      </c>
      <c r="BC163" s="174">
        <f>Saisie!AS163</f>
        <v>0</v>
      </c>
      <c r="BD163" s="61">
        <f>Saisie!AT163</f>
        <v>0</v>
      </c>
      <c r="BE163" s="175" t="e">
        <f t="array" ref="BE163">_xlfn.IFS(Saisie!AU163="OUI",1,Saisie!AU163="NON",0)</f>
        <v>#N/A</v>
      </c>
      <c r="BF163" s="267">
        <f>Saisie!AV163</f>
        <v>0</v>
      </c>
      <c r="BG163" s="55">
        <f>Saisie!AW163</f>
        <v>0</v>
      </c>
      <c r="BH163" s="55" t="e">
        <f t="array" ref="BH163">_xlfn.IFS(Saisie!AX163="OUI",1,Saisie!AX163="NON",0)</f>
        <v>#N/A</v>
      </c>
      <c r="BI163" s="62">
        <f>Saisie!AY163</f>
        <v>0</v>
      </c>
      <c r="BJ163" s="55" t="e">
        <f t="array" ref="BJ163">_xlfn.IFS(Saisie!AZ163="OUI",1,Saisie!AZ163="NON",0)</f>
        <v>#N/A</v>
      </c>
      <c r="BK163" s="55" t="e">
        <f t="array" ref="BK163">_xlfn.IFS(Saisie!BA163="OUI",1,Saisie!BA163="NON",0)</f>
        <v>#N/A</v>
      </c>
      <c r="BL163" s="55">
        <f>Saisie!BB163</f>
        <v>0</v>
      </c>
      <c r="BM163" s="49" t="e">
        <f>Saisie!BC163</f>
        <v>#REF!</v>
      </c>
      <c r="BN163" s="175"/>
    </row>
    <row r="164" spans="1:66" s="176" customFormat="1" x14ac:dyDescent="0.45">
      <c r="A164" s="13">
        <v>158</v>
      </c>
      <c r="B164" s="150">
        <f>Saisie!B164</f>
        <v>0</v>
      </c>
      <c r="C164" s="150">
        <f>Saisie!C164</f>
        <v>0</v>
      </c>
      <c r="D164" s="150">
        <f>Saisie!D164</f>
        <v>0</v>
      </c>
      <c r="E164" s="150">
        <f>Saisie!E164</f>
        <v>0</v>
      </c>
      <c r="F164" s="150">
        <f>Saisie!F164</f>
        <v>0</v>
      </c>
      <c r="G164" s="150">
        <f>Saisie!G164</f>
        <v>0</v>
      </c>
      <c r="H164" s="150">
        <f>Saisie!I164</f>
        <v>0</v>
      </c>
      <c r="I164" s="150">
        <f>Saisie!J164</f>
        <v>0</v>
      </c>
      <c r="J164" s="150">
        <f>Saisie!K164</f>
        <v>0</v>
      </c>
      <c r="K164" s="150">
        <f>Saisie!L164</f>
        <v>0</v>
      </c>
      <c r="L164" s="150" t="e">
        <f>Saisie!#REF!</f>
        <v>#REF!</v>
      </c>
      <c r="M164" s="55" t="e">
        <f t="array" ref="M164">_xlfn.IFS(Saisie!M164="OUI",1,Saisie!M164="NON",0)</f>
        <v>#N/A</v>
      </c>
      <c r="N164" s="64" t="e">
        <f>Saisie!#REF!</f>
        <v>#REF!</v>
      </c>
      <c r="O164" s="63" t="e">
        <f>Saisie!#REF!</f>
        <v>#REF!</v>
      </c>
      <c r="P164" s="63">
        <f>Saisie!N164</f>
        <v>0</v>
      </c>
      <c r="Q164" s="63" t="e">
        <f t="array" ref="Q164">_xlfn.IFS(Saisie!#REF!="OUI",1,Saisie!#REF!="NON",0)</f>
        <v>#REF!</v>
      </c>
      <c r="R164" s="63" t="e">
        <f>Saisie!#REF!</f>
        <v>#REF!</v>
      </c>
      <c r="S164" s="65" t="e">
        <f>Saisie!#REF!</f>
        <v>#REF!</v>
      </c>
      <c r="T164" s="63" t="e">
        <f>Saisie!#REF!</f>
        <v>#REF!</v>
      </c>
      <c r="U164" s="63" t="e">
        <f>Saisie!#REF!</f>
        <v>#REF!</v>
      </c>
      <c r="V164" s="63" t="e">
        <f t="array" ref="V164">_xlfn.IFS(Saisie!#REF!="OUI",1,Saisie!#REF!="NON",0)</f>
        <v>#REF!</v>
      </c>
      <c r="W164" s="63" t="e">
        <f t="array" ref="W164">_xlfn.IFS(Saisie!O164="OUI",1,Saisie!O164="NON",0)</f>
        <v>#N/A</v>
      </c>
      <c r="X164" s="63">
        <f>Saisie!P164</f>
        <v>0</v>
      </c>
      <c r="Y164" s="299">
        <f>Saisie!H164</f>
        <v>0</v>
      </c>
      <c r="Z164" s="58" t="e">
        <f>Saisie!#REF!</f>
        <v>#REF!</v>
      </c>
      <c r="AA164" s="299">
        <f>Saisie!Q164</f>
        <v>0</v>
      </c>
      <c r="AB164" s="63" t="e">
        <f t="array" ref="AB164">_xlfn.IFS(Saisie!R164="OUI",1,Saisie!R164="NON",0)</f>
        <v>#N/A</v>
      </c>
      <c r="AC164" s="63">
        <f>Saisie!S164</f>
        <v>0</v>
      </c>
      <c r="AD164" s="63" t="e">
        <f t="array" ref="AD164">_xlfn.IFS(Saisie!T164="OUI",1,Saisie!T164="NON",0)</f>
        <v>#N/A</v>
      </c>
      <c r="AE164" s="171">
        <f>Saisie!U164</f>
        <v>0</v>
      </c>
      <c r="AF164" s="262">
        <v>1</v>
      </c>
      <c r="AG164" s="129">
        <f>Saisie!W164</f>
        <v>0</v>
      </c>
      <c r="AH164" s="20">
        <f>Saisie!X164</f>
        <v>0</v>
      </c>
      <c r="AI164" s="21">
        <f>Saisie!Y164</f>
        <v>0</v>
      </c>
      <c r="AJ164" s="59">
        <f>Saisie!Z164</f>
        <v>0</v>
      </c>
      <c r="AK164" s="20">
        <f>Saisie!AA164</f>
        <v>0</v>
      </c>
      <c r="AL164" s="21">
        <f>Saisie!AB164</f>
        <v>0</v>
      </c>
      <c r="AM164" s="59">
        <f>Saisie!AC164</f>
        <v>0</v>
      </c>
      <c r="AN164" s="20">
        <f>Saisie!AD164</f>
        <v>0</v>
      </c>
      <c r="AO164" s="21">
        <f>Saisie!AE164</f>
        <v>0</v>
      </c>
      <c r="AP164" s="59">
        <f>Saisie!AF164</f>
        <v>0</v>
      </c>
      <c r="AQ164" s="129" t="e">
        <f t="array" ref="AQ164">_xlfn.IFS(Saisie!AG164="OUI",1,Saisie!AG164="NON",0)</f>
        <v>#N/A</v>
      </c>
      <c r="AR164" s="129" t="e">
        <f t="array" ref="AR164">_xlfn.IFS(Saisie!AH164="OUI",1,Saisie!AH164="NON",0)</f>
        <v>#N/A</v>
      </c>
      <c r="AS164" s="171">
        <f>Saisie!AI164</f>
        <v>0</v>
      </c>
      <c r="AT164" s="263" t="e">
        <f t="array" ref="AT164">_xlfn.IFS(Saisie!AJ164="OUI",1,Saisie!AJ164="NON",0)</f>
        <v>#N/A</v>
      </c>
      <c r="AU164" s="173">
        <f>Saisie!AK164</f>
        <v>0</v>
      </c>
      <c r="AV164" s="263" t="e">
        <f t="array" ref="AV164">_xlfn.IFS(Saisie!AL164="OUI",1,Saisie!AL164="NON",0)</f>
        <v>#N/A</v>
      </c>
      <c r="AW164" s="171">
        <f>Saisie!AM164</f>
        <v>0</v>
      </c>
      <c r="AX164" s="68">
        <f>Saisie!AN164</f>
        <v>0</v>
      </c>
      <c r="AY164" s="20">
        <f>Saisie!AO164</f>
        <v>0</v>
      </c>
      <c r="AZ164" s="21">
        <f>Saisie!AP164</f>
        <v>0</v>
      </c>
      <c r="BA164" s="298">
        <f>Saisie!AQ164</f>
        <v>0</v>
      </c>
      <c r="BB164" s="170">
        <f>Saisie!AR164</f>
        <v>0</v>
      </c>
      <c r="BC164" s="174">
        <f>Saisie!AS164</f>
        <v>0</v>
      </c>
      <c r="BD164" s="61">
        <f>Saisie!AT164</f>
        <v>0</v>
      </c>
      <c r="BE164" s="175" t="e">
        <f t="array" ref="BE164">_xlfn.IFS(Saisie!AU164="OUI",1,Saisie!AU164="NON",0)</f>
        <v>#N/A</v>
      </c>
      <c r="BF164" s="267">
        <f>Saisie!AV164</f>
        <v>0</v>
      </c>
      <c r="BG164" s="55">
        <f>Saisie!AW164</f>
        <v>0</v>
      </c>
      <c r="BH164" s="55" t="e">
        <f t="array" ref="BH164">_xlfn.IFS(Saisie!AX164="OUI",1,Saisie!AX164="NON",0)</f>
        <v>#N/A</v>
      </c>
      <c r="BI164" s="62">
        <f>Saisie!AY164</f>
        <v>0</v>
      </c>
      <c r="BJ164" s="55" t="e">
        <f t="array" ref="BJ164">_xlfn.IFS(Saisie!AZ164="OUI",1,Saisie!AZ164="NON",0)</f>
        <v>#N/A</v>
      </c>
      <c r="BK164" s="55" t="e">
        <f t="array" ref="BK164">_xlfn.IFS(Saisie!BA164="OUI",1,Saisie!BA164="NON",0)</f>
        <v>#N/A</v>
      </c>
      <c r="BL164" s="55">
        <f>Saisie!BB164</f>
        <v>0</v>
      </c>
      <c r="BM164" s="49" t="e">
        <f>Saisie!BC164</f>
        <v>#REF!</v>
      </c>
      <c r="BN164" s="175"/>
    </row>
    <row r="165" spans="1:66" s="176" customFormat="1" x14ac:dyDescent="0.45">
      <c r="A165" s="13">
        <v>159</v>
      </c>
      <c r="B165" s="150">
        <f>Saisie!B165</f>
        <v>0</v>
      </c>
      <c r="C165" s="150">
        <f>Saisie!C165</f>
        <v>0</v>
      </c>
      <c r="D165" s="150">
        <f>Saisie!D165</f>
        <v>0</v>
      </c>
      <c r="E165" s="150">
        <f>Saisie!E165</f>
        <v>0</v>
      </c>
      <c r="F165" s="150">
        <f>Saisie!F165</f>
        <v>0</v>
      </c>
      <c r="G165" s="150">
        <f>Saisie!G165</f>
        <v>0</v>
      </c>
      <c r="H165" s="150">
        <f>Saisie!I165</f>
        <v>0</v>
      </c>
      <c r="I165" s="150">
        <f>Saisie!J165</f>
        <v>0</v>
      </c>
      <c r="J165" s="150">
        <f>Saisie!K165</f>
        <v>0</v>
      </c>
      <c r="K165" s="150">
        <f>Saisie!L165</f>
        <v>0</v>
      </c>
      <c r="L165" s="150" t="e">
        <f>Saisie!#REF!</f>
        <v>#REF!</v>
      </c>
      <c r="M165" s="55" t="e">
        <f t="array" ref="M165">_xlfn.IFS(Saisie!M165="OUI",1,Saisie!M165="NON",0)</f>
        <v>#N/A</v>
      </c>
      <c r="N165" s="64" t="e">
        <f>Saisie!#REF!</f>
        <v>#REF!</v>
      </c>
      <c r="O165" s="63" t="e">
        <f>Saisie!#REF!</f>
        <v>#REF!</v>
      </c>
      <c r="P165" s="63">
        <f>Saisie!N165</f>
        <v>0</v>
      </c>
      <c r="Q165" s="63" t="e">
        <f t="array" ref="Q165">_xlfn.IFS(Saisie!#REF!="OUI",1,Saisie!#REF!="NON",0)</f>
        <v>#REF!</v>
      </c>
      <c r="R165" s="63" t="e">
        <f>Saisie!#REF!</f>
        <v>#REF!</v>
      </c>
      <c r="S165" s="65" t="e">
        <f>Saisie!#REF!</f>
        <v>#REF!</v>
      </c>
      <c r="T165" s="63" t="e">
        <f>Saisie!#REF!</f>
        <v>#REF!</v>
      </c>
      <c r="U165" s="63" t="e">
        <f>Saisie!#REF!</f>
        <v>#REF!</v>
      </c>
      <c r="V165" s="63" t="e">
        <f t="array" ref="V165">_xlfn.IFS(Saisie!#REF!="OUI",1,Saisie!#REF!="NON",0)</f>
        <v>#REF!</v>
      </c>
      <c r="W165" s="63" t="e">
        <f t="array" ref="W165">_xlfn.IFS(Saisie!O165="OUI",1,Saisie!O165="NON",0)</f>
        <v>#N/A</v>
      </c>
      <c r="X165" s="63">
        <f>Saisie!P165</f>
        <v>0</v>
      </c>
      <c r="Y165" s="299">
        <f>Saisie!H165</f>
        <v>0</v>
      </c>
      <c r="Z165" s="58" t="e">
        <f>Saisie!#REF!</f>
        <v>#REF!</v>
      </c>
      <c r="AA165" s="299">
        <f>Saisie!Q165</f>
        <v>0</v>
      </c>
      <c r="AB165" s="63" t="e">
        <f t="array" ref="AB165">_xlfn.IFS(Saisie!R165="OUI",1,Saisie!R165="NON",0)</f>
        <v>#N/A</v>
      </c>
      <c r="AC165" s="63">
        <f>Saisie!S165</f>
        <v>0</v>
      </c>
      <c r="AD165" s="63" t="e">
        <f t="array" ref="AD165">_xlfn.IFS(Saisie!T165="OUI",1,Saisie!T165="NON",0)</f>
        <v>#N/A</v>
      </c>
      <c r="AE165" s="171">
        <f>Saisie!U165</f>
        <v>0</v>
      </c>
      <c r="AF165" s="262">
        <v>1</v>
      </c>
      <c r="AG165" s="129">
        <f>Saisie!W165</f>
        <v>0</v>
      </c>
      <c r="AH165" s="20">
        <f>Saisie!X165</f>
        <v>0</v>
      </c>
      <c r="AI165" s="21">
        <f>Saisie!Y165</f>
        <v>0</v>
      </c>
      <c r="AJ165" s="59">
        <f>Saisie!Z165</f>
        <v>0</v>
      </c>
      <c r="AK165" s="20">
        <f>Saisie!AA165</f>
        <v>0</v>
      </c>
      <c r="AL165" s="21">
        <f>Saisie!AB165</f>
        <v>0</v>
      </c>
      <c r="AM165" s="59">
        <f>Saisie!AC165</f>
        <v>0</v>
      </c>
      <c r="AN165" s="20">
        <f>Saisie!AD165</f>
        <v>0</v>
      </c>
      <c r="AO165" s="21">
        <f>Saisie!AE165</f>
        <v>0</v>
      </c>
      <c r="AP165" s="59">
        <f>Saisie!AF165</f>
        <v>0</v>
      </c>
      <c r="AQ165" s="129" t="e">
        <f t="array" ref="AQ165">_xlfn.IFS(Saisie!AG165="OUI",1,Saisie!AG165="NON",0)</f>
        <v>#N/A</v>
      </c>
      <c r="AR165" s="129" t="e">
        <f t="array" ref="AR165">_xlfn.IFS(Saisie!AH165="OUI",1,Saisie!AH165="NON",0)</f>
        <v>#N/A</v>
      </c>
      <c r="AS165" s="171">
        <f>Saisie!AI165</f>
        <v>0</v>
      </c>
      <c r="AT165" s="263" t="e">
        <f t="array" ref="AT165">_xlfn.IFS(Saisie!AJ165="OUI",1,Saisie!AJ165="NON",0)</f>
        <v>#N/A</v>
      </c>
      <c r="AU165" s="173">
        <f>Saisie!AK165</f>
        <v>0</v>
      </c>
      <c r="AV165" s="263" t="e">
        <f t="array" ref="AV165">_xlfn.IFS(Saisie!AL165="OUI",1,Saisie!AL165="NON",0)</f>
        <v>#N/A</v>
      </c>
      <c r="AW165" s="171">
        <f>Saisie!AM165</f>
        <v>0</v>
      </c>
      <c r="AX165" s="68">
        <f>Saisie!AN165</f>
        <v>0</v>
      </c>
      <c r="AY165" s="20">
        <f>Saisie!AO165</f>
        <v>0</v>
      </c>
      <c r="AZ165" s="21">
        <f>Saisie!AP165</f>
        <v>0</v>
      </c>
      <c r="BA165" s="298">
        <f>Saisie!AQ165</f>
        <v>0</v>
      </c>
      <c r="BB165" s="170">
        <f>Saisie!AR165</f>
        <v>0</v>
      </c>
      <c r="BC165" s="174">
        <f>Saisie!AS165</f>
        <v>0</v>
      </c>
      <c r="BD165" s="61">
        <f>Saisie!AT165</f>
        <v>0</v>
      </c>
      <c r="BE165" s="175" t="e">
        <f t="array" ref="BE165">_xlfn.IFS(Saisie!AU165="OUI",1,Saisie!AU165="NON",0)</f>
        <v>#N/A</v>
      </c>
      <c r="BF165" s="267">
        <f>Saisie!AV165</f>
        <v>0</v>
      </c>
      <c r="BG165" s="55">
        <f>Saisie!AW165</f>
        <v>0</v>
      </c>
      <c r="BH165" s="55" t="e">
        <f t="array" ref="BH165">_xlfn.IFS(Saisie!AX165="OUI",1,Saisie!AX165="NON",0)</f>
        <v>#N/A</v>
      </c>
      <c r="BI165" s="62">
        <f>Saisie!AY165</f>
        <v>0</v>
      </c>
      <c r="BJ165" s="55" t="e">
        <f t="array" ref="BJ165">_xlfn.IFS(Saisie!AZ165="OUI",1,Saisie!AZ165="NON",0)</f>
        <v>#N/A</v>
      </c>
      <c r="BK165" s="55" t="e">
        <f t="array" ref="BK165">_xlfn.IFS(Saisie!BA165="OUI",1,Saisie!BA165="NON",0)</f>
        <v>#N/A</v>
      </c>
      <c r="BL165" s="55">
        <f>Saisie!BB165</f>
        <v>0</v>
      </c>
      <c r="BM165" s="49" t="e">
        <f>Saisie!BC165</f>
        <v>#REF!</v>
      </c>
      <c r="BN165" s="175"/>
    </row>
    <row r="166" spans="1:66" s="176" customFormat="1" x14ac:dyDescent="0.45">
      <c r="A166" s="12">
        <v>160</v>
      </c>
      <c r="B166" s="150">
        <f>Saisie!B166</f>
        <v>0</v>
      </c>
      <c r="C166" s="150">
        <f>Saisie!C166</f>
        <v>0</v>
      </c>
      <c r="D166" s="150">
        <f>Saisie!D166</f>
        <v>0</v>
      </c>
      <c r="E166" s="150">
        <f>Saisie!E166</f>
        <v>0</v>
      </c>
      <c r="F166" s="150">
        <f>Saisie!F166</f>
        <v>0</v>
      </c>
      <c r="G166" s="150">
        <f>Saisie!G166</f>
        <v>0</v>
      </c>
      <c r="H166" s="150">
        <f>Saisie!I166</f>
        <v>0</v>
      </c>
      <c r="I166" s="150">
        <f>Saisie!J166</f>
        <v>0</v>
      </c>
      <c r="J166" s="150">
        <f>Saisie!K166</f>
        <v>0</v>
      </c>
      <c r="K166" s="150">
        <f>Saisie!L166</f>
        <v>0</v>
      </c>
      <c r="L166" s="150" t="e">
        <f>Saisie!#REF!</f>
        <v>#REF!</v>
      </c>
      <c r="M166" s="55" t="e">
        <f t="array" ref="M166">_xlfn.IFS(Saisie!M166="OUI",1,Saisie!M166="NON",0)</f>
        <v>#N/A</v>
      </c>
      <c r="N166" s="64" t="e">
        <f>Saisie!#REF!</f>
        <v>#REF!</v>
      </c>
      <c r="O166" s="63" t="e">
        <f>Saisie!#REF!</f>
        <v>#REF!</v>
      </c>
      <c r="P166" s="63">
        <f>Saisie!N166</f>
        <v>0</v>
      </c>
      <c r="Q166" s="63" t="e">
        <f t="array" ref="Q166">_xlfn.IFS(Saisie!#REF!="OUI",1,Saisie!#REF!="NON",0)</f>
        <v>#REF!</v>
      </c>
      <c r="R166" s="63" t="e">
        <f>Saisie!#REF!</f>
        <v>#REF!</v>
      </c>
      <c r="S166" s="65" t="e">
        <f>Saisie!#REF!</f>
        <v>#REF!</v>
      </c>
      <c r="T166" s="63" t="e">
        <f>Saisie!#REF!</f>
        <v>#REF!</v>
      </c>
      <c r="U166" s="63" t="e">
        <f>Saisie!#REF!</f>
        <v>#REF!</v>
      </c>
      <c r="V166" s="63" t="e">
        <f t="array" ref="V166">_xlfn.IFS(Saisie!#REF!="OUI",1,Saisie!#REF!="NON",0)</f>
        <v>#REF!</v>
      </c>
      <c r="W166" s="63" t="e">
        <f t="array" ref="W166">_xlfn.IFS(Saisie!O166="OUI",1,Saisie!O166="NON",0)</f>
        <v>#N/A</v>
      </c>
      <c r="X166" s="63">
        <f>Saisie!P166</f>
        <v>0</v>
      </c>
      <c r="Y166" s="299">
        <f>Saisie!H166</f>
        <v>0</v>
      </c>
      <c r="Z166" s="58" t="e">
        <f>Saisie!#REF!</f>
        <v>#REF!</v>
      </c>
      <c r="AA166" s="299">
        <f>Saisie!Q166</f>
        <v>0</v>
      </c>
      <c r="AB166" s="63" t="e">
        <f t="array" ref="AB166">_xlfn.IFS(Saisie!R166="OUI",1,Saisie!R166="NON",0)</f>
        <v>#N/A</v>
      </c>
      <c r="AC166" s="63">
        <f>Saisie!S166</f>
        <v>0</v>
      </c>
      <c r="AD166" s="63" t="e">
        <f t="array" ref="AD166">_xlfn.IFS(Saisie!T166="OUI",1,Saisie!T166="NON",0)</f>
        <v>#N/A</v>
      </c>
      <c r="AE166" s="171">
        <f>Saisie!U166</f>
        <v>0</v>
      </c>
      <c r="AF166" s="262">
        <v>3</v>
      </c>
      <c r="AG166" s="129">
        <f>Saisie!W166</f>
        <v>0</v>
      </c>
      <c r="AH166" s="20">
        <f>Saisie!X166</f>
        <v>0</v>
      </c>
      <c r="AI166" s="21">
        <f>Saisie!Y166</f>
        <v>0</v>
      </c>
      <c r="AJ166" s="59">
        <f>Saisie!Z166</f>
        <v>0</v>
      </c>
      <c r="AK166" s="20">
        <f>Saisie!AA166</f>
        <v>0</v>
      </c>
      <c r="AL166" s="21">
        <f>Saisie!AB166</f>
        <v>0</v>
      </c>
      <c r="AM166" s="59">
        <f>Saisie!AC166</f>
        <v>0</v>
      </c>
      <c r="AN166" s="20">
        <f>Saisie!AD166</f>
        <v>0</v>
      </c>
      <c r="AO166" s="21">
        <f>Saisie!AE166</f>
        <v>0</v>
      </c>
      <c r="AP166" s="59">
        <f>Saisie!AF166</f>
        <v>0</v>
      </c>
      <c r="AQ166" s="129" t="e">
        <f t="array" ref="AQ166">_xlfn.IFS(Saisie!AG166="OUI",1,Saisie!AG166="NON",0)</f>
        <v>#N/A</v>
      </c>
      <c r="AR166" s="129" t="e">
        <f t="array" ref="AR166">_xlfn.IFS(Saisie!AH166="OUI",1,Saisie!AH166="NON",0)</f>
        <v>#N/A</v>
      </c>
      <c r="AS166" s="171">
        <f>Saisie!AI166</f>
        <v>0</v>
      </c>
      <c r="AT166" s="263" t="e">
        <f t="array" ref="AT166">_xlfn.IFS(Saisie!AJ166="OUI",1,Saisie!AJ166="NON",0)</f>
        <v>#N/A</v>
      </c>
      <c r="AU166" s="173">
        <f>Saisie!AK166</f>
        <v>0</v>
      </c>
      <c r="AV166" s="263" t="e">
        <f t="array" ref="AV166">_xlfn.IFS(Saisie!AL166="OUI",1,Saisie!AL166="NON",0)</f>
        <v>#N/A</v>
      </c>
      <c r="AW166" s="171">
        <f>Saisie!AM166</f>
        <v>0</v>
      </c>
      <c r="AX166" s="68">
        <f>Saisie!AN166</f>
        <v>0</v>
      </c>
      <c r="AY166" s="20">
        <f>Saisie!AO166</f>
        <v>0</v>
      </c>
      <c r="AZ166" s="21">
        <f>Saisie!AP166</f>
        <v>0</v>
      </c>
      <c r="BA166" s="298">
        <f>Saisie!AQ166</f>
        <v>0</v>
      </c>
      <c r="BB166" s="170">
        <f>Saisie!AR166</f>
        <v>0</v>
      </c>
      <c r="BC166" s="174">
        <f>Saisie!AS166</f>
        <v>0</v>
      </c>
      <c r="BD166" s="61">
        <f>Saisie!AT166</f>
        <v>0</v>
      </c>
      <c r="BE166" s="175" t="e">
        <f t="array" ref="BE166">_xlfn.IFS(Saisie!AU166="OUI",1,Saisie!AU166="NON",0)</f>
        <v>#N/A</v>
      </c>
      <c r="BF166" s="267">
        <f>Saisie!AV166</f>
        <v>0</v>
      </c>
      <c r="BG166" s="55">
        <f>Saisie!AW166</f>
        <v>0</v>
      </c>
      <c r="BH166" s="55" t="e">
        <f t="array" ref="BH166">_xlfn.IFS(Saisie!AX166="OUI",1,Saisie!AX166="NON",0)</f>
        <v>#N/A</v>
      </c>
      <c r="BI166" s="62">
        <f>Saisie!AY166</f>
        <v>0</v>
      </c>
      <c r="BJ166" s="55" t="e">
        <f t="array" ref="BJ166">_xlfn.IFS(Saisie!AZ166="OUI",1,Saisie!AZ166="NON",0)</f>
        <v>#N/A</v>
      </c>
      <c r="BK166" s="55" t="e">
        <f t="array" ref="BK166">_xlfn.IFS(Saisie!BA166="OUI",1,Saisie!BA166="NON",0)</f>
        <v>#N/A</v>
      </c>
      <c r="BL166" s="55">
        <f>Saisie!BB166</f>
        <v>0</v>
      </c>
      <c r="BM166" s="49" t="e">
        <f>Saisie!BC166</f>
        <v>#REF!</v>
      </c>
      <c r="BN166" s="175"/>
    </row>
    <row r="167" spans="1:66" s="176" customFormat="1" x14ac:dyDescent="0.45">
      <c r="A167" s="13">
        <v>161</v>
      </c>
      <c r="B167" s="150">
        <f>Saisie!B167</f>
        <v>0</v>
      </c>
      <c r="C167" s="150">
        <f>Saisie!C167</f>
        <v>0</v>
      </c>
      <c r="D167" s="150">
        <f>Saisie!D167</f>
        <v>0</v>
      </c>
      <c r="E167" s="150">
        <f>Saisie!E167</f>
        <v>0</v>
      </c>
      <c r="F167" s="150">
        <f>Saisie!F167</f>
        <v>0</v>
      </c>
      <c r="G167" s="150">
        <f>Saisie!G167</f>
        <v>0</v>
      </c>
      <c r="H167" s="150">
        <f>Saisie!I167</f>
        <v>0</v>
      </c>
      <c r="I167" s="150">
        <f>Saisie!J167</f>
        <v>0</v>
      </c>
      <c r="J167" s="150">
        <f>Saisie!K167</f>
        <v>0</v>
      </c>
      <c r="K167" s="150">
        <f>Saisie!L167</f>
        <v>0</v>
      </c>
      <c r="L167" s="150" t="e">
        <f>Saisie!#REF!</f>
        <v>#REF!</v>
      </c>
      <c r="M167" s="55" t="e">
        <f t="array" ref="M167">_xlfn.IFS(Saisie!M167="OUI",1,Saisie!M167="NON",0)</f>
        <v>#N/A</v>
      </c>
      <c r="N167" s="64" t="e">
        <f>Saisie!#REF!</f>
        <v>#REF!</v>
      </c>
      <c r="O167" s="63" t="e">
        <f>Saisie!#REF!</f>
        <v>#REF!</v>
      </c>
      <c r="P167" s="63">
        <f>Saisie!N167</f>
        <v>0</v>
      </c>
      <c r="Q167" s="63" t="e">
        <f t="array" ref="Q167">_xlfn.IFS(Saisie!#REF!="OUI",1,Saisie!#REF!="NON",0)</f>
        <v>#REF!</v>
      </c>
      <c r="R167" s="63" t="e">
        <f>Saisie!#REF!</f>
        <v>#REF!</v>
      </c>
      <c r="S167" s="65" t="e">
        <f>Saisie!#REF!</f>
        <v>#REF!</v>
      </c>
      <c r="T167" s="63" t="e">
        <f>Saisie!#REF!</f>
        <v>#REF!</v>
      </c>
      <c r="U167" s="63" t="e">
        <f>Saisie!#REF!</f>
        <v>#REF!</v>
      </c>
      <c r="V167" s="63" t="e">
        <f t="array" ref="V167">_xlfn.IFS(Saisie!#REF!="OUI",1,Saisie!#REF!="NON",0)</f>
        <v>#REF!</v>
      </c>
      <c r="W167" s="63" t="e">
        <f t="array" ref="W167">_xlfn.IFS(Saisie!O167="OUI",1,Saisie!O167="NON",0)</f>
        <v>#N/A</v>
      </c>
      <c r="X167" s="63">
        <f>Saisie!P167</f>
        <v>0</v>
      </c>
      <c r="Y167" s="299">
        <f>Saisie!H167</f>
        <v>0</v>
      </c>
      <c r="Z167" s="58" t="e">
        <f>Saisie!#REF!</f>
        <v>#REF!</v>
      </c>
      <c r="AA167" s="299">
        <f>Saisie!Q167</f>
        <v>0</v>
      </c>
      <c r="AB167" s="63" t="e">
        <f t="array" ref="AB167">_xlfn.IFS(Saisie!R167="OUI",1,Saisie!R167="NON",0)</f>
        <v>#N/A</v>
      </c>
      <c r="AC167" s="63">
        <f>Saisie!S167</f>
        <v>0</v>
      </c>
      <c r="AD167" s="63" t="e">
        <f t="array" ref="AD167">_xlfn.IFS(Saisie!T167="OUI",1,Saisie!T167="NON",0)</f>
        <v>#N/A</v>
      </c>
      <c r="AE167" s="171">
        <f>Saisie!U167</f>
        <v>0</v>
      </c>
      <c r="AF167" s="262">
        <v>1</v>
      </c>
      <c r="AG167" s="129">
        <f>Saisie!W167</f>
        <v>0</v>
      </c>
      <c r="AH167" s="20">
        <f>Saisie!X167</f>
        <v>0</v>
      </c>
      <c r="AI167" s="21">
        <f>Saisie!Y167</f>
        <v>0</v>
      </c>
      <c r="AJ167" s="59">
        <f>Saisie!Z167</f>
        <v>0</v>
      </c>
      <c r="AK167" s="20">
        <f>Saisie!AA167</f>
        <v>0</v>
      </c>
      <c r="AL167" s="21">
        <f>Saisie!AB167</f>
        <v>0</v>
      </c>
      <c r="AM167" s="59">
        <f>Saisie!AC167</f>
        <v>0</v>
      </c>
      <c r="AN167" s="20">
        <f>Saisie!AD167</f>
        <v>0</v>
      </c>
      <c r="AO167" s="21">
        <f>Saisie!AE167</f>
        <v>0</v>
      </c>
      <c r="AP167" s="59">
        <f>Saisie!AF167</f>
        <v>0</v>
      </c>
      <c r="AQ167" s="129" t="e">
        <f t="array" ref="AQ167">_xlfn.IFS(Saisie!AG167="OUI",1,Saisie!AG167="NON",0)</f>
        <v>#N/A</v>
      </c>
      <c r="AR167" s="129" t="e">
        <f t="array" ref="AR167">_xlfn.IFS(Saisie!AH167="OUI",1,Saisie!AH167="NON",0)</f>
        <v>#N/A</v>
      </c>
      <c r="AS167" s="171">
        <f>Saisie!AI167</f>
        <v>0</v>
      </c>
      <c r="AT167" s="263" t="e">
        <f t="array" ref="AT167">_xlfn.IFS(Saisie!AJ167="OUI",1,Saisie!AJ167="NON",0)</f>
        <v>#N/A</v>
      </c>
      <c r="AU167" s="173">
        <f>Saisie!AK167</f>
        <v>0</v>
      </c>
      <c r="AV167" s="263" t="e">
        <f t="array" ref="AV167">_xlfn.IFS(Saisie!AL167="OUI",1,Saisie!AL167="NON",0)</f>
        <v>#N/A</v>
      </c>
      <c r="AW167" s="171">
        <f>Saisie!AM167</f>
        <v>0</v>
      </c>
      <c r="AX167" s="68">
        <f>Saisie!AN167</f>
        <v>0</v>
      </c>
      <c r="AY167" s="20">
        <f>Saisie!AO167</f>
        <v>0</v>
      </c>
      <c r="AZ167" s="21">
        <f>Saisie!AP167</f>
        <v>0</v>
      </c>
      <c r="BA167" s="298">
        <f>Saisie!AQ167</f>
        <v>0</v>
      </c>
      <c r="BB167" s="170">
        <f>Saisie!AR167</f>
        <v>0</v>
      </c>
      <c r="BC167" s="174">
        <f>Saisie!AS167</f>
        <v>0</v>
      </c>
      <c r="BD167" s="61">
        <f>Saisie!AT167</f>
        <v>0</v>
      </c>
      <c r="BE167" s="175" t="e">
        <f t="array" ref="BE167">_xlfn.IFS(Saisie!AU167="OUI",1,Saisie!AU167="NON",0)</f>
        <v>#N/A</v>
      </c>
      <c r="BF167" s="267">
        <f>Saisie!AV167</f>
        <v>0</v>
      </c>
      <c r="BG167" s="55">
        <f>Saisie!AW167</f>
        <v>0</v>
      </c>
      <c r="BH167" s="55" t="e">
        <f t="array" ref="BH167">_xlfn.IFS(Saisie!AX167="OUI",1,Saisie!AX167="NON",0)</f>
        <v>#N/A</v>
      </c>
      <c r="BI167" s="62">
        <f>Saisie!AY167</f>
        <v>0</v>
      </c>
      <c r="BJ167" s="55" t="e">
        <f t="array" ref="BJ167">_xlfn.IFS(Saisie!AZ167="OUI",1,Saisie!AZ167="NON",0)</f>
        <v>#N/A</v>
      </c>
      <c r="BK167" s="55" t="e">
        <f t="array" ref="BK167">_xlfn.IFS(Saisie!BA167="OUI",1,Saisie!BA167="NON",0)</f>
        <v>#N/A</v>
      </c>
      <c r="BL167" s="55">
        <f>Saisie!BB167</f>
        <v>0</v>
      </c>
      <c r="BM167" s="49" t="e">
        <f>Saisie!BC167</f>
        <v>#REF!</v>
      </c>
      <c r="BN167" s="175"/>
    </row>
    <row r="168" spans="1:66" s="176" customFormat="1" x14ac:dyDescent="0.45">
      <c r="A168" s="13">
        <v>162</v>
      </c>
      <c r="B168" s="150">
        <f>Saisie!B168</f>
        <v>0</v>
      </c>
      <c r="C168" s="150">
        <f>Saisie!C168</f>
        <v>0</v>
      </c>
      <c r="D168" s="150">
        <f>Saisie!D168</f>
        <v>0</v>
      </c>
      <c r="E168" s="150">
        <f>Saisie!E168</f>
        <v>0</v>
      </c>
      <c r="F168" s="150">
        <f>Saisie!F168</f>
        <v>0</v>
      </c>
      <c r="G168" s="150">
        <f>Saisie!G168</f>
        <v>0</v>
      </c>
      <c r="H168" s="150">
        <f>Saisie!I168</f>
        <v>0</v>
      </c>
      <c r="I168" s="150">
        <f>Saisie!J168</f>
        <v>0</v>
      </c>
      <c r="J168" s="150">
        <f>Saisie!K168</f>
        <v>0</v>
      </c>
      <c r="K168" s="150">
        <f>Saisie!L168</f>
        <v>0</v>
      </c>
      <c r="L168" s="150" t="e">
        <f>Saisie!#REF!</f>
        <v>#REF!</v>
      </c>
      <c r="M168" s="55" t="e">
        <f t="array" ref="M168">_xlfn.IFS(Saisie!M168="OUI",1,Saisie!M168="NON",0)</f>
        <v>#N/A</v>
      </c>
      <c r="N168" s="64" t="e">
        <f>Saisie!#REF!</f>
        <v>#REF!</v>
      </c>
      <c r="O168" s="63" t="e">
        <f>Saisie!#REF!</f>
        <v>#REF!</v>
      </c>
      <c r="P168" s="63">
        <f>Saisie!N168</f>
        <v>0</v>
      </c>
      <c r="Q168" s="63" t="e">
        <f t="array" ref="Q168">_xlfn.IFS(Saisie!#REF!="OUI",1,Saisie!#REF!="NON",0)</f>
        <v>#REF!</v>
      </c>
      <c r="R168" s="63" t="e">
        <f>Saisie!#REF!</f>
        <v>#REF!</v>
      </c>
      <c r="S168" s="65" t="e">
        <f>Saisie!#REF!</f>
        <v>#REF!</v>
      </c>
      <c r="T168" s="63" t="e">
        <f>Saisie!#REF!</f>
        <v>#REF!</v>
      </c>
      <c r="U168" s="63" t="e">
        <f>Saisie!#REF!</f>
        <v>#REF!</v>
      </c>
      <c r="V168" s="63" t="e">
        <f t="array" ref="V168">_xlfn.IFS(Saisie!#REF!="OUI",1,Saisie!#REF!="NON",0)</f>
        <v>#REF!</v>
      </c>
      <c r="W168" s="63" t="e">
        <f t="array" ref="W168">_xlfn.IFS(Saisie!O168="OUI",1,Saisie!O168="NON",0)</f>
        <v>#N/A</v>
      </c>
      <c r="X168" s="63">
        <f>Saisie!P168</f>
        <v>0</v>
      </c>
      <c r="Y168" s="299">
        <f>Saisie!H168</f>
        <v>0</v>
      </c>
      <c r="Z168" s="58" t="e">
        <f>Saisie!#REF!</f>
        <v>#REF!</v>
      </c>
      <c r="AA168" s="299">
        <f>Saisie!Q168</f>
        <v>0</v>
      </c>
      <c r="AB168" s="63" t="e">
        <f t="array" ref="AB168">_xlfn.IFS(Saisie!R168="OUI",1,Saisie!R168="NON",0)</f>
        <v>#N/A</v>
      </c>
      <c r="AC168" s="63">
        <f>Saisie!S168</f>
        <v>0</v>
      </c>
      <c r="AD168" s="63" t="e">
        <f t="array" ref="AD168">_xlfn.IFS(Saisie!T168="OUI",1,Saisie!T168="NON",0)</f>
        <v>#N/A</v>
      </c>
      <c r="AE168" s="171">
        <f>Saisie!U168</f>
        <v>0</v>
      </c>
      <c r="AF168" s="262">
        <v>3</v>
      </c>
      <c r="AG168" s="129">
        <f>Saisie!W168</f>
        <v>0</v>
      </c>
      <c r="AH168" s="20">
        <f>Saisie!X168</f>
        <v>0</v>
      </c>
      <c r="AI168" s="21">
        <f>Saisie!Y168</f>
        <v>0</v>
      </c>
      <c r="AJ168" s="59">
        <f>Saisie!Z168</f>
        <v>0</v>
      </c>
      <c r="AK168" s="20">
        <f>Saisie!AA168</f>
        <v>0</v>
      </c>
      <c r="AL168" s="21">
        <f>Saisie!AB168</f>
        <v>0</v>
      </c>
      <c r="AM168" s="59">
        <f>Saisie!AC168</f>
        <v>0</v>
      </c>
      <c r="AN168" s="20">
        <f>Saisie!AD168</f>
        <v>0</v>
      </c>
      <c r="AO168" s="21">
        <f>Saisie!AE168</f>
        <v>0</v>
      </c>
      <c r="AP168" s="59">
        <f>Saisie!AF168</f>
        <v>0</v>
      </c>
      <c r="AQ168" s="129" t="e">
        <f t="array" ref="AQ168">_xlfn.IFS(Saisie!AG168="OUI",1,Saisie!AG168="NON",0)</f>
        <v>#N/A</v>
      </c>
      <c r="AR168" s="129" t="e">
        <f t="array" ref="AR168">_xlfn.IFS(Saisie!AH168="OUI",1,Saisie!AH168="NON",0)</f>
        <v>#N/A</v>
      </c>
      <c r="AS168" s="171">
        <f>Saisie!AI168</f>
        <v>0</v>
      </c>
      <c r="AT168" s="263" t="e">
        <f t="array" ref="AT168">_xlfn.IFS(Saisie!AJ168="OUI",1,Saisie!AJ168="NON",0)</f>
        <v>#N/A</v>
      </c>
      <c r="AU168" s="173">
        <f>Saisie!AK168</f>
        <v>0</v>
      </c>
      <c r="AV168" s="263" t="e">
        <f t="array" ref="AV168">_xlfn.IFS(Saisie!AL168="OUI",1,Saisie!AL168="NON",0)</f>
        <v>#N/A</v>
      </c>
      <c r="AW168" s="171">
        <f>Saisie!AM168</f>
        <v>0</v>
      </c>
      <c r="AX168" s="68">
        <f>Saisie!AN168</f>
        <v>0</v>
      </c>
      <c r="AY168" s="20">
        <f>Saisie!AO168</f>
        <v>0</v>
      </c>
      <c r="AZ168" s="21">
        <f>Saisie!AP168</f>
        <v>0</v>
      </c>
      <c r="BA168" s="298">
        <f>Saisie!AQ168</f>
        <v>0</v>
      </c>
      <c r="BB168" s="170">
        <f>Saisie!AR168</f>
        <v>0</v>
      </c>
      <c r="BC168" s="174">
        <f>Saisie!AS168</f>
        <v>0</v>
      </c>
      <c r="BD168" s="61">
        <f>Saisie!AT168</f>
        <v>0</v>
      </c>
      <c r="BE168" s="175" t="e">
        <f t="array" ref="BE168">_xlfn.IFS(Saisie!AU168="OUI",1,Saisie!AU168="NON",0)</f>
        <v>#N/A</v>
      </c>
      <c r="BF168" s="267">
        <f>Saisie!AV168</f>
        <v>0</v>
      </c>
      <c r="BG168" s="55">
        <f>Saisie!AW168</f>
        <v>0</v>
      </c>
      <c r="BH168" s="55" t="e">
        <f t="array" ref="BH168">_xlfn.IFS(Saisie!AX168="OUI",1,Saisie!AX168="NON",0)</f>
        <v>#N/A</v>
      </c>
      <c r="BI168" s="62">
        <f>Saisie!AY168</f>
        <v>0</v>
      </c>
      <c r="BJ168" s="55" t="e">
        <f t="array" ref="BJ168">_xlfn.IFS(Saisie!AZ168="OUI",1,Saisie!AZ168="NON",0)</f>
        <v>#N/A</v>
      </c>
      <c r="BK168" s="55" t="e">
        <f t="array" ref="BK168">_xlfn.IFS(Saisie!BA168="OUI",1,Saisie!BA168="NON",0)</f>
        <v>#N/A</v>
      </c>
      <c r="BL168" s="55">
        <f>Saisie!BB168</f>
        <v>0</v>
      </c>
      <c r="BM168" s="49" t="e">
        <f>Saisie!BC168</f>
        <v>#REF!</v>
      </c>
      <c r="BN168" s="175"/>
    </row>
    <row r="169" spans="1:66" s="176" customFormat="1" x14ac:dyDescent="0.45">
      <c r="A169" s="12">
        <v>163</v>
      </c>
      <c r="B169" s="150">
        <f>Saisie!B169</f>
        <v>0</v>
      </c>
      <c r="C169" s="150">
        <f>Saisie!C169</f>
        <v>0</v>
      </c>
      <c r="D169" s="150">
        <f>Saisie!D169</f>
        <v>0</v>
      </c>
      <c r="E169" s="150">
        <f>Saisie!E169</f>
        <v>0</v>
      </c>
      <c r="F169" s="150">
        <f>Saisie!F169</f>
        <v>0</v>
      </c>
      <c r="G169" s="150">
        <f>Saisie!G169</f>
        <v>0</v>
      </c>
      <c r="H169" s="150">
        <f>Saisie!I169</f>
        <v>0</v>
      </c>
      <c r="I169" s="150">
        <f>Saisie!J169</f>
        <v>0</v>
      </c>
      <c r="J169" s="150">
        <f>Saisie!K169</f>
        <v>0</v>
      </c>
      <c r="K169" s="150">
        <f>Saisie!L169</f>
        <v>0</v>
      </c>
      <c r="L169" s="150" t="e">
        <f>Saisie!#REF!</f>
        <v>#REF!</v>
      </c>
      <c r="M169" s="55" t="e">
        <f t="array" ref="M169">_xlfn.IFS(Saisie!M169="OUI",1,Saisie!M169="NON",0)</f>
        <v>#N/A</v>
      </c>
      <c r="N169" s="64" t="e">
        <f>Saisie!#REF!</f>
        <v>#REF!</v>
      </c>
      <c r="O169" s="63" t="e">
        <f>Saisie!#REF!</f>
        <v>#REF!</v>
      </c>
      <c r="P169" s="63">
        <f>Saisie!N169</f>
        <v>0</v>
      </c>
      <c r="Q169" s="63" t="e">
        <f t="array" ref="Q169">_xlfn.IFS(Saisie!#REF!="OUI",1,Saisie!#REF!="NON",0)</f>
        <v>#REF!</v>
      </c>
      <c r="R169" s="63" t="e">
        <f>Saisie!#REF!</f>
        <v>#REF!</v>
      </c>
      <c r="S169" s="65" t="e">
        <f>Saisie!#REF!</f>
        <v>#REF!</v>
      </c>
      <c r="T169" s="63" t="e">
        <f>Saisie!#REF!</f>
        <v>#REF!</v>
      </c>
      <c r="U169" s="63" t="e">
        <f>Saisie!#REF!</f>
        <v>#REF!</v>
      </c>
      <c r="V169" s="63" t="e">
        <f t="array" ref="V169">_xlfn.IFS(Saisie!#REF!="OUI",1,Saisie!#REF!="NON",0)</f>
        <v>#REF!</v>
      </c>
      <c r="W169" s="63" t="e">
        <f t="array" ref="W169">_xlfn.IFS(Saisie!O169="OUI",1,Saisie!O169="NON",0)</f>
        <v>#N/A</v>
      </c>
      <c r="X169" s="63">
        <f>Saisie!P169</f>
        <v>0</v>
      </c>
      <c r="Y169" s="299">
        <f>Saisie!H169</f>
        <v>0</v>
      </c>
      <c r="Z169" s="58" t="e">
        <f>Saisie!#REF!</f>
        <v>#REF!</v>
      </c>
      <c r="AA169" s="299">
        <f>Saisie!Q169</f>
        <v>0</v>
      </c>
      <c r="AB169" s="63" t="e">
        <f t="array" ref="AB169">_xlfn.IFS(Saisie!R169="OUI",1,Saisie!R169="NON",0)</f>
        <v>#N/A</v>
      </c>
      <c r="AC169" s="63">
        <f>Saisie!S169</f>
        <v>0</v>
      </c>
      <c r="AD169" s="63" t="e">
        <f t="array" ref="AD169">_xlfn.IFS(Saisie!T169="OUI",1,Saisie!T169="NON",0)</f>
        <v>#N/A</v>
      </c>
      <c r="AE169" s="171">
        <f>Saisie!U169</f>
        <v>0</v>
      </c>
      <c r="AF169" s="262">
        <v>3</v>
      </c>
      <c r="AG169" s="129">
        <f>Saisie!W169</f>
        <v>0</v>
      </c>
      <c r="AH169" s="20">
        <f>Saisie!X169</f>
        <v>0</v>
      </c>
      <c r="AI169" s="21">
        <f>Saisie!Y169</f>
        <v>0</v>
      </c>
      <c r="AJ169" s="59">
        <f>Saisie!Z169</f>
        <v>0</v>
      </c>
      <c r="AK169" s="20">
        <f>Saisie!AA169</f>
        <v>0</v>
      </c>
      <c r="AL169" s="21">
        <f>Saisie!AB169</f>
        <v>0</v>
      </c>
      <c r="AM169" s="59">
        <f>Saisie!AC169</f>
        <v>0</v>
      </c>
      <c r="AN169" s="20">
        <f>Saisie!AD169</f>
        <v>0</v>
      </c>
      <c r="AO169" s="21">
        <f>Saisie!AE169</f>
        <v>0</v>
      </c>
      <c r="AP169" s="59">
        <f>Saisie!AF169</f>
        <v>0</v>
      </c>
      <c r="AQ169" s="129" t="e">
        <f t="array" ref="AQ169">_xlfn.IFS(Saisie!AG169="OUI",1,Saisie!AG169="NON",0)</f>
        <v>#N/A</v>
      </c>
      <c r="AR169" s="129" t="e">
        <f t="array" ref="AR169">_xlfn.IFS(Saisie!AH169="OUI",1,Saisie!AH169="NON",0)</f>
        <v>#N/A</v>
      </c>
      <c r="AS169" s="171">
        <f>Saisie!AI169</f>
        <v>0</v>
      </c>
      <c r="AT169" s="263" t="e">
        <f t="array" ref="AT169">_xlfn.IFS(Saisie!AJ169="OUI",1,Saisie!AJ169="NON",0)</f>
        <v>#N/A</v>
      </c>
      <c r="AU169" s="173">
        <f>Saisie!AK169</f>
        <v>0</v>
      </c>
      <c r="AV169" s="263" t="e">
        <f t="array" ref="AV169">_xlfn.IFS(Saisie!AL169="OUI",1,Saisie!AL169="NON",0)</f>
        <v>#N/A</v>
      </c>
      <c r="AW169" s="171">
        <f>Saisie!AM169</f>
        <v>0</v>
      </c>
      <c r="AX169" s="68">
        <f>Saisie!AN169</f>
        <v>0</v>
      </c>
      <c r="AY169" s="20">
        <f>Saisie!AO169</f>
        <v>0</v>
      </c>
      <c r="AZ169" s="21">
        <f>Saisie!AP169</f>
        <v>0</v>
      </c>
      <c r="BA169" s="298">
        <f>Saisie!AQ169</f>
        <v>0</v>
      </c>
      <c r="BB169" s="170">
        <f>Saisie!AR169</f>
        <v>0</v>
      </c>
      <c r="BC169" s="174">
        <f>Saisie!AS169</f>
        <v>0</v>
      </c>
      <c r="BD169" s="61">
        <f>Saisie!AT169</f>
        <v>0</v>
      </c>
      <c r="BE169" s="175" t="e">
        <f t="array" ref="BE169">_xlfn.IFS(Saisie!AU169="OUI",1,Saisie!AU169="NON",0)</f>
        <v>#N/A</v>
      </c>
      <c r="BF169" s="267">
        <f>Saisie!AV169</f>
        <v>0</v>
      </c>
      <c r="BG169" s="55">
        <f>Saisie!AW169</f>
        <v>0</v>
      </c>
      <c r="BH169" s="55" t="e">
        <f t="array" ref="BH169">_xlfn.IFS(Saisie!AX169="OUI",1,Saisie!AX169="NON",0)</f>
        <v>#N/A</v>
      </c>
      <c r="BI169" s="62">
        <f>Saisie!AY169</f>
        <v>0</v>
      </c>
      <c r="BJ169" s="55" t="e">
        <f t="array" ref="BJ169">_xlfn.IFS(Saisie!AZ169="OUI",1,Saisie!AZ169="NON",0)</f>
        <v>#N/A</v>
      </c>
      <c r="BK169" s="55" t="e">
        <f t="array" ref="BK169">_xlfn.IFS(Saisie!BA169="OUI",1,Saisie!BA169="NON",0)</f>
        <v>#N/A</v>
      </c>
      <c r="BL169" s="55">
        <f>Saisie!BB169</f>
        <v>0</v>
      </c>
      <c r="BM169" s="49" t="e">
        <f>Saisie!BC169</f>
        <v>#REF!</v>
      </c>
      <c r="BN169" s="175"/>
    </row>
    <row r="170" spans="1:66" s="176" customFormat="1" x14ac:dyDescent="0.45">
      <c r="A170" s="13">
        <v>164</v>
      </c>
      <c r="B170" s="150">
        <f>Saisie!B170</f>
        <v>0</v>
      </c>
      <c r="C170" s="150">
        <f>Saisie!C170</f>
        <v>0</v>
      </c>
      <c r="D170" s="150">
        <f>Saisie!D170</f>
        <v>0</v>
      </c>
      <c r="E170" s="150">
        <f>Saisie!E170</f>
        <v>0</v>
      </c>
      <c r="F170" s="150">
        <f>Saisie!F170</f>
        <v>0</v>
      </c>
      <c r="G170" s="150">
        <f>Saisie!G170</f>
        <v>0</v>
      </c>
      <c r="H170" s="150">
        <f>Saisie!I170</f>
        <v>0</v>
      </c>
      <c r="I170" s="150">
        <f>Saisie!J170</f>
        <v>0</v>
      </c>
      <c r="J170" s="150">
        <f>Saisie!K170</f>
        <v>0</v>
      </c>
      <c r="K170" s="150">
        <f>Saisie!L170</f>
        <v>0</v>
      </c>
      <c r="L170" s="150" t="e">
        <f>Saisie!#REF!</f>
        <v>#REF!</v>
      </c>
      <c r="M170" s="55" t="e">
        <f t="array" ref="M170">_xlfn.IFS(Saisie!M170="OUI",1,Saisie!M170="NON",0)</f>
        <v>#N/A</v>
      </c>
      <c r="N170" s="64" t="e">
        <f>Saisie!#REF!</f>
        <v>#REF!</v>
      </c>
      <c r="O170" s="63" t="e">
        <f>Saisie!#REF!</f>
        <v>#REF!</v>
      </c>
      <c r="P170" s="63">
        <f>Saisie!N170</f>
        <v>0</v>
      </c>
      <c r="Q170" s="63" t="e">
        <f t="array" ref="Q170">_xlfn.IFS(Saisie!#REF!="OUI",1,Saisie!#REF!="NON",0)</f>
        <v>#REF!</v>
      </c>
      <c r="R170" s="63" t="e">
        <f>Saisie!#REF!</f>
        <v>#REF!</v>
      </c>
      <c r="S170" s="65" t="e">
        <f>Saisie!#REF!</f>
        <v>#REF!</v>
      </c>
      <c r="T170" s="63" t="e">
        <f>Saisie!#REF!</f>
        <v>#REF!</v>
      </c>
      <c r="U170" s="63" t="e">
        <f>Saisie!#REF!</f>
        <v>#REF!</v>
      </c>
      <c r="V170" s="63" t="e">
        <f t="array" ref="V170">_xlfn.IFS(Saisie!#REF!="OUI",1,Saisie!#REF!="NON",0)</f>
        <v>#REF!</v>
      </c>
      <c r="W170" s="63" t="e">
        <f t="array" ref="W170">_xlfn.IFS(Saisie!O170="OUI",1,Saisie!O170="NON",0)</f>
        <v>#N/A</v>
      </c>
      <c r="X170" s="63">
        <f>Saisie!P170</f>
        <v>0</v>
      </c>
      <c r="Y170" s="299">
        <f>Saisie!H170</f>
        <v>0</v>
      </c>
      <c r="Z170" s="58" t="e">
        <f>Saisie!#REF!</f>
        <v>#REF!</v>
      </c>
      <c r="AA170" s="299">
        <f>Saisie!Q170</f>
        <v>0</v>
      </c>
      <c r="AB170" s="63" t="e">
        <f t="array" ref="AB170">_xlfn.IFS(Saisie!R170="OUI",1,Saisie!R170="NON",0)</f>
        <v>#N/A</v>
      </c>
      <c r="AC170" s="63">
        <f>Saisie!S170</f>
        <v>0</v>
      </c>
      <c r="AD170" s="63" t="e">
        <f t="array" ref="AD170">_xlfn.IFS(Saisie!T170="OUI",1,Saisie!T170="NON",0)</f>
        <v>#N/A</v>
      </c>
      <c r="AE170" s="171">
        <f>Saisie!U170</f>
        <v>0</v>
      </c>
      <c r="AF170" s="262">
        <v>3</v>
      </c>
      <c r="AG170" s="129">
        <f>Saisie!W170</f>
        <v>0</v>
      </c>
      <c r="AH170" s="20">
        <f>Saisie!X170</f>
        <v>0</v>
      </c>
      <c r="AI170" s="21">
        <f>Saisie!Y170</f>
        <v>0</v>
      </c>
      <c r="AJ170" s="59">
        <f>Saisie!Z170</f>
        <v>0</v>
      </c>
      <c r="AK170" s="20">
        <f>Saisie!AA170</f>
        <v>0</v>
      </c>
      <c r="AL170" s="21">
        <f>Saisie!AB170</f>
        <v>0</v>
      </c>
      <c r="AM170" s="59">
        <f>Saisie!AC170</f>
        <v>0</v>
      </c>
      <c r="AN170" s="20">
        <f>Saisie!AD170</f>
        <v>0</v>
      </c>
      <c r="AO170" s="21">
        <f>Saisie!AE170</f>
        <v>0</v>
      </c>
      <c r="AP170" s="59">
        <f>Saisie!AF170</f>
        <v>0</v>
      </c>
      <c r="AQ170" s="129" t="e">
        <f t="array" ref="AQ170">_xlfn.IFS(Saisie!AG170="OUI",1,Saisie!AG170="NON",0)</f>
        <v>#N/A</v>
      </c>
      <c r="AR170" s="129" t="e">
        <f t="array" ref="AR170">_xlfn.IFS(Saisie!AH170="OUI",1,Saisie!AH170="NON",0)</f>
        <v>#N/A</v>
      </c>
      <c r="AS170" s="171">
        <f>Saisie!AI170</f>
        <v>0</v>
      </c>
      <c r="AT170" s="263" t="e">
        <f t="array" ref="AT170">_xlfn.IFS(Saisie!AJ170="OUI",1,Saisie!AJ170="NON",0)</f>
        <v>#N/A</v>
      </c>
      <c r="AU170" s="173">
        <f>Saisie!AK170</f>
        <v>0</v>
      </c>
      <c r="AV170" s="263" t="e">
        <f t="array" ref="AV170">_xlfn.IFS(Saisie!AL170="OUI",1,Saisie!AL170="NON",0)</f>
        <v>#N/A</v>
      </c>
      <c r="AW170" s="171">
        <f>Saisie!AM170</f>
        <v>0</v>
      </c>
      <c r="AX170" s="68">
        <f>Saisie!AN170</f>
        <v>0</v>
      </c>
      <c r="AY170" s="20">
        <f>Saisie!AO170</f>
        <v>0</v>
      </c>
      <c r="AZ170" s="21">
        <f>Saisie!AP170</f>
        <v>0</v>
      </c>
      <c r="BA170" s="298">
        <f>Saisie!AQ170</f>
        <v>0</v>
      </c>
      <c r="BB170" s="170">
        <f>Saisie!AR170</f>
        <v>0</v>
      </c>
      <c r="BC170" s="174">
        <f>Saisie!AS170</f>
        <v>0</v>
      </c>
      <c r="BD170" s="61">
        <f>Saisie!AT170</f>
        <v>0</v>
      </c>
      <c r="BE170" s="175" t="e">
        <f t="array" ref="BE170">_xlfn.IFS(Saisie!AU170="OUI",1,Saisie!AU170="NON",0)</f>
        <v>#N/A</v>
      </c>
      <c r="BF170" s="267">
        <f>Saisie!AV170</f>
        <v>0</v>
      </c>
      <c r="BG170" s="55">
        <f>Saisie!AW170</f>
        <v>0</v>
      </c>
      <c r="BH170" s="55" t="e">
        <f t="array" ref="BH170">_xlfn.IFS(Saisie!AX170="OUI",1,Saisie!AX170="NON",0)</f>
        <v>#N/A</v>
      </c>
      <c r="BI170" s="62">
        <f>Saisie!AY170</f>
        <v>0</v>
      </c>
      <c r="BJ170" s="55" t="e">
        <f t="array" ref="BJ170">_xlfn.IFS(Saisie!AZ170="OUI",1,Saisie!AZ170="NON",0)</f>
        <v>#N/A</v>
      </c>
      <c r="BK170" s="55" t="e">
        <f t="array" ref="BK170">_xlfn.IFS(Saisie!BA170="OUI",1,Saisie!BA170="NON",0)</f>
        <v>#N/A</v>
      </c>
      <c r="BL170" s="55">
        <f>Saisie!BB170</f>
        <v>0</v>
      </c>
      <c r="BM170" s="49" t="e">
        <f>Saisie!BC170</f>
        <v>#REF!</v>
      </c>
      <c r="BN170" s="175"/>
    </row>
    <row r="171" spans="1:66" s="176" customFormat="1" x14ac:dyDescent="0.45">
      <c r="A171" s="13">
        <v>165</v>
      </c>
      <c r="B171" s="150">
        <f>Saisie!B171</f>
        <v>0</v>
      </c>
      <c r="C171" s="150">
        <f>Saisie!C171</f>
        <v>0</v>
      </c>
      <c r="D171" s="150">
        <f>Saisie!D171</f>
        <v>0</v>
      </c>
      <c r="E171" s="150">
        <f>Saisie!E171</f>
        <v>0</v>
      </c>
      <c r="F171" s="150">
        <f>Saisie!F171</f>
        <v>0</v>
      </c>
      <c r="G171" s="150">
        <f>Saisie!G171</f>
        <v>0</v>
      </c>
      <c r="H171" s="150">
        <f>Saisie!I171</f>
        <v>0</v>
      </c>
      <c r="I171" s="150">
        <f>Saisie!J171</f>
        <v>0</v>
      </c>
      <c r="J171" s="150">
        <f>Saisie!K171</f>
        <v>0</v>
      </c>
      <c r="K171" s="150">
        <f>Saisie!L171</f>
        <v>0</v>
      </c>
      <c r="L171" s="150" t="e">
        <f>Saisie!#REF!</f>
        <v>#REF!</v>
      </c>
      <c r="M171" s="55" t="e">
        <f t="array" ref="M171">_xlfn.IFS(Saisie!M171="OUI",1,Saisie!M171="NON",0)</f>
        <v>#N/A</v>
      </c>
      <c r="N171" s="64" t="e">
        <f>Saisie!#REF!</f>
        <v>#REF!</v>
      </c>
      <c r="O171" s="63" t="e">
        <f>Saisie!#REF!</f>
        <v>#REF!</v>
      </c>
      <c r="P171" s="63">
        <f>Saisie!N171</f>
        <v>0</v>
      </c>
      <c r="Q171" s="63" t="e">
        <f t="array" ref="Q171">_xlfn.IFS(Saisie!#REF!="OUI",1,Saisie!#REF!="NON",0)</f>
        <v>#REF!</v>
      </c>
      <c r="R171" s="63" t="e">
        <f>Saisie!#REF!</f>
        <v>#REF!</v>
      </c>
      <c r="S171" s="65" t="e">
        <f>Saisie!#REF!</f>
        <v>#REF!</v>
      </c>
      <c r="T171" s="63" t="e">
        <f>Saisie!#REF!</f>
        <v>#REF!</v>
      </c>
      <c r="U171" s="63" t="e">
        <f>Saisie!#REF!</f>
        <v>#REF!</v>
      </c>
      <c r="V171" s="63" t="e">
        <f t="array" ref="V171">_xlfn.IFS(Saisie!#REF!="OUI",1,Saisie!#REF!="NON",0)</f>
        <v>#REF!</v>
      </c>
      <c r="W171" s="63" t="e">
        <f t="array" ref="W171">_xlfn.IFS(Saisie!O171="OUI",1,Saisie!O171="NON",0)</f>
        <v>#N/A</v>
      </c>
      <c r="X171" s="63">
        <f>Saisie!P171</f>
        <v>0</v>
      </c>
      <c r="Y171" s="299">
        <f>Saisie!H171</f>
        <v>0</v>
      </c>
      <c r="Z171" s="58" t="e">
        <f>Saisie!#REF!</f>
        <v>#REF!</v>
      </c>
      <c r="AA171" s="299">
        <f>Saisie!Q171</f>
        <v>0</v>
      </c>
      <c r="AB171" s="63" t="e">
        <f t="array" ref="AB171">_xlfn.IFS(Saisie!R171="OUI",1,Saisie!R171="NON",0)</f>
        <v>#N/A</v>
      </c>
      <c r="AC171" s="63">
        <f>Saisie!S171</f>
        <v>0</v>
      </c>
      <c r="AD171" s="63" t="e">
        <f t="array" ref="AD171">_xlfn.IFS(Saisie!T171="OUI",1,Saisie!T171="NON",0)</f>
        <v>#N/A</v>
      </c>
      <c r="AE171" s="171">
        <f>Saisie!U171</f>
        <v>0</v>
      </c>
      <c r="AF171" s="262">
        <v>3</v>
      </c>
      <c r="AG171" s="129">
        <f>Saisie!W171</f>
        <v>0</v>
      </c>
      <c r="AH171" s="20">
        <f>Saisie!X171</f>
        <v>0</v>
      </c>
      <c r="AI171" s="21">
        <f>Saisie!Y171</f>
        <v>0</v>
      </c>
      <c r="AJ171" s="59">
        <f>Saisie!Z171</f>
        <v>0</v>
      </c>
      <c r="AK171" s="20">
        <f>Saisie!AA171</f>
        <v>0</v>
      </c>
      <c r="AL171" s="21">
        <f>Saisie!AB171</f>
        <v>0</v>
      </c>
      <c r="AM171" s="59">
        <f>Saisie!AC171</f>
        <v>0</v>
      </c>
      <c r="AN171" s="20">
        <f>Saisie!AD171</f>
        <v>0</v>
      </c>
      <c r="AO171" s="21">
        <f>Saisie!AE171</f>
        <v>0</v>
      </c>
      <c r="AP171" s="59">
        <f>Saisie!AF171</f>
        <v>0</v>
      </c>
      <c r="AQ171" s="129" t="e">
        <f t="array" ref="AQ171">_xlfn.IFS(Saisie!AG171="OUI",1,Saisie!AG171="NON",0)</f>
        <v>#N/A</v>
      </c>
      <c r="AR171" s="129" t="e">
        <f t="array" ref="AR171">_xlfn.IFS(Saisie!AH171="OUI",1,Saisie!AH171="NON",0)</f>
        <v>#N/A</v>
      </c>
      <c r="AS171" s="171">
        <f>Saisie!AI171</f>
        <v>0</v>
      </c>
      <c r="AT171" s="263" t="e">
        <f t="array" ref="AT171">_xlfn.IFS(Saisie!AJ171="OUI",1,Saisie!AJ171="NON",0)</f>
        <v>#N/A</v>
      </c>
      <c r="AU171" s="173">
        <f>Saisie!AK171</f>
        <v>0</v>
      </c>
      <c r="AV171" s="263" t="e">
        <f t="array" ref="AV171">_xlfn.IFS(Saisie!AL171="OUI",1,Saisie!AL171="NON",0)</f>
        <v>#N/A</v>
      </c>
      <c r="AW171" s="171">
        <f>Saisie!AM171</f>
        <v>0</v>
      </c>
      <c r="AX171" s="68">
        <f>Saisie!AN171</f>
        <v>0</v>
      </c>
      <c r="AY171" s="20">
        <f>Saisie!AO171</f>
        <v>0</v>
      </c>
      <c r="AZ171" s="21">
        <f>Saisie!AP171</f>
        <v>0</v>
      </c>
      <c r="BA171" s="298">
        <f>Saisie!AQ171</f>
        <v>0</v>
      </c>
      <c r="BB171" s="170">
        <f>Saisie!AR171</f>
        <v>0</v>
      </c>
      <c r="BC171" s="174">
        <f>Saisie!AS171</f>
        <v>0</v>
      </c>
      <c r="BD171" s="61">
        <f>Saisie!AT171</f>
        <v>0</v>
      </c>
      <c r="BE171" s="175" t="e">
        <f t="array" ref="BE171">_xlfn.IFS(Saisie!AU171="OUI",1,Saisie!AU171="NON",0)</f>
        <v>#N/A</v>
      </c>
      <c r="BF171" s="267">
        <f>Saisie!AV171</f>
        <v>0</v>
      </c>
      <c r="BG171" s="55">
        <f>Saisie!AW171</f>
        <v>0</v>
      </c>
      <c r="BH171" s="55" t="e">
        <f t="array" ref="BH171">_xlfn.IFS(Saisie!AX171="OUI",1,Saisie!AX171="NON",0)</f>
        <v>#N/A</v>
      </c>
      <c r="BI171" s="62">
        <f>Saisie!AY171</f>
        <v>0</v>
      </c>
      <c r="BJ171" s="55" t="e">
        <f t="array" ref="BJ171">_xlfn.IFS(Saisie!AZ171="OUI",1,Saisie!AZ171="NON",0)</f>
        <v>#N/A</v>
      </c>
      <c r="BK171" s="55" t="e">
        <f t="array" ref="BK171">_xlfn.IFS(Saisie!BA171="OUI",1,Saisie!BA171="NON",0)</f>
        <v>#N/A</v>
      </c>
      <c r="BL171" s="55">
        <f>Saisie!BB171</f>
        <v>0</v>
      </c>
      <c r="BM171" s="49" t="e">
        <f>Saisie!BC171</f>
        <v>#REF!</v>
      </c>
      <c r="BN171" s="175"/>
    </row>
    <row r="172" spans="1:66" s="176" customFormat="1" x14ac:dyDescent="0.45">
      <c r="A172" s="12">
        <v>166</v>
      </c>
      <c r="B172" s="150">
        <f>Saisie!B172</f>
        <v>0</v>
      </c>
      <c r="C172" s="150">
        <f>Saisie!C172</f>
        <v>0</v>
      </c>
      <c r="D172" s="150">
        <f>Saisie!D172</f>
        <v>0</v>
      </c>
      <c r="E172" s="150">
        <f>Saisie!E172</f>
        <v>0</v>
      </c>
      <c r="F172" s="150">
        <f>Saisie!F172</f>
        <v>0</v>
      </c>
      <c r="G172" s="150">
        <f>Saisie!G172</f>
        <v>0</v>
      </c>
      <c r="H172" s="150">
        <f>Saisie!I172</f>
        <v>0</v>
      </c>
      <c r="I172" s="150">
        <f>Saisie!J172</f>
        <v>0</v>
      </c>
      <c r="J172" s="150">
        <f>Saisie!K172</f>
        <v>0</v>
      </c>
      <c r="K172" s="150">
        <f>Saisie!L172</f>
        <v>0</v>
      </c>
      <c r="L172" s="150" t="e">
        <f>Saisie!#REF!</f>
        <v>#REF!</v>
      </c>
      <c r="M172" s="55" t="e">
        <f t="array" ref="M172">_xlfn.IFS(Saisie!M172="OUI",1,Saisie!M172="NON",0)</f>
        <v>#N/A</v>
      </c>
      <c r="N172" s="64" t="e">
        <f>Saisie!#REF!</f>
        <v>#REF!</v>
      </c>
      <c r="O172" s="63" t="e">
        <f>Saisie!#REF!</f>
        <v>#REF!</v>
      </c>
      <c r="P172" s="63">
        <f>Saisie!N172</f>
        <v>0</v>
      </c>
      <c r="Q172" s="63" t="e">
        <f t="array" ref="Q172">_xlfn.IFS(Saisie!#REF!="OUI",1,Saisie!#REF!="NON",0)</f>
        <v>#REF!</v>
      </c>
      <c r="R172" s="63" t="e">
        <f>Saisie!#REF!</f>
        <v>#REF!</v>
      </c>
      <c r="S172" s="65" t="e">
        <f>Saisie!#REF!</f>
        <v>#REF!</v>
      </c>
      <c r="T172" s="63" t="e">
        <f>Saisie!#REF!</f>
        <v>#REF!</v>
      </c>
      <c r="U172" s="63" t="e">
        <f>Saisie!#REF!</f>
        <v>#REF!</v>
      </c>
      <c r="V172" s="63" t="e">
        <f t="array" ref="V172">_xlfn.IFS(Saisie!#REF!="OUI",1,Saisie!#REF!="NON",0)</f>
        <v>#REF!</v>
      </c>
      <c r="W172" s="63" t="e">
        <f t="array" ref="W172">_xlfn.IFS(Saisie!O172="OUI",1,Saisie!O172="NON",0)</f>
        <v>#N/A</v>
      </c>
      <c r="X172" s="63">
        <f>Saisie!P172</f>
        <v>0</v>
      </c>
      <c r="Y172" s="299">
        <f>Saisie!H172</f>
        <v>0</v>
      </c>
      <c r="Z172" s="58" t="e">
        <f>Saisie!#REF!</f>
        <v>#REF!</v>
      </c>
      <c r="AA172" s="299">
        <f>Saisie!Q172</f>
        <v>0</v>
      </c>
      <c r="AB172" s="63" t="e">
        <f t="array" ref="AB172">_xlfn.IFS(Saisie!R172="OUI",1,Saisie!R172="NON",0)</f>
        <v>#N/A</v>
      </c>
      <c r="AC172" s="63">
        <f>Saisie!S172</f>
        <v>0</v>
      </c>
      <c r="AD172" s="63" t="e">
        <f t="array" ref="AD172">_xlfn.IFS(Saisie!T172="OUI",1,Saisie!T172="NON",0)</f>
        <v>#N/A</v>
      </c>
      <c r="AE172" s="171">
        <f>Saisie!U172</f>
        <v>0</v>
      </c>
      <c r="AF172" s="262">
        <v>3</v>
      </c>
      <c r="AG172" s="129">
        <f>Saisie!W172</f>
        <v>0</v>
      </c>
      <c r="AH172" s="20">
        <f>Saisie!X172</f>
        <v>0</v>
      </c>
      <c r="AI172" s="21">
        <f>Saisie!Y172</f>
        <v>0</v>
      </c>
      <c r="AJ172" s="59">
        <f>Saisie!Z172</f>
        <v>0</v>
      </c>
      <c r="AK172" s="20">
        <f>Saisie!AA172</f>
        <v>0</v>
      </c>
      <c r="AL172" s="21">
        <f>Saisie!AB172</f>
        <v>0</v>
      </c>
      <c r="AM172" s="59">
        <f>Saisie!AC172</f>
        <v>0</v>
      </c>
      <c r="AN172" s="20">
        <f>Saisie!AD172</f>
        <v>0</v>
      </c>
      <c r="AO172" s="21">
        <f>Saisie!AE172</f>
        <v>0</v>
      </c>
      <c r="AP172" s="59">
        <f>Saisie!AF172</f>
        <v>0</v>
      </c>
      <c r="AQ172" s="129" t="e">
        <f t="array" ref="AQ172">_xlfn.IFS(Saisie!AG172="OUI",1,Saisie!AG172="NON",0)</f>
        <v>#N/A</v>
      </c>
      <c r="AR172" s="129" t="e">
        <f t="array" ref="AR172">_xlfn.IFS(Saisie!AH172="OUI",1,Saisie!AH172="NON",0)</f>
        <v>#N/A</v>
      </c>
      <c r="AS172" s="171">
        <f>Saisie!AI172</f>
        <v>0</v>
      </c>
      <c r="AT172" s="263" t="e">
        <f t="array" ref="AT172">_xlfn.IFS(Saisie!AJ172="OUI",1,Saisie!AJ172="NON",0)</f>
        <v>#N/A</v>
      </c>
      <c r="AU172" s="173">
        <f>Saisie!AK172</f>
        <v>0</v>
      </c>
      <c r="AV172" s="263" t="e">
        <f t="array" ref="AV172">_xlfn.IFS(Saisie!AL172="OUI",1,Saisie!AL172="NON",0)</f>
        <v>#N/A</v>
      </c>
      <c r="AW172" s="171">
        <f>Saisie!AM172</f>
        <v>0</v>
      </c>
      <c r="AX172" s="68">
        <f>Saisie!AN172</f>
        <v>0</v>
      </c>
      <c r="AY172" s="20">
        <f>Saisie!AO172</f>
        <v>0</v>
      </c>
      <c r="AZ172" s="21">
        <f>Saisie!AP172</f>
        <v>0</v>
      </c>
      <c r="BA172" s="298">
        <f>Saisie!AQ172</f>
        <v>0</v>
      </c>
      <c r="BB172" s="170">
        <f>Saisie!AR172</f>
        <v>0</v>
      </c>
      <c r="BC172" s="174">
        <f>Saisie!AS172</f>
        <v>0</v>
      </c>
      <c r="BD172" s="61">
        <f>Saisie!AT172</f>
        <v>0</v>
      </c>
      <c r="BE172" s="175" t="e">
        <f t="array" ref="BE172">_xlfn.IFS(Saisie!AU172="OUI",1,Saisie!AU172="NON",0)</f>
        <v>#N/A</v>
      </c>
      <c r="BF172" s="267">
        <f>Saisie!AV172</f>
        <v>0</v>
      </c>
      <c r="BG172" s="55">
        <f>Saisie!AW172</f>
        <v>0</v>
      </c>
      <c r="BH172" s="55" t="e">
        <f t="array" ref="BH172">_xlfn.IFS(Saisie!AX172="OUI",1,Saisie!AX172="NON",0)</f>
        <v>#N/A</v>
      </c>
      <c r="BI172" s="62">
        <f>Saisie!AY172</f>
        <v>0</v>
      </c>
      <c r="BJ172" s="55" t="e">
        <f t="array" ref="BJ172">_xlfn.IFS(Saisie!AZ172="OUI",1,Saisie!AZ172="NON",0)</f>
        <v>#N/A</v>
      </c>
      <c r="BK172" s="55" t="e">
        <f t="array" ref="BK172">_xlfn.IFS(Saisie!BA172="OUI",1,Saisie!BA172="NON",0)</f>
        <v>#N/A</v>
      </c>
      <c r="BL172" s="55">
        <f>Saisie!BB172</f>
        <v>0</v>
      </c>
      <c r="BM172" s="49" t="e">
        <f>Saisie!BC172</f>
        <v>#REF!</v>
      </c>
      <c r="BN172" s="175"/>
    </row>
    <row r="173" spans="1:66" s="176" customFormat="1" x14ac:dyDescent="0.45">
      <c r="A173" s="13">
        <v>167</v>
      </c>
      <c r="B173" s="150">
        <f>Saisie!B173</f>
        <v>0</v>
      </c>
      <c r="C173" s="150">
        <f>Saisie!C173</f>
        <v>0</v>
      </c>
      <c r="D173" s="150">
        <f>Saisie!D173</f>
        <v>0</v>
      </c>
      <c r="E173" s="150">
        <f>Saisie!E173</f>
        <v>0</v>
      </c>
      <c r="F173" s="150">
        <f>Saisie!F173</f>
        <v>0</v>
      </c>
      <c r="G173" s="150">
        <f>Saisie!G173</f>
        <v>0</v>
      </c>
      <c r="H173" s="150">
        <f>Saisie!I173</f>
        <v>0</v>
      </c>
      <c r="I173" s="150">
        <f>Saisie!J173</f>
        <v>0</v>
      </c>
      <c r="J173" s="150">
        <f>Saisie!K173</f>
        <v>0</v>
      </c>
      <c r="K173" s="150">
        <f>Saisie!L173</f>
        <v>0</v>
      </c>
      <c r="L173" s="150" t="e">
        <f>Saisie!#REF!</f>
        <v>#REF!</v>
      </c>
      <c r="M173" s="55" t="e">
        <f t="array" ref="M173">_xlfn.IFS(Saisie!M173="OUI",1,Saisie!M173="NON",0)</f>
        <v>#N/A</v>
      </c>
      <c r="N173" s="64" t="e">
        <f>Saisie!#REF!</f>
        <v>#REF!</v>
      </c>
      <c r="O173" s="63" t="e">
        <f>Saisie!#REF!</f>
        <v>#REF!</v>
      </c>
      <c r="P173" s="63">
        <f>Saisie!N173</f>
        <v>0</v>
      </c>
      <c r="Q173" s="63" t="e">
        <f t="array" ref="Q173">_xlfn.IFS(Saisie!#REF!="OUI",1,Saisie!#REF!="NON",0)</f>
        <v>#REF!</v>
      </c>
      <c r="R173" s="63" t="e">
        <f>Saisie!#REF!</f>
        <v>#REF!</v>
      </c>
      <c r="S173" s="65" t="e">
        <f>Saisie!#REF!</f>
        <v>#REF!</v>
      </c>
      <c r="T173" s="63" t="e">
        <f>Saisie!#REF!</f>
        <v>#REF!</v>
      </c>
      <c r="U173" s="63" t="e">
        <f>Saisie!#REF!</f>
        <v>#REF!</v>
      </c>
      <c r="V173" s="63" t="e">
        <f t="array" ref="V173">_xlfn.IFS(Saisie!#REF!="OUI",1,Saisie!#REF!="NON",0)</f>
        <v>#REF!</v>
      </c>
      <c r="W173" s="63" t="e">
        <f t="array" ref="W173">_xlfn.IFS(Saisie!O173="OUI",1,Saisie!O173="NON",0)</f>
        <v>#N/A</v>
      </c>
      <c r="X173" s="63">
        <f>Saisie!P173</f>
        <v>0</v>
      </c>
      <c r="Y173" s="299">
        <f>Saisie!H173</f>
        <v>0</v>
      </c>
      <c r="Z173" s="58" t="e">
        <f>Saisie!#REF!</f>
        <v>#REF!</v>
      </c>
      <c r="AA173" s="299">
        <f>Saisie!Q173</f>
        <v>0</v>
      </c>
      <c r="AB173" s="63" t="e">
        <f t="array" ref="AB173">_xlfn.IFS(Saisie!R173="OUI",1,Saisie!R173="NON",0)</f>
        <v>#N/A</v>
      </c>
      <c r="AC173" s="63">
        <f>Saisie!S173</f>
        <v>0</v>
      </c>
      <c r="AD173" s="63" t="e">
        <f t="array" ref="AD173">_xlfn.IFS(Saisie!T173="OUI",1,Saisie!T173="NON",0)</f>
        <v>#N/A</v>
      </c>
      <c r="AE173" s="171">
        <f>Saisie!U173</f>
        <v>0</v>
      </c>
      <c r="AF173" s="262">
        <v>3</v>
      </c>
      <c r="AG173" s="129">
        <f>Saisie!W173</f>
        <v>0</v>
      </c>
      <c r="AH173" s="20">
        <f>Saisie!X173</f>
        <v>0</v>
      </c>
      <c r="AI173" s="21">
        <f>Saisie!Y173</f>
        <v>0</v>
      </c>
      <c r="AJ173" s="59">
        <f>Saisie!Z173</f>
        <v>0</v>
      </c>
      <c r="AK173" s="20">
        <f>Saisie!AA173</f>
        <v>0</v>
      </c>
      <c r="AL173" s="21">
        <f>Saisie!AB173</f>
        <v>0</v>
      </c>
      <c r="AM173" s="59">
        <f>Saisie!AC173</f>
        <v>0</v>
      </c>
      <c r="AN173" s="20">
        <f>Saisie!AD173</f>
        <v>0</v>
      </c>
      <c r="AO173" s="21">
        <f>Saisie!AE173</f>
        <v>0</v>
      </c>
      <c r="AP173" s="59">
        <f>Saisie!AF173</f>
        <v>0</v>
      </c>
      <c r="AQ173" s="129" t="e">
        <f t="array" ref="AQ173">_xlfn.IFS(Saisie!AG173="OUI",1,Saisie!AG173="NON",0)</f>
        <v>#N/A</v>
      </c>
      <c r="AR173" s="129" t="e">
        <f t="array" ref="AR173">_xlfn.IFS(Saisie!AH173="OUI",1,Saisie!AH173="NON",0)</f>
        <v>#N/A</v>
      </c>
      <c r="AS173" s="171">
        <f>Saisie!AI173</f>
        <v>0</v>
      </c>
      <c r="AT173" s="263" t="e">
        <f t="array" ref="AT173">_xlfn.IFS(Saisie!AJ173="OUI",1,Saisie!AJ173="NON",0)</f>
        <v>#N/A</v>
      </c>
      <c r="AU173" s="173">
        <f>Saisie!AK173</f>
        <v>0</v>
      </c>
      <c r="AV173" s="263" t="e">
        <f t="array" ref="AV173">_xlfn.IFS(Saisie!AL173="OUI",1,Saisie!AL173="NON",0)</f>
        <v>#N/A</v>
      </c>
      <c r="AW173" s="171">
        <f>Saisie!AM173</f>
        <v>0</v>
      </c>
      <c r="AX173" s="68">
        <f>Saisie!AN173</f>
        <v>0</v>
      </c>
      <c r="AY173" s="20">
        <f>Saisie!AO173</f>
        <v>0</v>
      </c>
      <c r="AZ173" s="21">
        <f>Saisie!AP173</f>
        <v>0</v>
      </c>
      <c r="BA173" s="298">
        <f>Saisie!AQ173</f>
        <v>0</v>
      </c>
      <c r="BB173" s="170">
        <f>Saisie!AR173</f>
        <v>0</v>
      </c>
      <c r="BC173" s="174">
        <f>Saisie!AS173</f>
        <v>0</v>
      </c>
      <c r="BD173" s="61">
        <f>Saisie!AT173</f>
        <v>0</v>
      </c>
      <c r="BE173" s="175" t="e">
        <f t="array" ref="BE173">_xlfn.IFS(Saisie!AU173="OUI",1,Saisie!AU173="NON",0)</f>
        <v>#N/A</v>
      </c>
      <c r="BF173" s="267">
        <f>Saisie!AV173</f>
        <v>0</v>
      </c>
      <c r="BG173" s="55">
        <f>Saisie!AW173</f>
        <v>0</v>
      </c>
      <c r="BH173" s="55" t="e">
        <f t="array" ref="BH173">_xlfn.IFS(Saisie!AX173="OUI",1,Saisie!AX173="NON",0)</f>
        <v>#N/A</v>
      </c>
      <c r="BI173" s="62">
        <f>Saisie!AY173</f>
        <v>0</v>
      </c>
      <c r="BJ173" s="55" t="e">
        <f t="array" ref="BJ173">_xlfn.IFS(Saisie!AZ173="OUI",1,Saisie!AZ173="NON",0)</f>
        <v>#N/A</v>
      </c>
      <c r="BK173" s="55" t="e">
        <f t="array" ref="BK173">_xlfn.IFS(Saisie!BA173="OUI",1,Saisie!BA173="NON",0)</f>
        <v>#N/A</v>
      </c>
      <c r="BL173" s="55">
        <f>Saisie!BB173</f>
        <v>0</v>
      </c>
      <c r="BM173" s="49" t="e">
        <f>Saisie!BC173</f>
        <v>#REF!</v>
      </c>
      <c r="BN173" s="175"/>
    </row>
    <row r="174" spans="1:66" s="176" customFormat="1" x14ac:dyDescent="0.45">
      <c r="A174" s="13">
        <v>168</v>
      </c>
      <c r="B174" s="150">
        <f>Saisie!B174</f>
        <v>0</v>
      </c>
      <c r="C174" s="150">
        <f>Saisie!C174</f>
        <v>0</v>
      </c>
      <c r="D174" s="150">
        <f>Saisie!D174</f>
        <v>0</v>
      </c>
      <c r="E174" s="150">
        <f>Saisie!E174</f>
        <v>0</v>
      </c>
      <c r="F174" s="150">
        <f>Saisie!F174</f>
        <v>0</v>
      </c>
      <c r="G174" s="150">
        <f>Saisie!G174</f>
        <v>0</v>
      </c>
      <c r="H174" s="150">
        <f>Saisie!I174</f>
        <v>0</v>
      </c>
      <c r="I174" s="150">
        <f>Saisie!J174</f>
        <v>0</v>
      </c>
      <c r="J174" s="150">
        <f>Saisie!K174</f>
        <v>0</v>
      </c>
      <c r="K174" s="150">
        <f>Saisie!L174</f>
        <v>0</v>
      </c>
      <c r="L174" s="150" t="e">
        <f>Saisie!#REF!</f>
        <v>#REF!</v>
      </c>
      <c r="M174" s="55" t="e">
        <f t="array" ref="M174">_xlfn.IFS(Saisie!M174="OUI",1,Saisie!M174="NON",0)</f>
        <v>#N/A</v>
      </c>
      <c r="N174" s="64" t="e">
        <f>Saisie!#REF!</f>
        <v>#REF!</v>
      </c>
      <c r="O174" s="63" t="e">
        <f>Saisie!#REF!</f>
        <v>#REF!</v>
      </c>
      <c r="P174" s="63">
        <f>Saisie!N174</f>
        <v>0</v>
      </c>
      <c r="Q174" s="63" t="e">
        <f t="array" ref="Q174">_xlfn.IFS(Saisie!#REF!="OUI",1,Saisie!#REF!="NON",0)</f>
        <v>#REF!</v>
      </c>
      <c r="R174" s="63" t="e">
        <f>Saisie!#REF!</f>
        <v>#REF!</v>
      </c>
      <c r="S174" s="65" t="e">
        <f>Saisie!#REF!</f>
        <v>#REF!</v>
      </c>
      <c r="T174" s="63" t="e">
        <f>Saisie!#REF!</f>
        <v>#REF!</v>
      </c>
      <c r="U174" s="63" t="e">
        <f>Saisie!#REF!</f>
        <v>#REF!</v>
      </c>
      <c r="V174" s="63" t="e">
        <f t="array" ref="V174">_xlfn.IFS(Saisie!#REF!="OUI",1,Saisie!#REF!="NON",0)</f>
        <v>#REF!</v>
      </c>
      <c r="W174" s="63" t="e">
        <f t="array" ref="W174">_xlfn.IFS(Saisie!O174="OUI",1,Saisie!O174="NON",0)</f>
        <v>#N/A</v>
      </c>
      <c r="X174" s="63">
        <f>Saisie!P174</f>
        <v>0</v>
      </c>
      <c r="Y174" s="299">
        <f>Saisie!H174</f>
        <v>0</v>
      </c>
      <c r="Z174" s="58" t="e">
        <f>Saisie!#REF!</f>
        <v>#REF!</v>
      </c>
      <c r="AA174" s="299">
        <f>Saisie!Q174</f>
        <v>0</v>
      </c>
      <c r="AB174" s="63" t="e">
        <f t="array" ref="AB174">_xlfn.IFS(Saisie!R174="OUI",1,Saisie!R174="NON",0)</f>
        <v>#N/A</v>
      </c>
      <c r="AC174" s="63">
        <f>Saisie!S174</f>
        <v>0</v>
      </c>
      <c r="AD174" s="63" t="e">
        <f t="array" ref="AD174">_xlfn.IFS(Saisie!T174="OUI",1,Saisie!T174="NON",0)</f>
        <v>#N/A</v>
      </c>
      <c r="AE174" s="171">
        <f>Saisie!U174</f>
        <v>0</v>
      </c>
      <c r="AF174" s="262">
        <v>3</v>
      </c>
      <c r="AG174" s="129">
        <f>Saisie!W174</f>
        <v>0</v>
      </c>
      <c r="AH174" s="20">
        <f>Saisie!X174</f>
        <v>0</v>
      </c>
      <c r="AI174" s="21">
        <f>Saisie!Y174</f>
        <v>0</v>
      </c>
      <c r="AJ174" s="59">
        <f>Saisie!Z174</f>
        <v>0</v>
      </c>
      <c r="AK174" s="20">
        <f>Saisie!AA174</f>
        <v>0</v>
      </c>
      <c r="AL174" s="21">
        <f>Saisie!AB174</f>
        <v>0</v>
      </c>
      <c r="AM174" s="59">
        <f>Saisie!AC174</f>
        <v>0</v>
      </c>
      <c r="AN174" s="20">
        <f>Saisie!AD174</f>
        <v>0</v>
      </c>
      <c r="AO174" s="21">
        <f>Saisie!AE174</f>
        <v>0</v>
      </c>
      <c r="AP174" s="59">
        <f>Saisie!AF174</f>
        <v>0</v>
      </c>
      <c r="AQ174" s="129" t="e">
        <f t="array" ref="AQ174">_xlfn.IFS(Saisie!AG174="OUI",1,Saisie!AG174="NON",0)</f>
        <v>#N/A</v>
      </c>
      <c r="AR174" s="129" t="e">
        <f t="array" ref="AR174">_xlfn.IFS(Saisie!AH174="OUI",1,Saisie!AH174="NON",0)</f>
        <v>#N/A</v>
      </c>
      <c r="AS174" s="171">
        <f>Saisie!AI174</f>
        <v>0</v>
      </c>
      <c r="AT174" s="263" t="e">
        <f t="array" ref="AT174">_xlfn.IFS(Saisie!AJ174="OUI",1,Saisie!AJ174="NON",0)</f>
        <v>#N/A</v>
      </c>
      <c r="AU174" s="173">
        <f>Saisie!AK174</f>
        <v>0</v>
      </c>
      <c r="AV174" s="263" t="e">
        <f t="array" ref="AV174">_xlfn.IFS(Saisie!AL174="OUI",1,Saisie!AL174="NON",0)</f>
        <v>#N/A</v>
      </c>
      <c r="AW174" s="171">
        <f>Saisie!AM174</f>
        <v>0</v>
      </c>
      <c r="AX174" s="68">
        <f>Saisie!AN174</f>
        <v>0</v>
      </c>
      <c r="AY174" s="20">
        <f>Saisie!AO174</f>
        <v>0</v>
      </c>
      <c r="AZ174" s="21">
        <f>Saisie!AP174</f>
        <v>0</v>
      </c>
      <c r="BA174" s="298">
        <f>Saisie!AQ174</f>
        <v>0</v>
      </c>
      <c r="BB174" s="170">
        <f>Saisie!AR174</f>
        <v>0</v>
      </c>
      <c r="BC174" s="174">
        <f>Saisie!AS174</f>
        <v>0</v>
      </c>
      <c r="BD174" s="61">
        <f>Saisie!AT174</f>
        <v>0</v>
      </c>
      <c r="BE174" s="175" t="e">
        <f t="array" ref="BE174">_xlfn.IFS(Saisie!AU174="OUI",1,Saisie!AU174="NON",0)</f>
        <v>#N/A</v>
      </c>
      <c r="BF174" s="267">
        <f>Saisie!AV174</f>
        <v>0</v>
      </c>
      <c r="BG174" s="55">
        <f>Saisie!AW174</f>
        <v>0</v>
      </c>
      <c r="BH174" s="55" t="e">
        <f t="array" ref="BH174">_xlfn.IFS(Saisie!AX174="OUI",1,Saisie!AX174="NON",0)</f>
        <v>#N/A</v>
      </c>
      <c r="BI174" s="62">
        <f>Saisie!AY174</f>
        <v>0</v>
      </c>
      <c r="BJ174" s="55" t="e">
        <f t="array" ref="BJ174">_xlfn.IFS(Saisie!AZ174="OUI",1,Saisie!AZ174="NON",0)</f>
        <v>#N/A</v>
      </c>
      <c r="BK174" s="55" t="e">
        <f t="array" ref="BK174">_xlfn.IFS(Saisie!BA174="OUI",1,Saisie!BA174="NON",0)</f>
        <v>#N/A</v>
      </c>
      <c r="BL174" s="55">
        <f>Saisie!BB174</f>
        <v>0</v>
      </c>
      <c r="BM174" s="49" t="e">
        <f>Saisie!BC174</f>
        <v>#REF!</v>
      </c>
      <c r="BN174" s="175"/>
    </row>
    <row r="175" spans="1:66" s="176" customFormat="1" x14ac:dyDescent="0.45">
      <c r="A175" s="12">
        <v>169</v>
      </c>
      <c r="B175" s="150">
        <f>Saisie!B175</f>
        <v>0</v>
      </c>
      <c r="C175" s="150">
        <f>Saisie!C175</f>
        <v>0</v>
      </c>
      <c r="D175" s="150">
        <f>Saisie!D175</f>
        <v>0</v>
      </c>
      <c r="E175" s="150">
        <f>Saisie!E175</f>
        <v>0</v>
      </c>
      <c r="F175" s="150">
        <f>Saisie!F175</f>
        <v>0</v>
      </c>
      <c r="G175" s="150">
        <f>Saisie!G175</f>
        <v>0</v>
      </c>
      <c r="H175" s="150">
        <f>Saisie!I175</f>
        <v>0</v>
      </c>
      <c r="I175" s="150">
        <f>Saisie!J175</f>
        <v>0</v>
      </c>
      <c r="J175" s="150">
        <f>Saisie!K175</f>
        <v>0</v>
      </c>
      <c r="K175" s="150">
        <f>Saisie!L175</f>
        <v>0</v>
      </c>
      <c r="L175" s="150" t="e">
        <f>Saisie!#REF!</f>
        <v>#REF!</v>
      </c>
      <c r="M175" s="55" t="e">
        <f t="array" ref="M175">_xlfn.IFS(Saisie!M175="OUI",1,Saisie!M175="NON",0)</f>
        <v>#N/A</v>
      </c>
      <c r="N175" s="64" t="e">
        <f>Saisie!#REF!</f>
        <v>#REF!</v>
      </c>
      <c r="O175" s="63" t="e">
        <f>Saisie!#REF!</f>
        <v>#REF!</v>
      </c>
      <c r="P175" s="63">
        <f>Saisie!N175</f>
        <v>0</v>
      </c>
      <c r="Q175" s="63" t="e">
        <f t="array" ref="Q175">_xlfn.IFS(Saisie!#REF!="OUI",1,Saisie!#REF!="NON",0)</f>
        <v>#REF!</v>
      </c>
      <c r="R175" s="63" t="e">
        <f>Saisie!#REF!</f>
        <v>#REF!</v>
      </c>
      <c r="S175" s="65" t="e">
        <f>Saisie!#REF!</f>
        <v>#REF!</v>
      </c>
      <c r="T175" s="63" t="e">
        <f>Saisie!#REF!</f>
        <v>#REF!</v>
      </c>
      <c r="U175" s="63" t="e">
        <f>Saisie!#REF!</f>
        <v>#REF!</v>
      </c>
      <c r="V175" s="63" t="e">
        <f t="array" ref="V175">_xlfn.IFS(Saisie!#REF!="OUI",1,Saisie!#REF!="NON",0)</f>
        <v>#REF!</v>
      </c>
      <c r="W175" s="63" t="e">
        <f t="array" ref="W175">_xlfn.IFS(Saisie!O175="OUI",1,Saisie!O175="NON",0)</f>
        <v>#N/A</v>
      </c>
      <c r="X175" s="63">
        <f>Saisie!P175</f>
        <v>0</v>
      </c>
      <c r="Y175" s="299">
        <f>Saisie!H175</f>
        <v>0</v>
      </c>
      <c r="Z175" s="58" t="e">
        <f>Saisie!#REF!</f>
        <v>#REF!</v>
      </c>
      <c r="AA175" s="299">
        <f>Saisie!Q175</f>
        <v>0</v>
      </c>
      <c r="AB175" s="63" t="e">
        <f t="array" ref="AB175">_xlfn.IFS(Saisie!R175="OUI",1,Saisie!R175="NON",0)</f>
        <v>#N/A</v>
      </c>
      <c r="AC175" s="63">
        <f>Saisie!S175</f>
        <v>0</v>
      </c>
      <c r="AD175" s="63" t="e">
        <f t="array" ref="AD175">_xlfn.IFS(Saisie!T175="OUI",1,Saisie!T175="NON",0)</f>
        <v>#N/A</v>
      </c>
      <c r="AE175" s="171">
        <f>Saisie!U175</f>
        <v>0</v>
      </c>
      <c r="AF175" s="262">
        <v>3</v>
      </c>
      <c r="AG175" s="129">
        <f>Saisie!W175</f>
        <v>0</v>
      </c>
      <c r="AH175" s="20">
        <f>Saisie!X175</f>
        <v>0</v>
      </c>
      <c r="AI175" s="21">
        <f>Saisie!Y175</f>
        <v>0</v>
      </c>
      <c r="AJ175" s="59">
        <f>Saisie!Z175</f>
        <v>0</v>
      </c>
      <c r="AK175" s="20">
        <f>Saisie!AA175</f>
        <v>0</v>
      </c>
      <c r="AL175" s="21">
        <f>Saisie!AB175</f>
        <v>0</v>
      </c>
      <c r="AM175" s="59">
        <f>Saisie!AC175</f>
        <v>0</v>
      </c>
      <c r="AN175" s="20">
        <f>Saisie!AD175</f>
        <v>0</v>
      </c>
      <c r="AO175" s="21">
        <f>Saisie!AE175</f>
        <v>0</v>
      </c>
      <c r="AP175" s="59">
        <f>Saisie!AF175</f>
        <v>0</v>
      </c>
      <c r="AQ175" s="129" t="e">
        <f t="array" ref="AQ175">_xlfn.IFS(Saisie!AG175="OUI",1,Saisie!AG175="NON",0)</f>
        <v>#N/A</v>
      </c>
      <c r="AR175" s="129" t="e">
        <f t="array" ref="AR175">_xlfn.IFS(Saisie!AH175="OUI",1,Saisie!AH175="NON",0)</f>
        <v>#N/A</v>
      </c>
      <c r="AS175" s="171">
        <f>Saisie!AI175</f>
        <v>0</v>
      </c>
      <c r="AT175" s="263" t="e">
        <f t="array" ref="AT175">_xlfn.IFS(Saisie!AJ175="OUI",1,Saisie!AJ175="NON",0)</f>
        <v>#N/A</v>
      </c>
      <c r="AU175" s="173">
        <f>Saisie!AK175</f>
        <v>0</v>
      </c>
      <c r="AV175" s="263" t="e">
        <f t="array" ref="AV175">_xlfn.IFS(Saisie!AL175="OUI",1,Saisie!AL175="NON",0)</f>
        <v>#N/A</v>
      </c>
      <c r="AW175" s="171">
        <f>Saisie!AM175</f>
        <v>0</v>
      </c>
      <c r="AX175" s="68">
        <f>Saisie!AN175</f>
        <v>0</v>
      </c>
      <c r="AY175" s="20">
        <f>Saisie!AO175</f>
        <v>0</v>
      </c>
      <c r="AZ175" s="21">
        <f>Saisie!AP175</f>
        <v>0</v>
      </c>
      <c r="BA175" s="298">
        <f>Saisie!AQ175</f>
        <v>0</v>
      </c>
      <c r="BB175" s="170">
        <f>Saisie!AR175</f>
        <v>0</v>
      </c>
      <c r="BC175" s="174">
        <f>Saisie!AS175</f>
        <v>0</v>
      </c>
      <c r="BD175" s="61">
        <f>Saisie!AT175</f>
        <v>0</v>
      </c>
      <c r="BE175" s="175" t="e">
        <f t="array" ref="BE175">_xlfn.IFS(Saisie!AU175="OUI",1,Saisie!AU175="NON",0)</f>
        <v>#N/A</v>
      </c>
      <c r="BF175" s="267">
        <f>Saisie!AV175</f>
        <v>0</v>
      </c>
      <c r="BG175" s="55">
        <f>Saisie!AW175</f>
        <v>0</v>
      </c>
      <c r="BH175" s="55" t="e">
        <f t="array" ref="BH175">_xlfn.IFS(Saisie!AX175="OUI",1,Saisie!AX175="NON",0)</f>
        <v>#N/A</v>
      </c>
      <c r="BI175" s="62">
        <f>Saisie!AY175</f>
        <v>0</v>
      </c>
      <c r="BJ175" s="55" t="e">
        <f t="array" ref="BJ175">_xlfn.IFS(Saisie!AZ175="OUI",1,Saisie!AZ175="NON",0)</f>
        <v>#N/A</v>
      </c>
      <c r="BK175" s="55" t="e">
        <f t="array" ref="BK175">_xlfn.IFS(Saisie!BA175="OUI",1,Saisie!BA175="NON",0)</f>
        <v>#N/A</v>
      </c>
      <c r="BL175" s="55">
        <f>Saisie!BB175</f>
        <v>0</v>
      </c>
      <c r="BM175" s="49" t="e">
        <f>Saisie!BC175</f>
        <v>#REF!</v>
      </c>
      <c r="BN175" s="175"/>
    </row>
    <row r="176" spans="1:66" s="176" customFormat="1" x14ac:dyDescent="0.45">
      <c r="A176" s="13">
        <v>170</v>
      </c>
      <c r="B176" s="150">
        <f>Saisie!B176</f>
        <v>0</v>
      </c>
      <c r="C176" s="150">
        <f>Saisie!C176</f>
        <v>0</v>
      </c>
      <c r="D176" s="150">
        <f>Saisie!D176</f>
        <v>0</v>
      </c>
      <c r="E176" s="150">
        <f>Saisie!E176</f>
        <v>0</v>
      </c>
      <c r="F176" s="150">
        <f>Saisie!F176</f>
        <v>0</v>
      </c>
      <c r="G176" s="150">
        <f>Saisie!G176</f>
        <v>0</v>
      </c>
      <c r="H176" s="150">
        <f>Saisie!I176</f>
        <v>0</v>
      </c>
      <c r="I176" s="150">
        <f>Saisie!J176</f>
        <v>0</v>
      </c>
      <c r="J176" s="150">
        <f>Saisie!K176</f>
        <v>0</v>
      </c>
      <c r="K176" s="150">
        <f>Saisie!L176</f>
        <v>0</v>
      </c>
      <c r="L176" s="150" t="e">
        <f>Saisie!#REF!</f>
        <v>#REF!</v>
      </c>
      <c r="M176" s="55" t="e">
        <f t="array" ref="M176">_xlfn.IFS(Saisie!M176="OUI",1,Saisie!M176="NON",0)</f>
        <v>#N/A</v>
      </c>
      <c r="N176" s="64" t="e">
        <f>Saisie!#REF!</f>
        <v>#REF!</v>
      </c>
      <c r="O176" s="63" t="e">
        <f>Saisie!#REF!</f>
        <v>#REF!</v>
      </c>
      <c r="P176" s="63">
        <f>Saisie!N176</f>
        <v>0</v>
      </c>
      <c r="Q176" s="63" t="e">
        <f t="array" ref="Q176">_xlfn.IFS(Saisie!#REF!="OUI",1,Saisie!#REF!="NON",0)</f>
        <v>#REF!</v>
      </c>
      <c r="R176" s="63" t="e">
        <f>Saisie!#REF!</f>
        <v>#REF!</v>
      </c>
      <c r="S176" s="65" t="e">
        <f>Saisie!#REF!</f>
        <v>#REF!</v>
      </c>
      <c r="T176" s="63" t="e">
        <f>Saisie!#REF!</f>
        <v>#REF!</v>
      </c>
      <c r="U176" s="63" t="e">
        <f>Saisie!#REF!</f>
        <v>#REF!</v>
      </c>
      <c r="V176" s="63" t="e">
        <f t="array" ref="V176">_xlfn.IFS(Saisie!#REF!="OUI",1,Saisie!#REF!="NON",0)</f>
        <v>#REF!</v>
      </c>
      <c r="W176" s="63" t="e">
        <f t="array" ref="W176">_xlfn.IFS(Saisie!O176="OUI",1,Saisie!O176="NON",0)</f>
        <v>#N/A</v>
      </c>
      <c r="X176" s="63">
        <f>Saisie!P176</f>
        <v>0</v>
      </c>
      <c r="Y176" s="299">
        <f>Saisie!H176</f>
        <v>0</v>
      </c>
      <c r="Z176" s="58" t="e">
        <f>Saisie!#REF!</f>
        <v>#REF!</v>
      </c>
      <c r="AA176" s="299">
        <f>Saisie!Q176</f>
        <v>0</v>
      </c>
      <c r="AB176" s="63" t="e">
        <f t="array" ref="AB176">_xlfn.IFS(Saisie!R176="OUI",1,Saisie!R176="NON",0)</f>
        <v>#N/A</v>
      </c>
      <c r="AC176" s="63">
        <f>Saisie!S176</f>
        <v>0</v>
      </c>
      <c r="AD176" s="63" t="e">
        <f t="array" ref="AD176">_xlfn.IFS(Saisie!T176="OUI",1,Saisie!T176="NON",0)</f>
        <v>#N/A</v>
      </c>
      <c r="AE176" s="171">
        <f>Saisie!U176</f>
        <v>0</v>
      </c>
      <c r="AF176" s="262">
        <v>3</v>
      </c>
      <c r="AG176" s="129">
        <f>Saisie!W176</f>
        <v>0</v>
      </c>
      <c r="AH176" s="20">
        <f>Saisie!X176</f>
        <v>0</v>
      </c>
      <c r="AI176" s="21">
        <f>Saisie!Y176</f>
        <v>0</v>
      </c>
      <c r="AJ176" s="59">
        <f>Saisie!Z176</f>
        <v>0</v>
      </c>
      <c r="AK176" s="20">
        <f>Saisie!AA176</f>
        <v>0</v>
      </c>
      <c r="AL176" s="21">
        <f>Saisie!AB176</f>
        <v>0</v>
      </c>
      <c r="AM176" s="59">
        <f>Saisie!AC176</f>
        <v>0</v>
      </c>
      <c r="AN176" s="20">
        <f>Saisie!AD176</f>
        <v>0</v>
      </c>
      <c r="AO176" s="21">
        <f>Saisie!AE176</f>
        <v>0</v>
      </c>
      <c r="AP176" s="59">
        <f>Saisie!AF176</f>
        <v>0</v>
      </c>
      <c r="AQ176" s="129" t="e">
        <f t="array" ref="AQ176">_xlfn.IFS(Saisie!AG176="OUI",1,Saisie!AG176="NON",0)</f>
        <v>#N/A</v>
      </c>
      <c r="AR176" s="129" t="e">
        <f t="array" ref="AR176">_xlfn.IFS(Saisie!AH176="OUI",1,Saisie!AH176="NON",0)</f>
        <v>#N/A</v>
      </c>
      <c r="AS176" s="171">
        <f>Saisie!AI176</f>
        <v>0</v>
      </c>
      <c r="AT176" s="263" t="e">
        <f t="array" ref="AT176">_xlfn.IFS(Saisie!AJ176="OUI",1,Saisie!AJ176="NON",0)</f>
        <v>#N/A</v>
      </c>
      <c r="AU176" s="173">
        <f>Saisie!AK176</f>
        <v>0</v>
      </c>
      <c r="AV176" s="263" t="e">
        <f t="array" ref="AV176">_xlfn.IFS(Saisie!AL176="OUI",1,Saisie!AL176="NON",0)</f>
        <v>#N/A</v>
      </c>
      <c r="AW176" s="171">
        <f>Saisie!AM176</f>
        <v>0</v>
      </c>
      <c r="AX176" s="68">
        <f>Saisie!AN176</f>
        <v>0</v>
      </c>
      <c r="AY176" s="20">
        <f>Saisie!AO176</f>
        <v>0</v>
      </c>
      <c r="AZ176" s="21">
        <f>Saisie!AP176</f>
        <v>0</v>
      </c>
      <c r="BA176" s="298">
        <f>Saisie!AQ176</f>
        <v>0</v>
      </c>
      <c r="BB176" s="170">
        <f>Saisie!AR176</f>
        <v>0</v>
      </c>
      <c r="BC176" s="174">
        <f>Saisie!AS176</f>
        <v>0</v>
      </c>
      <c r="BD176" s="61">
        <f>Saisie!AT176</f>
        <v>0</v>
      </c>
      <c r="BE176" s="175" t="e">
        <f t="array" ref="BE176">_xlfn.IFS(Saisie!AU176="OUI",1,Saisie!AU176="NON",0)</f>
        <v>#N/A</v>
      </c>
      <c r="BF176" s="267">
        <f>Saisie!AV176</f>
        <v>0</v>
      </c>
      <c r="BG176" s="55">
        <f>Saisie!AW176</f>
        <v>0</v>
      </c>
      <c r="BH176" s="55" t="e">
        <f t="array" ref="BH176">_xlfn.IFS(Saisie!AX176="OUI",1,Saisie!AX176="NON",0)</f>
        <v>#N/A</v>
      </c>
      <c r="BI176" s="62">
        <f>Saisie!AY176</f>
        <v>0</v>
      </c>
      <c r="BJ176" s="55" t="e">
        <f t="array" ref="BJ176">_xlfn.IFS(Saisie!AZ176="OUI",1,Saisie!AZ176="NON",0)</f>
        <v>#N/A</v>
      </c>
      <c r="BK176" s="55" t="e">
        <f t="array" ref="BK176">_xlfn.IFS(Saisie!BA176="OUI",1,Saisie!BA176="NON",0)</f>
        <v>#N/A</v>
      </c>
      <c r="BL176" s="55">
        <f>Saisie!BB176</f>
        <v>0</v>
      </c>
      <c r="BM176" s="49" t="e">
        <f>Saisie!BC176</f>
        <v>#REF!</v>
      </c>
      <c r="BN176" s="175"/>
    </row>
    <row r="177" spans="1:66" s="176" customFormat="1" x14ac:dyDescent="0.45">
      <c r="A177" s="13">
        <v>171</v>
      </c>
      <c r="B177" s="150">
        <f>Saisie!B177</f>
        <v>0</v>
      </c>
      <c r="C177" s="150">
        <f>Saisie!C177</f>
        <v>0</v>
      </c>
      <c r="D177" s="150">
        <f>Saisie!D177</f>
        <v>0</v>
      </c>
      <c r="E177" s="150">
        <f>Saisie!E177</f>
        <v>0</v>
      </c>
      <c r="F177" s="150">
        <f>Saisie!F177</f>
        <v>0</v>
      </c>
      <c r="G177" s="150">
        <f>Saisie!G177</f>
        <v>0</v>
      </c>
      <c r="H177" s="150">
        <f>Saisie!I177</f>
        <v>0</v>
      </c>
      <c r="I177" s="150">
        <f>Saisie!J177</f>
        <v>0</v>
      </c>
      <c r="J177" s="150">
        <f>Saisie!K177</f>
        <v>0</v>
      </c>
      <c r="K177" s="150">
        <f>Saisie!L177</f>
        <v>0</v>
      </c>
      <c r="L177" s="150" t="e">
        <f>Saisie!#REF!</f>
        <v>#REF!</v>
      </c>
      <c r="M177" s="55" t="e">
        <f t="array" ref="M177">_xlfn.IFS(Saisie!M177="OUI",1,Saisie!M177="NON",0)</f>
        <v>#N/A</v>
      </c>
      <c r="N177" s="64" t="e">
        <f>Saisie!#REF!</f>
        <v>#REF!</v>
      </c>
      <c r="O177" s="63" t="e">
        <f>Saisie!#REF!</f>
        <v>#REF!</v>
      </c>
      <c r="P177" s="63">
        <f>Saisie!N177</f>
        <v>0</v>
      </c>
      <c r="Q177" s="63" t="e">
        <f t="array" ref="Q177">_xlfn.IFS(Saisie!#REF!="OUI",1,Saisie!#REF!="NON",0)</f>
        <v>#REF!</v>
      </c>
      <c r="R177" s="63" t="e">
        <f>Saisie!#REF!</f>
        <v>#REF!</v>
      </c>
      <c r="S177" s="65" t="e">
        <f>Saisie!#REF!</f>
        <v>#REF!</v>
      </c>
      <c r="T177" s="63" t="e">
        <f>Saisie!#REF!</f>
        <v>#REF!</v>
      </c>
      <c r="U177" s="63" t="e">
        <f>Saisie!#REF!</f>
        <v>#REF!</v>
      </c>
      <c r="V177" s="63" t="e">
        <f t="array" ref="V177">_xlfn.IFS(Saisie!#REF!="OUI",1,Saisie!#REF!="NON",0)</f>
        <v>#REF!</v>
      </c>
      <c r="W177" s="63" t="e">
        <f t="array" ref="W177">_xlfn.IFS(Saisie!O177="OUI",1,Saisie!O177="NON",0)</f>
        <v>#N/A</v>
      </c>
      <c r="X177" s="63">
        <f>Saisie!P177</f>
        <v>0</v>
      </c>
      <c r="Y177" s="299">
        <f>Saisie!H177</f>
        <v>0</v>
      </c>
      <c r="Z177" s="58" t="e">
        <f>Saisie!#REF!</f>
        <v>#REF!</v>
      </c>
      <c r="AA177" s="299">
        <f>Saisie!Q177</f>
        <v>0</v>
      </c>
      <c r="AB177" s="63" t="e">
        <f t="array" ref="AB177">_xlfn.IFS(Saisie!R177="OUI",1,Saisie!R177="NON",0)</f>
        <v>#N/A</v>
      </c>
      <c r="AC177" s="63">
        <f>Saisie!S177</f>
        <v>0</v>
      </c>
      <c r="AD177" s="63" t="e">
        <f t="array" ref="AD177">_xlfn.IFS(Saisie!T177="OUI",1,Saisie!T177="NON",0)</f>
        <v>#N/A</v>
      </c>
      <c r="AE177" s="171">
        <f>Saisie!U177</f>
        <v>0</v>
      </c>
      <c r="AF177" s="262">
        <v>3</v>
      </c>
      <c r="AG177" s="129">
        <f>Saisie!W177</f>
        <v>0</v>
      </c>
      <c r="AH177" s="20">
        <f>Saisie!X177</f>
        <v>0</v>
      </c>
      <c r="AI177" s="21">
        <f>Saisie!Y177</f>
        <v>0</v>
      </c>
      <c r="AJ177" s="59">
        <f>Saisie!Z177</f>
        <v>0</v>
      </c>
      <c r="AK177" s="20">
        <f>Saisie!AA177</f>
        <v>0</v>
      </c>
      <c r="AL177" s="21">
        <f>Saisie!AB177</f>
        <v>0</v>
      </c>
      <c r="AM177" s="59">
        <f>Saisie!AC177</f>
        <v>0</v>
      </c>
      <c r="AN177" s="20">
        <f>Saisie!AD177</f>
        <v>0</v>
      </c>
      <c r="AO177" s="21">
        <f>Saisie!AE177</f>
        <v>0</v>
      </c>
      <c r="AP177" s="59">
        <f>Saisie!AF177</f>
        <v>0</v>
      </c>
      <c r="AQ177" s="129" t="e">
        <f t="array" ref="AQ177">_xlfn.IFS(Saisie!AG177="OUI",1,Saisie!AG177="NON",0)</f>
        <v>#N/A</v>
      </c>
      <c r="AR177" s="129" t="e">
        <f t="array" ref="AR177">_xlfn.IFS(Saisie!AH177="OUI",1,Saisie!AH177="NON",0)</f>
        <v>#N/A</v>
      </c>
      <c r="AS177" s="171">
        <f>Saisie!AI177</f>
        <v>0</v>
      </c>
      <c r="AT177" s="263" t="e">
        <f t="array" ref="AT177">_xlfn.IFS(Saisie!AJ177="OUI",1,Saisie!AJ177="NON",0)</f>
        <v>#N/A</v>
      </c>
      <c r="AU177" s="173">
        <f>Saisie!AK177</f>
        <v>0</v>
      </c>
      <c r="AV177" s="263" t="e">
        <f t="array" ref="AV177">_xlfn.IFS(Saisie!AL177="OUI",1,Saisie!AL177="NON",0)</f>
        <v>#N/A</v>
      </c>
      <c r="AW177" s="171">
        <f>Saisie!AM177</f>
        <v>0</v>
      </c>
      <c r="AX177" s="68">
        <f>Saisie!AN177</f>
        <v>0</v>
      </c>
      <c r="AY177" s="20">
        <f>Saisie!AO177</f>
        <v>0</v>
      </c>
      <c r="AZ177" s="21">
        <f>Saisie!AP177</f>
        <v>0</v>
      </c>
      <c r="BA177" s="298">
        <f>Saisie!AQ177</f>
        <v>0</v>
      </c>
      <c r="BB177" s="170">
        <f>Saisie!AR177</f>
        <v>0</v>
      </c>
      <c r="BC177" s="174">
        <f>Saisie!AS177</f>
        <v>0</v>
      </c>
      <c r="BD177" s="61">
        <f>Saisie!AT177</f>
        <v>0</v>
      </c>
      <c r="BE177" s="175" t="e">
        <f t="array" ref="BE177">_xlfn.IFS(Saisie!AU177="OUI",1,Saisie!AU177="NON",0)</f>
        <v>#N/A</v>
      </c>
      <c r="BF177" s="267">
        <f>Saisie!AV177</f>
        <v>0</v>
      </c>
      <c r="BG177" s="55">
        <f>Saisie!AW177</f>
        <v>0</v>
      </c>
      <c r="BH177" s="55" t="e">
        <f t="array" ref="BH177">_xlfn.IFS(Saisie!AX177="OUI",1,Saisie!AX177="NON",0)</f>
        <v>#N/A</v>
      </c>
      <c r="BI177" s="62">
        <f>Saisie!AY177</f>
        <v>0</v>
      </c>
      <c r="BJ177" s="55" t="e">
        <f t="array" ref="BJ177">_xlfn.IFS(Saisie!AZ177="OUI",1,Saisie!AZ177="NON",0)</f>
        <v>#N/A</v>
      </c>
      <c r="BK177" s="55" t="e">
        <f t="array" ref="BK177">_xlfn.IFS(Saisie!BA177="OUI",1,Saisie!BA177="NON",0)</f>
        <v>#N/A</v>
      </c>
      <c r="BL177" s="55">
        <f>Saisie!BB177</f>
        <v>0</v>
      </c>
      <c r="BM177" s="49" t="e">
        <f>Saisie!BC177</f>
        <v>#REF!</v>
      </c>
      <c r="BN177" s="175"/>
    </row>
    <row r="178" spans="1:66" s="176" customFormat="1" x14ac:dyDescent="0.45">
      <c r="A178" s="12">
        <v>172</v>
      </c>
      <c r="B178" s="150">
        <f>Saisie!B178</f>
        <v>0</v>
      </c>
      <c r="C178" s="150">
        <f>Saisie!C178</f>
        <v>0</v>
      </c>
      <c r="D178" s="150">
        <f>Saisie!D178</f>
        <v>0</v>
      </c>
      <c r="E178" s="150">
        <f>Saisie!E178</f>
        <v>0</v>
      </c>
      <c r="F178" s="150">
        <f>Saisie!F178</f>
        <v>0</v>
      </c>
      <c r="G178" s="150">
        <f>Saisie!G178</f>
        <v>0</v>
      </c>
      <c r="H178" s="150">
        <f>Saisie!I178</f>
        <v>0</v>
      </c>
      <c r="I178" s="150">
        <f>Saisie!J178</f>
        <v>0</v>
      </c>
      <c r="J178" s="150">
        <f>Saisie!K178</f>
        <v>0</v>
      </c>
      <c r="K178" s="150">
        <f>Saisie!L178</f>
        <v>0</v>
      </c>
      <c r="L178" s="150" t="e">
        <f>Saisie!#REF!</f>
        <v>#REF!</v>
      </c>
      <c r="M178" s="55" t="e">
        <f t="array" ref="M178">_xlfn.IFS(Saisie!M178="OUI",1,Saisie!M178="NON",0)</f>
        <v>#N/A</v>
      </c>
      <c r="N178" s="64" t="e">
        <f>Saisie!#REF!</f>
        <v>#REF!</v>
      </c>
      <c r="O178" s="63" t="e">
        <f>Saisie!#REF!</f>
        <v>#REF!</v>
      </c>
      <c r="P178" s="63">
        <f>Saisie!N178</f>
        <v>0</v>
      </c>
      <c r="Q178" s="63" t="e">
        <f t="array" ref="Q178">_xlfn.IFS(Saisie!#REF!="OUI",1,Saisie!#REF!="NON",0)</f>
        <v>#REF!</v>
      </c>
      <c r="R178" s="63" t="e">
        <f>Saisie!#REF!</f>
        <v>#REF!</v>
      </c>
      <c r="S178" s="65" t="e">
        <f>Saisie!#REF!</f>
        <v>#REF!</v>
      </c>
      <c r="T178" s="63" t="e">
        <f>Saisie!#REF!</f>
        <v>#REF!</v>
      </c>
      <c r="U178" s="63" t="e">
        <f>Saisie!#REF!</f>
        <v>#REF!</v>
      </c>
      <c r="V178" s="63" t="e">
        <f t="array" ref="V178">_xlfn.IFS(Saisie!#REF!="OUI",1,Saisie!#REF!="NON",0)</f>
        <v>#REF!</v>
      </c>
      <c r="W178" s="63" t="e">
        <f t="array" ref="W178">_xlfn.IFS(Saisie!O178="OUI",1,Saisie!O178="NON",0)</f>
        <v>#N/A</v>
      </c>
      <c r="X178" s="63">
        <f>Saisie!P178</f>
        <v>0</v>
      </c>
      <c r="Y178" s="299">
        <f>Saisie!H178</f>
        <v>0</v>
      </c>
      <c r="Z178" s="58" t="e">
        <f>Saisie!#REF!</f>
        <v>#REF!</v>
      </c>
      <c r="AA178" s="299">
        <f>Saisie!Q178</f>
        <v>0</v>
      </c>
      <c r="AB178" s="63" t="e">
        <f t="array" ref="AB178">_xlfn.IFS(Saisie!R178="OUI",1,Saisie!R178="NON",0)</f>
        <v>#N/A</v>
      </c>
      <c r="AC178" s="63">
        <f>Saisie!S178</f>
        <v>0</v>
      </c>
      <c r="AD178" s="63" t="e">
        <f t="array" ref="AD178">_xlfn.IFS(Saisie!T178="OUI",1,Saisie!T178="NON",0)</f>
        <v>#N/A</v>
      </c>
      <c r="AE178" s="171">
        <f>Saisie!U178</f>
        <v>0</v>
      </c>
      <c r="AF178" s="262">
        <v>3</v>
      </c>
      <c r="AG178" s="129">
        <f>Saisie!W178</f>
        <v>0</v>
      </c>
      <c r="AH178" s="20">
        <f>Saisie!X178</f>
        <v>0</v>
      </c>
      <c r="AI178" s="21">
        <f>Saisie!Y178</f>
        <v>0</v>
      </c>
      <c r="AJ178" s="59">
        <f>Saisie!Z178</f>
        <v>0</v>
      </c>
      <c r="AK178" s="20">
        <f>Saisie!AA178</f>
        <v>0</v>
      </c>
      <c r="AL178" s="21">
        <f>Saisie!AB178</f>
        <v>0</v>
      </c>
      <c r="AM178" s="59">
        <f>Saisie!AC178</f>
        <v>0</v>
      </c>
      <c r="AN178" s="20">
        <f>Saisie!AD178</f>
        <v>0</v>
      </c>
      <c r="AO178" s="21">
        <f>Saisie!AE178</f>
        <v>0</v>
      </c>
      <c r="AP178" s="59">
        <f>Saisie!AF178</f>
        <v>0</v>
      </c>
      <c r="AQ178" s="129" t="e">
        <f t="array" ref="AQ178">_xlfn.IFS(Saisie!AG178="OUI",1,Saisie!AG178="NON",0)</f>
        <v>#N/A</v>
      </c>
      <c r="AR178" s="129" t="e">
        <f t="array" ref="AR178">_xlfn.IFS(Saisie!AH178="OUI",1,Saisie!AH178="NON",0)</f>
        <v>#N/A</v>
      </c>
      <c r="AS178" s="171">
        <f>Saisie!AI178</f>
        <v>0</v>
      </c>
      <c r="AT178" s="263" t="e">
        <f t="array" ref="AT178">_xlfn.IFS(Saisie!AJ178="OUI",1,Saisie!AJ178="NON",0)</f>
        <v>#N/A</v>
      </c>
      <c r="AU178" s="173">
        <f>Saisie!AK178</f>
        <v>0</v>
      </c>
      <c r="AV178" s="263" t="e">
        <f t="array" ref="AV178">_xlfn.IFS(Saisie!AL178="OUI",1,Saisie!AL178="NON",0)</f>
        <v>#N/A</v>
      </c>
      <c r="AW178" s="171">
        <f>Saisie!AM178</f>
        <v>0</v>
      </c>
      <c r="AX178" s="68">
        <f>Saisie!AN178</f>
        <v>0</v>
      </c>
      <c r="AY178" s="20">
        <f>Saisie!AO178</f>
        <v>0</v>
      </c>
      <c r="AZ178" s="21">
        <f>Saisie!AP178</f>
        <v>0</v>
      </c>
      <c r="BA178" s="298">
        <f>Saisie!AQ178</f>
        <v>0</v>
      </c>
      <c r="BB178" s="170">
        <f>Saisie!AR178</f>
        <v>0</v>
      </c>
      <c r="BC178" s="174">
        <f>Saisie!AS178</f>
        <v>0</v>
      </c>
      <c r="BD178" s="61">
        <f>Saisie!AT178</f>
        <v>0</v>
      </c>
      <c r="BE178" s="175" t="e">
        <f t="array" ref="BE178">_xlfn.IFS(Saisie!AU178="OUI",1,Saisie!AU178="NON",0)</f>
        <v>#N/A</v>
      </c>
      <c r="BF178" s="267">
        <f>Saisie!AV178</f>
        <v>0</v>
      </c>
      <c r="BG178" s="55">
        <f>Saisie!AW178</f>
        <v>0</v>
      </c>
      <c r="BH178" s="55" t="e">
        <f t="array" ref="BH178">_xlfn.IFS(Saisie!AX178="OUI",1,Saisie!AX178="NON",0)</f>
        <v>#N/A</v>
      </c>
      <c r="BI178" s="62">
        <f>Saisie!AY178</f>
        <v>0</v>
      </c>
      <c r="BJ178" s="55" t="e">
        <f t="array" ref="BJ178">_xlfn.IFS(Saisie!AZ178="OUI",1,Saisie!AZ178="NON",0)</f>
        <v>#N/A</v>
      </c>
      <c r="BK178" s="55" t="e">
        <f t="array" ref="BK178">_xlfn.IFS(Saisie!BA178="OUI",1,Saisie!BA178="NON",0)</f>
        <v>#N/A</v>
      </c>
      <c r="BL178" s="55">
        <f>Saisie!BB178</f>
        <v>0</v>
      </c>
      <c r="BM178" s="49" t="e">
        <f>Saisie!BC178</f>
        <v>#REF!</v>
      </c>
      <c r="BN178" s="175"/>
    </row>
    <row r="179" spans="1:66" s="176" customFormat="1" x14ac:dyDescent="0.45">
      <c r="A179" s="13">
        <v>173</v>
      </c>
      <c r="B179" s="150">
        <f>Saisie!B179</f>
        <v>0</v>
      </c>
      <c r="C179" s="150">
        <f>Saisie!C179</f>
        <v>0</v>
      </c>
      <c r="D179" s="150">
        <f>Saisie!D179</f>
        <v>0</v>
      </c>
      <c r="E179" s="150">
        <f>Saisie!E179</f>
        <v>0</v>
      </c>
      <c r="F179" s="150">
        <f>Saisie!F179</f>
        <v>0</v>
      </c>
      <c r="G179" s="150">
        <f>Saisie!G179</f>
        <v>0</v>
      </c>
      <c r="H179" s="150">
        <f>Saisie!I179</f>
        <v>0</v>
      </c>
      <c r="I179" s="150">
        <f>Saisie!J179</f>
        <v>0</v>
      </c>
      <c r="J179" s="150">
        <f>Saisie!K179</f>
        <v>0</v>
      </c>
      <c r="K179" s="150">
        <f>Saisie!L179</f>
        <v>0</v>
      </c>
      <c r="L179" s="150" t="e">
        <f>Saisie!#REF!</f>
        <v>#REF!</v>
      </c>
      <c r="M179" s="55" t="e">
        <f t="array" ref="M179">_xlfn.IFS(Saisie!M179="OUI",1,Saisie!M179="NON",0)</f>
        <v>#N/A</v>
      </c>
      <c r="N179" s="64" t="e">
        <f>Saisie!#REF!</f>
        <v>#REF!</v>
      </c>
      <c r="O179" s="63" t="e">
        <f>Saisie!#REF!</f>
        <v>#REF!</v>
      </c>
      <c r="P179" s="63">
        <f>Saisie!N179</f>
        <v>0</v>
      </c>
      <c r="Q179" s="63" t="e">
        <f t="array" ref="Q179">_xlfn.IFS(Saisie!#REF!="OUI",1,Saisie!#REF!="NON",0)</f>
        <v>#REF!</v>
      </c>
      <c r="R179" s="63" t="e">
        <f>Saisie!#REF!</f>
        <v>#REF!</v>
      </c>
      <c r="S179" s="65" t="e">
        <f>Saisie!#REF!</f>
        <v>#REF!</v>
      </c>
      <c r="T179" s="63" t="e">
        <f>Saisie!#REF!</f>
        <v>#REF!</v>
      </c>
      <c r="U179" s="63" t="e">
        <f>Saisie!#REF!</f>
        <v>#REF!</v>
      </c>
      <c r="V179" s="63" t="e">
        <f t="array" ref="V179">_xlfn.IFS(Saisie!#REF!="OUI",1,Saisie!#REF!="NON",0)</f>
        <v>#REF!</v>
      </c>
      <c r="W179" s="63" t="e">
        <f t="array" ref="W179">_xlfn.IFS(Saisie!O179="OUI",1,Saisie!O179="NON",0)</f>
        <v>#N/A</v>
      </c>
      <c r="X179" s="63">
        <f>Saisie!P179</f>
        <v>0</v>
      </c>
      <c r="Y179" s="299">
        <f>Saisie!H179</f>
        <v>0</v>
      </c>
      <c r="Z179" s="58" t="e">
        <f>Saisie!#REF!</f>
        <v>#REF!</v>
      </c>
      <c r="AA179" s="299">
        <f>Saisie!Q179</f>
        <v>0</v>
      </c>
      <c r="AB179" s="63" t="e">
        <f t="array" ref="AB179">_xlfn.IFS(Saisie!R179="OUI",1,Saisie!R179="NON",0)</f>
        <v>#N/A</v>
      </c>
      <c r="AC179" s="63">
        <f>Saisie!S179</f>
        <v>0</v>
      </c>
      <c r="AD179" s="63" t="e">
        <f t="array" ref="AD179">_xlfn.IFS(Saisie!T179="OUI",1,Saisie!T179="NON",0)</f>
        <v>#N/A</v>
      </c>
      <c r="AE179" s="171">
        <f>Saisie!U179</f>
        <v>0</v>
      </c>
      <c r="AF179" s="262">
        <v>3</v>
      </c>
      <c r="AG179" s="129">
        <f>Saisie!W179</f>
        <v>0</v>
      </c>
      <c r="AH179" s="20">
        <f>Saisie!X179</f>
        <v>0</v>
      </c>
      <c r="AI179" s="21">
        <f>Saisie!Y179</f>
        <v>0</v>
      </c>
      <c r="AJ179" s="59">
        <f>Saisie!Z179</f>
        <v>0</v>
      </c>
      <c r="AK179" s="20">
        <f>Saisie!AA179</f>
        <v>0</v>
      </c>
      <c r="AL179" s="21">
        <f>Saisie!AB179</f>
        <v>0</v>
      </c>
      <c r="AM179" s="59">
        <f>Saisie!AC179</f>
        <v>0</v>
      </c>
      <c r="AN179" s="20">
        <f>Saisie!AD179</f>
        <v>0</v>
      </c>
      <c r="AO179" s="21">
        <f>Saisie!AE179</f>
        <v>0</v>
      </c>
      <c r="AP179" s="59">
        <f>Saisie!AF179</f>
        <v>0</v>
      </c>
      <c r="AQ179" s="129" t="e">
        <f t="array" ref="AQ179">_xlfn.IFS(Saisie!AG179="OUI",1,Saisie!AG179="NON",0)</f>
        <v>#N/A</v>
      </c>
      <c r="AR179" s="129" t="e">
        <f t="array" ref="AR179">_xlfn.IFS(Saisie!AH179="OUI",1,Saisie!AH179="NON",0)</f>
        <v>#N/A</v>
      </c>
      <c r="AS179" s="171">
        <f>Saisie!AI179</f>
        <v>0</v>
      </c>
      <c r="AT179" s="263" t="e">
        <f t="array" ref="AT179">_xlfn.IFS(Saisie!AJ179="OUI",1,Saisie!AJ179="NON",0)</f>
        <v>#N/A</v>
      </c>
      <c r="AU179" s="173">
        <f>Saisie!AK179</f>
        <v>0</v>
      </c>
      <c r="AV179" s="263" t="e">
        <f t="array" ref="AV179">_xlfn.IFS(Saisie!AL179="OUI",1,Saisie!AL179="NON",0)</f>
        <v>#N/A</v>
      </c>
      <c r="AW179" s="171">
        <f>Saisie!AM179</f>
        <v>0</v>
      </c>
      <c r="AX179" s="68">
        <f>Saisie!AN179</f>
        <v>0</v>
      </c>
      <c r="AY179" s="20">
        <f>Saisie!AO179</f>
        <v>0</v>
      </c>
      <c r="AZ179" s="21">
        <f>Saisie!AP179</f>
        <v>0</v>
      </c>
      <c r="BA179" s="298">
        <f>Saisie!AQ179</f>
        <v>0</v>
      </c>
      <c r="BB179" s="170">
        <f>Saisie!AR179</f>
        <v>0</v>
      </c>
      <c r="BC179" s="174">
        <f>Saisie!AS179</f>
        <v>0</v>
      </c>
      <c r="BD179" s="61">
        <f>Saisie!AT179</f>
        <v>0</v>
      </c>
      <c r="BE179" s="175" t="e">
        <f t="array" ref="BE179">_xlfn.IFS(Saisie!AU179="OUI",1,Saisie!AU179="NON",0)</f>
        <v>#N/A</v>
      </c>
      <c r="BF179" s="267">
        <f>Saisie!AV179</f>
        <v>0</v>
      </c>
      <c r="BG179" s="55">
        <f>Saisie!AW179</f>
        <v>0</v>
      </c>
      <c r="BH179" s="55" t="e">
        <f t="array" ref="BH179">_xlfn.IFS(Saisie!AX179="OUI",1,Saisie!AX179="NON",0)</f>
        <v>#N/A</v>
      </c>
      <c r="BI179" s="62">
        <f>Saisie!AY179</f>
        <v>0</v>
      </c>
      <c r="BJ179" s="55" t="e">
        <f t="array" ref="BJ179">_xlfn.IFS(Saisie!AZ179="OUI",1,Saisie!AZ179="NON",0)</f>
        <v>#N/A</v>
      </c>
      <c r="BK179" s="55" t="e">
        <f t="array" ref="BK179">_xlfn.IFS(Saisie!BA179="OUI",1,Saisie!BA179="NON",0)</f>
        <v>#N/A</v>
      </c>
      <c r="BL179" s="55">
        <f>Saisie!BB179</f>
        <v>0</v>
      </c>
      <c r="BM179" s="49" t="e">
        <f>Saisie!BC179</f>
        <v>#REF!</v>
      </c>
      <c r="BN179" s="175"/>
    </row>
    <row r="180" spans="1:66" s="176" customFormat="1" x14ac:dyDescent="0.45">
      <c r="A180" s="13">
        <v>174</v>
      </c>
      <c r="B180" s="150">
        <f>Saisie!B180</f>
        <v>0</v>
      </c>
      <c r="C180" s="150">
        <f>Saisie!C180</f>
        <v>0</v>
      </c>
      <c r="D180" s="150">
        <f>Saisie!D180</f>
        <v>0</v>
      </c>
      <c r="E180" s="150">
        <f>Saisie!E180</f>
        <v>0</v>
      </c>
      <c r="F180" s="150">
        <f>Saisie!F180</f>
        <v>0</v>
      </c>
      <c r="G180" s="150">
        <f>Saisie!G180</f>
        <v>0</v>
      </c>
      <c r="H180" s="150">
        <f>Saisie!I180</f>
        <v>0</v>
      </c>
      <c r="I180" s="150">
        <f>Saisie!J180</f>
        <v>0</v>
      </c>
      <c r="J180" s="150">
        <f>Saisie!K180</f>
        <v>0</v>
      </c>
      <c r="K180" s="150">
        <f>Saisie!L180</f>
        <v>0</v>
      </c>
      <c r="L180" s="150" t="e">
        <f>Saisie!#REF!</f>
        <v>#REF!</v>
      </c>
      <c r="M180" s="55" t="e">
        <f t="array" ref="M180">_xlfn.IFS(Saisie!M180="OUI",1,Saisie!M180="NON",0)</f>
        <v>#N/A</v>
      </c>
      <c r="N180" s="64" t="e">
        <f>Saisie!#REF!</f>
        <v>#REF!</v>
      </c>
      <c r="O180" s="63" t="e">
        <f>Saisie!#REF!</f>
        <v>#REF!</v>
      </c>
      <c r="P180" s="63">
        <f>Saisie!N180</f>
        <v>0</v>
      </c>
      <c r="Q180" s="63" t="e">
        <f t="array" ref="Q180">_xlfn.IFS(Saisie!#REF!="OUI",1,Saisie!#REF!="NON",0)</f>
        <v>#REF!</v>
      </c>
      <c r="R180" s="63" t="e">
        <f>Saisie!#REF!</f>
        <v>#REF!</v>
      </c>
      <c r="S180" s="65" t="e">
        <f>Saisie!#REF!</f>
        <v>#REF!</v>
      </c>
      <c r="T180" s="63" t="e">
        <f>Saisie!#REF!</f>
        <v>#REF!</v>
      </c>
      <c r="U180" s="63" t="e">
        <f>Saisie!#REF!</f>
        <v>#REF!</v>
      </c>
      <c r="V180" s="63" t="e">
        <f t="array" ref="V180">_xlfn.IFS(Saisie!#REF!="OUI",1,Saisie!#REF!="NON",0)</f>
        <v>#REF!</v>
      </c>
      <c r="W180" s="63" t="e">
        <f t="array" ref="W180">_xlfn.IFS(Saisie!O180="OUI",1,Saisie!O180="NON",0)</f>
        <v>#N/A</v>
      </c>
      <c r="X180" s="63">
        <f>Saisie!P180</f>
        <v>0</v>
      </c>
      <c r="Y180" s="299">
        <f>Saisie!H180</f>
        <v>0</v>
      </c>
      <c r="Z180" s="58" t="e">
        <f>Saisie!#REF!</f>
        <v>#REF!</v>
      </c>
      <c r="AA180" s="299">
        <f>Saisie!Q180</f>
        <v>0</v>
      </c>
      <c r="AB180" s="63" t="e">
        <f t="array" ref="AB180">_xlfn.IFS(Saisie!R180="OUI",1,Saisie!R180="NON",0)</f>
        <v>#N/A</v>
      </c>
      <c r="AC180" s="63">
        <f>Saisie!S180</f>
        <v>0</v>
      </c>
      <c r="AD180" s="63" t="e">
        <f t="array" ref="AD180">_xlfn.IFS(Saisie!T180="OUI",1,Saisie!T180="NON",0)</f>
        <v>#N/A</v>
      </c>
      <c r="AE180" s="171">
        <f>Saisie!U180</f>
        <v>0</v>
      </c>
      <c r="AF180" s="262">
        <v>3</v>
      </c>
      <c r="AG180" s="129">
        <f>Saisie!W180</f>
        <v>0</v>
      </c>
      <c r="AH180" s="20">
        <f>Saisie!X180</f>
        <v>0</v>
      </c>
      <c r="AI180" s="21">
        <f>Saisie!Y180</f>
        <v>0</v>
      </c>
      <c r="AJ180" s="59">
        <f>Saisie!Z180</f>
        <v>0</v>
      </c>
      <c r="AK180" s="20">
        <f>Saisie!AA180</f>
        <v>0</v>
      </c>
      <c r="AL180" s="21">
        <f>Saisie!AB180</f>
        <v>0</v>
      </c>
      <c r="AM180" s="59">
        <f>Saisie!AC180</f>
        <v>0</v>
      </c>
      <c r="AN180" s="20">
        <f>Saisie!AD180</f>
        <v>0</v>
      </c>
      <c r="AO180" s="21">
        <f>Saisie!AE180</f>
        <v>0</v>
      </c>
      <c r="AP180" s="59">
        <f>Saisie!AF180</f>
        <v>0</v>
      </c>
      <c r="AQ180" s="129" t="e">
        <f t="array" ref="AQ180">_xlfn.IFS(Saisie!AG180="OUI",1,Saisie!AG180="NON",0)</f>
        <v>#N/A</v>
      </c>
      <c r="AR180" s="129" t="e">
        <f t="array" ref="AR180">_xlfn.IFS(Saisie!AH180="OUI",1,Saisie!AH180="NON",0)</f>
        <v>#N/A</v>
      </c>
      <c r="AS180" s="171">
        <f>Saisie!AI180</f>
        <v>0</v>
      </c>
      <c r="AT180" s="263" t="e">
        <f t="array" ref="AT180">_xlfn.IFS(Saisie!AJ180="OUI",1,Saisie!AJ180="NON",0)</f>
        <v>#N/A</v>
      </c>
      <c r="AU180" s="173">
        <f>Saisie!AK180</f>
        <v>0</v>
      </c>
      <c r="AV180" s="263" t="e">
        <f t="array" ref="AV180">_xlfn.IFS(Saisie!AL180="OUI",1,Saisie!AL180="NON",0)</f>
        <v>#N/A</v>
      </c>
      <c r="AW180" s="171">
        <f>Saisie!AM180</f>
        <v>0</v>
      </c>
      <c r="AX180" s="68">
        <f>Saisie!AN180</f>
        <v>0</v>
      </c>
      <c r="AY180" s="20">
        <f>Saisie!AO180</f>
        <v>0</v>
      </c>
      <c r="AZ180" s="21">
        <f>Saisie!AP180</f>
        <v>0</v>
      </c>
      <c r="BA180" s="298">
        <f>Saisie!AQ180</f>
        <v>0</v>
      </c>
      <c r="BB180" s="170">
        <f>Saisie!AR180</f>
        <v>0</v>
      </c>
      <c r="BC180" s="174">
        <f>Saisie!AS180</f>
        <v>0</v>
      </c>
      <c r="BD180" s="61">
        <f>Saisie!AT180</f>
        <v>0</v>
      </c>
      <c r="BE180" s="175" t="e">
        <f t="array" ref="BE180">_xlfn.IFS(Saisie!AU180="OUI",1,Saisie!AU180="NON",0)</f>
        <v>#N/A</v>
      </c>
      <c r="BF180" s="267">
        <f>Saisie!AV180</f>
        <v>0</v>
      </c>
      <c r="BG180" s="55">
        <f>Saisie!AW180</f>
        <v>0</v>
      </c>
      <c r="BH180" s="55" t="e">
        <f t="array" ref="BH180">_xlfn.IFS(Saisie!AX180="OUI",1,Saisie!AX180="NON",0)</f>
        <v>#N/A</v>
      </c>
      <c r="BI180" s="62">
        <f>Saisie!AY180</f>
        <v>0</v>
      </c>
      <c r="BJ180" s="55" t="e">
        <f t="array" ref="BJ180">_xlfn.IFS(Saisie!AZ180="OUI",1,Saisie!AZ180="NON",0)</f>
        <v>#N/A</v>
      </c>
      <c r="BK180" s="55" t="e">
        <f t="array" ref="BK180">_xlfn.IFS(Saisie!BA180="OUI",1,Saisie!BA180="NON",0)</f>
        <v>#N/A</v>
      </c>
      <c r="BL180" s="55">
        <f>Saisie!BB180</f>
        <v>0</v>
      </c>
      <c r="BM180" s="49" t="e">
        <f>Saisie!BC180</f>
        <v>#REF!</v>
      </c>
      <c r="BN180" s="175"/>
    </row>
    <row r="181" spans="1:66" s="176" customFormat="1" x14ac:dyDescent="0.45">
      <c r="A181" s="12">
        <v>175</v>
      </c>
      <c r="B181" s="150">
        <f>Saisie!B181</f>
        <v>0</v>
      </c>
      <c r="C181" s="150">
        <f>Saisie!C181</f>
        <v>0</v>
      </c>
      <c r="D181" s="150">
        <f>Saisie!D181</f>
        <v>0</v>
      </c>
      <c r="E181" s="150">
        <f>Saisie!E181</f>
        <v>0</v>
      </c>
      <c r="F181" s="150">
        <f>Saisie!F181</f>
        <v>0</v>
      </c>
      <c r="G181" s="150">
        <f>Saisie!G181</f>
        <v>0</v>
      </c>
      <c r="H181" s="150">
        <f>Saisie!I181</f>
        <v>0</v>
      </c>
      <c r="I181" s="150">
        <f>Saisie!J181</f>
        <v>0</v>
      </c>
      <c r="J181" s="150">
        <f>Saisie!K181</f>
        <v>0</v>
      </c>
      <c r="K181" s="150">
        <f>Saisie!L181</f>
        <v>0</v>
      </c>
      <c r="L181" s="150" t="e">
        <f>Saisie!#REF!</f>
        <v>#REF!</v>
      </c>
      <c r="M181" s="55" t="e">
        <f t="array" ref="M181">_xlfn.IFS(Saisie!M181="OUI",1,Saisie!M181="NON",0)</f>
        <v>#N/A</v>
      </c>
      <c r="N181" s="64" t="e">
        <f>Saisie!#REF!</f>
        <v>#REF!</v>
      </c>
      <c r="O181" s="63" t="e">
        <f>Saisie!#REF!</f>
        <v>#REF!</v>
      </c>
      <c r="P181" s="63">
        <f>Saisie!N181</f>
        <v>0</v>
      </c>
      <c r="Q181" s="63" t="e">
        <f t="array" ref="Q181">_xlfn.IFS(Saisie!#REF!="OUI",1,Saisie!#REF!="NON",0)</f>
        <v>#REF!</v>
      </c>
      <c r="R181" s="63" t="e">
        <f>Saisie!#REF!</f>
        <v>#REF!</v>
      </c>
      <c r="S181" s="65" t="e">
        <f>Saisie!#REF!</f>
        <v>#REF!</v>
      </c>
      <c r="T181" s="63" t="e">
        <f>Saisie!#REF!</f>
        <v>#REF!</v>
      </c>
      <c r="U181" s="63" t="e">
        <f>Saisie!#REF!</f>
        <v>#REF!</v>
      </c>
      <c r="V181" s="63" t="e">
        <f t="array" ref="V181">_xlfn.IFS(Saisie!#REF!="OUI",1,Saisie!#REF!="NON",0)</f>
        <v>#REF!</v>
      </c>
      <c r="W181" s="63" t="e">
        <f t="array" ref="W181">_xlfn.IFS(Saisie!O181="OUI",1,Saisie!O181="NON",0)</f>
        <v>#N/A</v>
      </c>
      <c r="X181" s="63">
        <f>Saisie!P181</f>
        <v>0</v>
      </c>
      <c r="Y181" s="299">
        <f>Saisie!H181</f>
        <v>0</v>
      </c>
      <c r="Z181" s="58" t="e">
        <f>Saisie!#REF!</f>
        <v>#REF!</v>
      </c>
      <c r="AA181" s="299">
        <f>Saisie!Q181</f>
        <v>0</v>
      </c>
      <c r="AB181" s="63" t="e">
        <f t="array" ref="AB181">_xlfn.IFS(Saisie!R181="OUI",1,Saisie!R181="NON",0)</f>
        <v>#N/A</v>
      </c>
      <c r="AC181" s="63">
        <f>Saisie!S181</f>
        <v>0</v>
      </c>
      <c r="AD181" s="63" t="e">
        <f t="array" ref="AD181">_xlfn.IFS(Saisie!T181="OUI",1,Saisie!T181="NON",0)</f>
        <v>#N/A</v>
      </c>
      <c r="AE181" s="171">
        <f>Saisie!U181</f>
        <v>0</v>
      </c>
      <c r="AF181" s="262">
        <v>3</v>
      </c>
      <c r="AG181" s="129">
        <f>Saisie!W181</f>
        <v>0</v>
      </c>
      <c r="AH181" s="20">
        <f>Saisie!X181</f>
        <v>0</v>
      </c>
      <c r="AI181" s="21">
        <f>Saisie!Y181</f>
        <v>0</v>
      </c>
      <c r="AJ181" s="59">
        <f>Saisie!Z181</f>
        <v>0</v>
      </c>
      <c r="AK181" s="20">
        <f>Saisie!AA181</f>
        <v>0</v>
      </c>
      <c r="AL181" s="21">
        <f>Saisie!AB181</f>
        <v>0</v>
      </c>
      <c r="AM181" s="59">
        <f>Saisie!AC181</f>
        <v>0</v>
      </c>
      <c r="AN181" s="20">
        <f>Saisie!AD181</f>
        <v>0</v>
      </c>
      <c r="AO181" s="21">
        <f>Saisie!AE181</f>
        <v>0</v>
      </c>
      <c r="AP181" s="59">
        <f>Saisie!AF181</f>
        <v>0</v>
      </c>
      <c r="AQ181" s="129" t="e">
        <f t="array" ref="AQ181">_xlfn.IFS(Saisie!AG181="OUI",1,Saisie!AG181="NON",0)</f>
        <v>#N/A</v>
      </c>
      <c r="AR181" s="129" t="e">
        <f t="array" ref="AR181">_xlfn.IFS(Saisie!AH181="OUI",1,Saisie!AH181="NON",0)</f>
        <v>#N/A</v>
      </c>
      <c r="AS181" s="171">
        <f>Saisie!AI181</f>
        <v>0</v>
      </c>
      <c r="AT181" s="263" t="e">
        <f t="array" ref="AT181">_xlfn.IFS(Saisie!AJ181="OUI",1,Saisie!AJ181="NON",0)</f>
        <v>#N/A</v>
      </c>
      <c r="AU181" s="173">
        <f>Saisie!AK181</f>
        <v>0</v>
      </c>
      <c r="AV181" s="263" t="e">
        <f t="array" ref="AV181">_xlfn.IFS(Saisie!AL181="OUI",1,Saisie!AL181="NON",0)</f>
        <v>#N/A</v>
      </c>
      <c r="AW181" s="171">
        <f>Saisie!AM181</f>
        <v>0</v>
      </c>
      <c r="AX181" s="68">
        <f>Saisie!AN181</f>
        <v>0</v>
      </c>
      <c r="AY181" s="20">
        <f>Saisie!AO181</f>
        <v>0</v>
      </c>
      <c r="AZ181" s="21">
        <f>Saisie!AP181</f>
        <v>0</v>
      </c>
      <c r="BA181" s="298">
        <f>Saisie!AQ181</f>
        <v>0</v>
      </c>
      <c r="BB181" s="170">
        <f>Saisie!AR181</f>
        <v>0</v>
      </c>
      <c r="BC181" s="174">
        <f>Saisie!AS181</f>
        <v>0</v>
      </c>
      <c r="BD181" s="61">
        <f>Saisie!AT181</f>
        <v>0</v>
      </c>
      <c r="BE181" s="175" t="e">
        <f t="array" ref="BE181">_xlfn.IFS(Saisie!AU181="OUI",1,Saisie!AU181="NON",0)</f>
        <v>#N/A</v>
      </c>
      <c r="BF181" s="267">
        <f>Saisie!AV181</f>
        <v>0</v>
      </c>
      <c r="BG181" s="55">
        <f>Saisie!AW181</f>
        <v>0</v>
      </c>
      <c r="BH181" s="55" t="e">
        <f t="array" ref="BH181">_xlfn.IFS(Saisie!AX181="OUI",1,Saisie!AX181="NON",0)</f>
        <v>#N/A</v>
      </c>
      <c r="BI181" s="62">
        <f>Saisie!AY181</f>
        <v>0</v>
      </c>
      <c r="BJ181" s="55" t="e">
        <f t="array" ref="BJ181">_xlfn.IFS(Saisie!AZ181="OUI",1,Saisie!AZ181="NON",0)</f>
        <v>#N/A</v>
      </c>
      <c r="BK181" s="55" t="e">
        <f t="array" ref="BK181">_xlfn.IFS(Saisie!BA181="OUI",1,Saisie!BA181="NON",0)</f>
        <v>#N/A</v>
      </c>
      <c r="BL181" s="55">
        <f>Saisie!BB181</f>
        <v>0</v>
      </c>
      <c r="BM181" s="49" t="e">
        <f>Saisie!BC181</f>
        <v>#REF!</v>
      </c>
      <c r="BN181" s="175"/>
    </row>
    <row r="182" spans="1:66" s="176" customFormat="1" x14ac:dyDescent="0.45">
      <c r="A182" s="13">
        <v>176</v>
      </c>
      <c r="B182" s="150">
        <f>Saisie!B182</f>
        <v>0</v>
      </c>
      <c r="C182" s="150">
        <f>Saisie!C182</f>
        <v>0</v>
      </c>
      <c r="D182" s="150">
        <f>Saisie!D182</f>
        <v>0</v>
      </c>
      <c r="E182" s="150">
        <f>Saisie!E182</f>
        <v>0</v>
      </c>
      <c r="F182" s="150">
        <f>Saisie!F182</f>
        <v>0</v>
      </c>
      <c r="G182" s="150">
        <f>Saisie!G182</f>
        <v>0</v>
      </c>
      <c r="H182" s="150">
        <f>Saisie!I182</f>
        <v>0</v>
      </c>
      <c r="I182" s="150">
        <f>Saisie!J182</f>
        <v>0</v>
      </c>
      <c r="J182" s="150">
        <f>Saisie!K182</f>
        <v>0</v>
      </c>
      <c r="K182" s="150">
        <f>Saisie!L182</f>
        <v>0</v>
      </c>
      <c r="L182" s="150" t="e">
        <f>Saisie!#REF!</f>
        <v>#REF!</v>
      </c>
      <c r="M182" s="55" t="e">
        <f t="array" ref="M182">_xlfn.IFS(Saisie!M182="OUI",1,Saisie!M182="NON",0)</f>
        <v>#N/A</v>
      </c>
      <c r="N182" s="64" t="e">
        <f>Saisie!#REF!</f>
        <v>#REF!</v>
      </c>
      <c r="O182" s="63" t="e">
        <f>Saisie!#REF!</f>
        <v>#REF!</v>
      </c>
      <c r="P182" s="63">
        <f>Saisie!N182</f>
        <v>0</v>
      </c>
      <c r="Q182" s="63" t="e">
        <f t="array" ref="Q182">_xlfn.IFS(Saisie!#REF!="OUI",1,Saisie!#REF!="NON",0)</f>
        <v>#REF!</v>
      </c>
      <c r="R182" s="63" t="e">
        <f>Saisie!#REF!</f>
        <v>#REF!</v>
      </c>
      <c r="S182" s="65" t="e">
        <f>Saisie!#REF!</f>
        <v>#REF!</v>
      </c>
      <c r="T182" s="63" t="e">
        <f>Saisie!#REF!</f>
        <v>#REF!</v>
      </c>
      <c r="U182" s="63" t="e">
        <f>Saisie!#REF!</f>
        <v>#REF!</v>
      </c>
      <c r="V182" s="63" t="e">
        <f t="array" ref="V182">_xlfn.IFS(Saisie!#REF!="OUI",1,Saisie!#REF!="NON",0)</f>
        <v>#REF!</v>
      </c>
      <c r="W182" s="63" t="e">
        <f t="array" ref="W182">_xlfn.IFS(Saisie!O182="OUI",1,Saisie!O182="NON",0)</f>
        <v>#N/A</v>
      </c>
      <c r="X182" s="63">
        <f>Saisie!P182</f>
        <v>0</v>
      </c>
      <c r="Y182" s="299">
        <f>Saisie!H182</f>
        <v>0</v>
      </c>
      <c r="Z182" s="58" t="e">
        <f>Saisie!#REF!</f>
        <v>#REF!</v>
      </c>
      <c r="AA182" s="299">
        <f>Saisie!Q182</f>
        <v>0</v>
      </c>
      <c r="AB182" s="63" t="e">
        <f t="array" ref="AB182">_xlfn.IFS(Saisie!R182="OUI",1,Saisie!R182="NON",0)</f>
        <v>#N/A</v>
      </c>
      <c r="AC182" s="63">
        <f>Saisie!S182</f>
        <v>0</v>
      </c>
      <c r="AD182" s="63" t="e">
        <f t="array" ref="AD182">_xlfn.IFS(Saisie!T182="OUI",1,Saisie!T182="NON",0)</f>
        <v>#N/A</v>
      </c>
      <c r="AE182" s="171">
        <f>Saisie!U182</f>
        <v>0</v>
      </c>
      <c r="AF182" s="262">
        <v>3</v>
      </c>
      <c r="AG182" s="129">
        <f>Saisie!W182</f>
        <v>0</v>
      </c>
      <c r="AH182" s="20">
        <f>Saisie!X182</f>
        <v>0</v>
      </c>
      <c r="AI182" s="21">
        <f>Saisie!Y182</f>
        <v>0</v>
      </c>
      <c r="AJ182" s="59">
        <f>Saisie!Z182</f>
        <v>0</v>
      </c>
      <c r="AK182" s="20">
        <f>Saisie!AA182</f>
        <v>0</v>
      </c>
      <c r="AL182" s="21">
        <f>Saisie!AB182</f>
        <v>0</v>
      </c>
      <c r="AM182" s="59">
        <f>Saisie!AC182</f>
        <v>0</v>
      </c>
      <c r="AN182" s="20">
        <f>Saisie!AD182</f>
        <v>0</v>
      </c>
      <c r="AO182" s="21">
        <f>Saisie!AE182</f>
        <v>0</v>
      </c>
      <c r="AP182" s="59">
        <f>Saisie!AF182</f>
        <v>0</v>
      </c>
      <c r="AQ182" s="129" t="e">
        <f t="array" ref="AQ182">_xlfn.IFS(Saisie!AG182="OUI",1,Saisie!AG182="NON",0)</f>
        <v>#N/A</v>
      </c>
      <c r="AR182" s="129" t="e">
        <f t="array" ref="AR182">_xlfn.IFS(Saisie!AH182="OUI",1,Saisie!AH182="NON",0)</f>
        <v>#N/A</v>
      </c>
      <c r="AS182" s="171">
        <f>Saisie!AI182</f>
        <v>0</v>
      </c>
      <c r="AT182" s="263" t="e">
        <f t="array" ref="AT182">_xlfn.IFS(Saisie!AJ182="OUI",1,Saisie!AJ182="NON",0)</f>
        <v>#N/A</v>
      </c>
      <c r="AU182" s="173">
        <f>Saisie!AK182</f>
        <v>0</v>
      </c>
      <c r="AV182" s="263" t="e">
        <f t="array" ref="AV182">_xlfn.IFS(Saisie!AL182="OUI",1,Saisie!AL182="NON",0)</f>
        <v>#N/A</v>
      </c>
      <c r="AW182" s="171">
        <f>Saisie!AM182</f>
        <v>0</v>
      </c>
      <c r="AX182" s="68">
        <f>Saisie!AN182</f>
        <v>0</v>
      </c>
      <c r="AY182" s="20">
        <f>Saisie!AO182</f>
        <v>0</v>
      </c>
      <c r="AZ182" s="21">
        <f>Saisie!AP182</f>
        <v>0</v>
      </c>
      <c r="BA182" s="298">
        <f>Saisie!AQ182</f>
        <v>0</v>
      </c>
      <c r="BB182" s="170">
        <f>Saisie!AR182</f>
        <v>0</v>
      </c>
      <c r="BC182" s="174">
        <f>Saisie!AS182</f>
        <v>0</v>
      </c>
      <c r="BD182" s="61">
        <f>Saisie!AT182</f>
        <v>0</v>
      </c>
      <c r="BE182" s="175" t="e">
        <f t="array" ref="BE182">_xlfn.IFS(Saisie!AU182="OUI",1,Saisie!AU182="NON",0)</f>
        <v>#N/A</v>
      </c>
      <c r="BF182" s="267">
        <f>Saisie!AV182</f>
        <v>0</v>
      </c>
      <c r="BG182" s="55">
        <f>Saisie!AW182</f>
        <v>0</v>
      </c>
      <c r="BH182" s="55" t="e">
        <f t="array" ref="BH182">_xlfn.IFS(Saisie!AX182="OUI",1,Saisie!AX182="NON",0)</f>
        <v>#N/A</v>
      </c>
      <c r="BI182" s="62">
        <f>Saisie!AY182</f>
        <v>0</v>
      </c>
      <c r="BJ182" s="55" t="e">
        <f t="array" ref="BJ182">_xlfn.IFS(Saisie!AZ182="OUI",1,Saisie!AZ182="NON",0)</f>
        <v>#N/A</v>
      </c>
      <c r="BK182" s="55" t="e">
        <f t="array" ref="BK182">_xlfn.IFS(Saisie!BA182="OUI",1,Saisie!BA182="NON",0)</f>
        <v>#N/A</v>
      </c>
      <c r="BL182" s="55">
        <f>Saisie!BB182</f>
        <v>0</v>
      </c>
      <c r="BM182" s="49" t="e">
        <f>Saisie!BC182</f>
        <v>#REF!</v>
      </c>
      <c r="BN182" s="175"/>
    </row>
    <row r="183" spans="1:66" s="176" customFormat="1" x14ac:dyDescent="0.45">
      <c r="A183" s="13">
        <v>177</v>
      </c>
      <c r="B183" s="150">
        <f>Saisie!B183</f>
        <v>0</v>
      </c>
      <c r="C183" s="150">
        <f>Saisie!C183</f>
        <v>0</v>
      </c>
      <c r="D183" s="150">
        <f>Saisie!D183</f>
        <v>0</v>
      </c>
      <c r="E183" s="150">
        <f>Saisie!E183</f>
        <v>0</v>
      </c>
      <c r="F183" s="150">
        <f>Saisie!F183</f>
        <v>0</v>
      </c>
      <c r="G183" s="150">
        <f>Saisie!G183</f>
        <v>0</v>
      </c>
      <c r="H183" s="150">
        <f>Saisie!I183</f>
        <v>0</v>
      </c>
      <c r="I183" s="150">
        <f>Saisie!J183</f>
        <v>0</v>
      </c>
      <c r="J183" s="150">
        <f>Saisie!K183</f>
        <v>0</v>
      </c>
      <c r="K183" s="150">
        <f>Saisie!L183</f>
        <v>0</v>
      </c>
      <c r="L183" s="150" t="e">
        <f>Saisie!#REF!</f>
        <v>#REF!</v>
      </c>
      <c r="M183" s="55" t="e">
        <f t="array" ref="M183">_xlfn.IFS(Saisie!M183="OUI",1,Saisie!M183="NON",0)</f>
        <v>#N/A</v>
      </c>
      <c r="N183" s="64" t="e">
        <f>Saisie!#REF!</f>
        <v>#REF!</v>
      </c>
      <c r="O183" s="63" t="e">
        <f>Saisie!#REF!</f>
        <v>#REF!</v>
      </c>
      <c r="P183" s="63">
        <f>Saisie!N183</f>
        <v>0</v>
      </c>
      <c r="Q183" s="63" t="e">
        <f t="array" ref="Q183">_xlfn.IFS(Saisie!#REF!="OUI",1,Saisie!#REF!="NON",0)</f>
        <v>#REF!</v>
      </c>
      <c r="R183" s="63" t="e">
        <f>Saisie!#REF!</f>
        <v>#REF!</v>
      </c>
      <c r="S183" s="65" t="e">
        <f>Saisie!#REF!</f>
        <v>#REF!</v>
      </c>
      <c r="T183" s="63" t="e">
        <f>Saisie!#REF!</f>
        <v>#REF!</v>
      </c>
      <c r="U183" s="63" t="e">
        <f>Saisie!#REF!</f>
        <v>#REF!</v>
      </c>
      <c r="V183" s="63" t="e">
        <f t="array" ref="V183">_xlfn.IFS(Saisie!#REF!="OUI",1,Saisie!#REF!="NON",0)</f>
        <v>#REF!</v>
      </c>
      <c r="W183" s="63" t="e">
        <f t="array" ref="W183">_xlfn.IFS(Saisie!O183="OUI",1,Saisie!O183="NON",0)</f>
        <v>#N/A</v>
      </c>
      <c r="X183" s="63">
        <f>Saisie!P183</f>
        <v>0</v>
      </c>
      <c r="Y183" s="299">
        <f>Saisie!H183</f>
        <v>0</v>
      </c>
      <c r="Z183" s="58" t="e">
        <f>Saisie!#REF!</f>
        <v>#REF!</v>
      </c>
      <c r="AA183" s="299">
        <f>Saisie!Q183</f>
        <v>0</v>
      </c>
      <c r="AB183" s="63" t="e">
        <f t="array" ref="AB183">_xlfn.IFS(Saisie!R183="OUI",1,Saisie!R183="NON",0)</f>
        <v>#N/A</v>
      </c>
      <c r="AC183" s="63">
        <f>Saisie!S183</f>
        <v>0</v>
      </c>
      <c r="AD183" s="63" t="e">
        <f t="array" ref="AD183">_xlfn.IFS(Saisie!T183="OUI",1,Saisie!T183="NON",0)</f>
        <v>#N/A</v>
      </c>
      <c r="AE183" s="171">
        <f>Saisie!U183</f>
        <v>0</v>
      </c>
      <c r="AF183" s="262">
        <v>3</v>
      </c>
      <c r="AG183" s="129">
        <f>Saisie!W183</f>
        <v>0</v>
      </c>
      <c r="AH183" s="20">
        <f>Saisie!X183</f>
        <v>0</v>
      </c>
      <c r="AI183" s="21">
        <f>Saisie!Y183</f>
        <v>0</v>
      </c>
      <c r="AJ183" s="59">
        <f>Saisie!Z183</f>
        <v>0</v>
      </c>
      <c r="AK183" s="20">
        <f>Saisie!AA183</f>
        <v>0</v>
      </c>
      <c r="AL183" s="21">
        <f>Saisie!AB183</f>
        <v>0</v>
      </c>
      <c r="AM183" s="59">
        <f>Saisie!AC183</f>
        <v>0</v>
      </c>
      <c r="AN183" s="20">
        <f>Saisie!AD183</f>
        <v>0</v>
      </c>
      <c r="AO183" s="21">
        <f>Saisie!AE183</f>
        <v>0</v>
      </c>
      <c r="AP183" s="59">
        <f>Saisie!AF183</f>
        <v>0</v>
      </c>
      <c r="AQ183" s="129" t="e">
        <f t="array" ref="AQ183">_xlfn.IFS(Saisie!AG183="OUI",1,Saisie!AG183="NON",0)</f>
        <v>#N/A</v>
      </c>
      <c r="AR183" s="129" t="e">
        <f t="array" ref="AR183">_xlfn.IFS(Saisie!AH183="OUI",1,Saisie!AH183="NON",0)</f>
        <v>#N/A</v>
      </c>
      <c r="AS183" s="171">
        <f>Saisie!AI183</f>
        <v>0</v>
      </c>
      <c r="AT183" s="263" t="e">
        <f t="array" ref="AT183">_xlfn.IFS(Saisie!AJ183="OUI",1,Saisie!AJ183="NON",0)</f>
        <v>#N/A</v>
      </c>
      <c r="AU183" s="173">
        <f>Saisie!AK183</f>
        <v>0</v>
      </c>
      <c r="AV183" s="263" t="e">
        <f t="array" ref="AV183">_xlfn.IFS(Saisie!AL183="OUI",1,Saisie!AL183="NON",0)</f>
        <v>#N/A</v>
      </c>
      <c r="AW183" s="171">
        <f>Saisie!AM183</f>
        <v>0</v>
      </c>
      <c r="AX183" s="68">
        <f>Saisie!AN183</f>
        <v>0</v>
      </c>
      <c r="AY183" s="20">
        <f>Saisie!AO183</f>
        <v>0</v>
      </c>
      <c r="AZ183" s="21">
        <f>Saisie!AP183</f>
        <v>0</v>
      </c>
      <c r="BA183" s="298">
        <f>Saisie!AQ183</f>
        <v>0</v>
      </c>
      <c r="BB183" s="170">
        <f>Saisie!AR183</f>
        <v>0</v>
      </c>
      <c r="BC183" s="174">
        <f>Saisie!AS183</f>
        <v>0</v>
      </c>
      <c r="BD183" s="61">
        <f>Saisie!AT183</f>
        <v>0</v>
      </c>
      <c r="BE183" s="175" t="e">
        <f t="array" ref="BE183">_xlfn.IFS(Saisie!AU183="OUI",1,Saisie!AU183="NON",0)</f>
        <v>#N/A</v>
      </c>
      <c r="BF183" s="267">
        <f>Saisie!AV183</f>
        <v>0</v>
      </c>
      <c r="BG183" s="55">
        <f>Saisie!AW183</f>
        <v>0</v>
      </c>
      <c r="BH183" s="55" t="e">
        <f t="array" ref="BH183">_xlfn.IFS(Saisie!AX183="OUI",1,Saisie!AX183="NON",0)</f>
        <v>#N/A</v>
      </c>
      <c r="BI183" s="62">
        <f>Saisie!AY183</f>
        <v>0</v>
      </c>
      <c r="BJ183" s="55" t="e">
        <f t="array" ref="BJ183">_xlfn.IFS(Saisie!AZ183="OUI",1,Saisie!AZ183="NON",0)</f>
        <v>#N/A</v>
      </c>
      <c r="BK183" s="55" t="e">
        <f t="array" ref="BK183">_xlfn.IFS(Saisie!BA183="OUI",1,Saisie!BA183="NON",0)</f>
        <v>#N/A</v>
      </c>
      <c r="BL183" s="55">
        <f>Saisie!BB183</f>
        <v>0</v>
      </c>
      <c r="BM183" s="49" t="e">
        <f>Saisie!BC183</f>
        <v>#REF!</v>
      </c>
      <c r="BN183" s="175"/>
    </row>
    <row r="184" spans="1:66" s="176" customFormat="1" x14ac:dyDescent="0.45">
      <c r="A184" s="12">
        <v>178</v>
      </c>
      <c r="B184" s="150">
        <f>Saisie!B184</f>
        <v>0</v>
      </c>
      <c r="C184" s="150">
        <f>Saisie!C184</f>
        <v>0</v>
      </c>
      <c r="D184" s="150">
        <f>Saisie!D184</f>
        <v>0</v>
      </c>
      <c r="E184" s="150">
        <f>Saisie!E184</f>
        <v>0</v>
      </c>
      <c r="F184" s="150">
        <f>Saisie!F184</f>
        <v>0</v>
      </c>
      <c r="G184" s="150">
        <f>Saisie!G184</f>
        <v>0</v>
      </c>
      <c r="H184" s="150">
        <f>Saisie!I184</f>
        <v>0</v>
      </c>
      <c r="I184" s="150">
        <f>Saisie!J184</f>
        <v>0</v>
      </c>
      <c r="J184" s="150">
        <f>Saisie!K184</f>
        <v>0</v>
      </c>
      <c r="K184" s="150">
        <f>Saisie!L184</f>
        <v>0</v>
      </c>
      <c r="L184" s="150" t="e">
        <f>Saisie!#REF!</f>
        <v>#REF!</v>
      </c>
      <c r="M184" s="55" t="e">
        <f t="array" ref="M184">_xlfn.IFS(Saisie!M184="OUI",1,Saisie!M184="NON",0)</f>
        <v>#N/A</v>
      </c>
      <c r="N184" s="64" t="e">
        <f>Saisie!#REF!</f>
        <v>#REF!</v>
      </c>
      <c r="O184" s="63" t="e">
        <f>Saisie!#REF!</f>
        <v>#REF!</v>
      </c>
      <c r="P184" s="63">
        <f>Saisie!N184</f>
        <v>0</v>
      </c>
      <c r="Q184" s="63" t="e">
        <f t="array" ref="Q184">_xlfn.IFS(Saisie!#REF!="OUI",1,Saisie!#REF!="NON",0)</f>
        <v>#REF!</v>
      </c>
      <c r="R184" s="63" t="e">
        <f>Saisie!#REF!</f>
        <v>#REF!</v>
      </c>
      <c r="S184" s="65" t="e">
        <f>Saisie!#REF!</f>
        <v>#REF!</v>
      </c>
      <c r="T184" s="63" t="e">
        <f>Saisie!#REF!</f>
        <v>#REF!</v>
      </c>
      <c r="U184" s="63" t="e">
        <f>Saisie!#REF!</f>
        <v>#REF!</v>
      </c>
      <c r="V184" s="63" t="e">
        <f t="array" ref="V184">_xlfn.IFS(Saisie!#REF!="OUI",1,Saisie!#REF!="NON",0)</f>
        <v>#REF!</v>
      </c>
      <c r="W184" s="63" t="e">
        <f t="array" ref="W184">_xlfn.IFS(Saisie!O184="OUI",1,Saisie!O184="NON",0)</f>
        <v>#N/A</v>
      </c>
      <c r="X184" s="63">
        <f>Saisie!P184</f>
        <v>0</v>
      </c>
      <c r="Y184" s="299">
        <f>Saisie!H184</f>
        <v>0</v>
      </c>
      <c r="Z184" s="58" t="e">
        <f>Saisie!#REF!</f>
        <v>#REF!</v>
      </c>
      <c r="AA184" s="299">
        <f>Saisie!Q184</f>
        <v>0</v>
      </c>
      <c r="AB184" s="63" t="e">
        <f t="array" ref="AB184">_xlfn.IFS(Saisie!R184="OUI",1,Saisie!R184="NON",0)</f>
        <v>#N/A</v>
      </c>
      <c r="AC184" s="63">
        <f>Saisie!S184</f>
        <v>0</v>
      </c>
      <c r="AD184" s="63" t="e">
        <f t="array" ref="AD184">_xlfn.IFS(Saisie!T184="OUI",1,Saisie!T184="NON",0)</f>
        <v>#N/A</v>
      </c>
      <c r="AE184" s="171">
        <f>Saisie!U184</f>
        <v>0</v>
      </c>
      <c r="AF184" s="262">
        <v>3</v>
      </c>
      <c r="AG184" s="129">
        <f>Saisie!W184</f>
        <v>0</v>
      </c>
      <c r="AH184" s="20">
        <f>Saisie!X184</f>
        <v>0</v>
      </c>
      <c r="AI184" s="21">
        <f>Saisie!Y184</f>
        <v>0</v>
      </c>
      <c r="AJ184" s="59">
        <f>Saisie!Z184</f>
        <v>0</v>
      </c>
      <c r="AK184" s="20">
        <f>Saisie!AA184</f>
        <v>0</v>
      </c>
      <c r="AL184" s="21">
        <f>Saisie!AB184</f>
        <v>0</v>
      </c>
      <c r="AM184" s="59">
        <f>Saisie!AC184</f>
        <v>0</v>
      </c>
      <c r="AN184" s="20">
        <f>Saisie!AD184</f>
        <v>0</v>
      </c>
      <c r="AO184" s="21">
        <f>Saisie!AE184</f>
        <v>0</v>
      </c>
      <c r="AP184" s="59">
        <f>Saisie!AF184</f>
        <v>0</v>
      </c>
      <c r="AQ184" s="129" t="e">
        <f t="array" ref="AQ184">_xlfn.IFS(Saisie!AG184="OUI",1,Saisie!AG184="NON",0)</f>
        <v>#N/A</v>
      </c>
      <c r="AR184" s="129" t="e">
        <f t="array" ref="AR184">_xlfn.IFS(Saisie!AH184="OUI",1,Saisie!AH184="NON",0)</f>
        <v>#N/A</v>
      </c>
      <c r="AS184" s="171">
        <f>Saisie!AI184</f>
        <v>0</v>
      </c>
      <c r="AT184" s="263" t="e">
        <f t="array" ref="AT184">_xlfn.IFS(Saisie!AJ184="OUI",1,Saisie!AJ184="NON",0)</f>
        <v>#N/A</v>
      </c>
      <c r="AU184" s="173">
        <f>Saisie!AK184</f>
        <v>0</v>
      </c>
      <c r="AV184" s="263" t="e">
        <f t="array" ref="AV184">_xlfn.IFS(Saisie!AL184="OUI",1,Saisie!AL184="NON",0)</f>
        <v>#N/A</v>
      </c>
      <c r="AW184" s="171">
        <f>Saisie!AM184</f>
        <v>0</v>
      </c>
      <c r="AX184" s="68">
        <f>Saisie!AN184</f>
        <v>0</v>
      </c>
      <c r="AY184" s="20">
        <f>Saisie!AO184</f>
        <v>0</v>
      </c>
      <c r="AZ184" s="21">
        <f>Saisie!AP184</f>
        <v>0</v>
      </c>
      <c r="BA184" s="298">
        <f>Saisie!AQ184</f>
        <v>0</v>
      </c>
      <c r="BB184" s="170">
        <f>Saisie!AR184</f>
        <v>0</v>
      </c>
      <c r="BC184" s="174">
        <f>Saisie!AS184</f>
        <v>0</v>
      </c>
      <c r="BD184" s="61">
        <f>Saisie!AT184</f>
        <v>0</v>
      </c>
      <c r="BE184" s="175" t="e">
        <f t="array" ref="BE184">_xlfn.IFS(Saisie!AU184="OUI",1,Saisie!AU184="NON",0)</f>
        <v>#N/A</v>
      </c>
      <c r="BF184" s="267">
        <f>Saisie!AV184</f>
        <v>0</v>
      </c>
      <c r="BG184" s="55">
        <f>Saisie!AW184</f>
        <v>0</v>
      </c>
      <c r="BH184" s="55" t="e">
        <f t="array" ref="BH184">_xlfn.IFS(Saisie!AX184="OUI",1,Saisie!AX184="NON",0)</f>
        <v>#N/A</v>
      </c>
      <c r="BI184" s="62">
        <f>Saisie!AY184</f>
        <v>0</v>
      </c>
      <c r="BJ184" s="55" t="e">
        <f t="array" ref="BJ184">_xlfn.IFS(Saisie!AZ184="OUI",1,Saisie!AZ184="NON",0)</f>
        <v>#N/A</v>
      </c>
      <c r="BK184" s="55" t="e">
        <f t="array" ref="BK184">_xlfn.IFS(Saisie!BA184="OUI",1,Saisie!BA184="NON",0)</f>
        <v>#N/A</v>
      </c>
      <c r="BL184" s="55">
        <f>Saisie!BB184</f>
        <v>0</v>
      </c>
      <c r="BM184" s="49" t="e">
        <f>Saisie!BC184</f>
        <v>#REF!</v>
      </c>
      <c r="BN184" s="175"/>
    </row>
    <row r="185" spans="1:66" s="176" customFormat="1" x14ac:dyDescent="0.45">
      <c r="A185" s="13">
        <v>179</v>
      </c>
      <c r="B185" s="150">
        <f>Saisie!B185</f>
        <v>0</v>
      </c>
      <c r="C185" s="150">
        <f>Saisie!C185</f>
        <v>0</v>
      </c>
      <c r="D185" s="150">
        <f>Saisie!D185</f>
        <v>0</v>
      </c>
      <c r="E185" s="150">
        <f>Saisie!E185</f>
        <v>0</v>
      </c>
      <c r="F185" s="150">
        <f>Saisie!F185</f>
        <v>0</v>
      </c>
      <c r="G185" s="150">
        <f>Saisie!G185</f>
        <v>0</v>
      </c>
      <c r="H185" s="150">
        <f>Saisie!I185</f>
        <v>0</v>
      </c>
      <c r="I185" s="150">
        <f>Saisie!J185</f>
        <v>0</v>
      </c>
      <c r="J185" s="150">
        <f>Saisie!K185</f>
        <v>0</v>
      </c>
      <c r="K185" s="150">
        <f>Saisie!L185</f>
        <v>0</v>
      </c>
      <c r="L185" s="150" t="e">
        <f>Saisie!#REF!</f>
        <v>#REF!</v>
      </c>
      <c r="M185" s="55" t="e">
        <f t="array" ref="M185">_xlfn.IFS(Saisie!M185="OUI",1,Saisie!M185="NON",0)</f>
        <v>#N/A</v>
      </c>
      <c r="N185" s="64" t="e">
        <f>Saisie!#REF!</f>
        <v>#REF!</v>
      </c>
      <c r="O185" s="63" t="e">
        <f>Saisie!#REF!</f>
        <v>#REF!</v>
      </c>
      <c r="P185" s="63">
        <f>Saisie!N185</f>
        <v>0</v>
      </c>
      <c r="Q185" s="63" t="e">
        <f t="array" ref="Q185">_xlfn.IFS(Saisie!#REF!="OUI",1,Saisie!#REF!="NON",0)</f>
        <v>#REF!</v>
      </c>
      <c r="R185" s="63" t="e">
        <f>Saisie!#REF!</f>
        <v>#REF!</v>
      </c>
      <c r="S185" s="65" t="e">
        <f>Saisie!#REF!</f>
        <v>#REF!</v>
      </c>
      <c r="T185" s="63" t="e">
        <f>Saisie!#REF!</f>
        <v>#REF!</v>
      </c>
      <c r="U185" s="63" t="e">
        <f>Saisie!#REF!</f>
        <v>#REF!</v>
      </c>
      <c r="V185" s="63" t="e">
        <f t="array" ref="V185">_xlfn.IFS(Saisie!#REF!="OUI",1,Saisie!#REF!="NON",0)</f>
        <v>#REF!</v>
      </c>
      <c r="W185" s="63" t="e">
        <f t="array" ref="W185">_xlfn.IFS(Saisie!O185="OUI",1,Saisie!O185="NON",0)</f>
        <v>#N/A</v>
      </c>
      <c r="X185" s="63">
        <f>Saisie!P185</f>
        <v>0</v>
      </c>
      <c r="Y185" s="299">
        <f>Saisie!H185</f>
        <v>0</v>
      </c>
      <c r="Z185" s="58" t="e">
        <f>Saisie!#REF!</f>
        <v>#REF!</v>
      </c>
      <c r="AA185" s="299">
        <f>Saisie!Q185</f>
        <v>0</v>
      </c>
      <c r="AB185" s="63" t="e">
        <f t="array" ref="AB185">_xlfn.IFS(Saisie!R185="OUI",1,Saisie!R185="NON",0)</f>
        <v>#N/A</v>
      </c>
      <c r="AC185" s="63">
        <f>Saisie!S185</f>
        <v>0</v>
      </c>
      <c r="AD185" s="63" t="e">
        <f t="array" ref="AD185">_xlfn.IFS(Saisie!T185="OUI",1,Saisie!T185="NON",0)</f>
        <v>#N/A</v>
      </c>
      <c r="AE185" s="171">
        <f>Saisie!U185</f>
        <v>0</v>
      </c>
      <c r="AF185" s="262">
        <v>3</v>
      </c>
      <c r="AG185" s="129">
        <f>Saisie!W185</f>
        <v>0</v>
      </c>
      <c r="AH185" s="20">
        <f>Saisie!X185</f>
        <v>0</v>
      </c>
      <c r="AI185" s="21">
        <f>Saisie!Y185</f>
        <v>0</v>
      </c>
      <c r="AJ185" s="59">
        <f>Saisie!Z185</f>
        <v>0</v>
      </c>
      <c r="AK185" s="20">
        <f>Saisie!AA185</f>
        <v>0</v>
      </c>
      <c r="AL185" s="21">
        <f>Saisie!AB185</f>
        <v>0</v>
      </c>
      <c r="AM185" s="59">
        <f>Saisie!AC185</f>
        <v>0</v>
      </c>
      <c r="AN185" s="20">
        <f>Saisie!AD185</f>
        <v>0</v>
      </c>
      <c r="AO185" s="21">
        <f>Saisie!AE185</f>
        <v>0</v>
      </c>
      <c r="AP185" s="59">
        <f>Saisie!AF185</f>
        <v>0</v>
      </c>
      <c r="AQ185" s="129" t="e">
        <f t="array" ref="AQ185">_xlfn.IFS(Saisie!AG185="OUI",1,Saisie!AG185="NON",0)</f>
        <v>#N/A</v>
      </c>
      <c r="AR185" s="129" t="e">
        <f t="array" ref="AR185">_xlfn.IFS(Saisie!AH185="OUI",1,Saisie!AH185="NON",0)</f>
        <v>#N/A</v>
      </c>
      <c r="AS185" s="171">
        <f>Saisie!AI185</f>
        <v>0</v>
      </c>
      <c r="AT185" s="263" t="e">
        <f t="array" ref="AT185">_xlfn.IFS(Saisie!AJ185="OUI",1,Saisie!AJ185="NON",0)</f>
        <v>#N/A</v>
      </c>
      <c r="AU185" s="173">
        <f>Saisie!AK185</f>
        <v>0</v>
      </c>
      <c r="AV185" s="263" t="e">
        <f t="array" ref="AV185">_xlfn.IFS(Saisie!AL185="OUI",1,Saisie!AL185="NON",0)</f>
        <v>#N/A</v>
      </c>
      <c r="AW185" s="171">
        <f>Saisie!AM185</f>
        <v>0</v>
      </c>
      <c r="AX185" s="68">
        <f>Saisie!AN185</f>
        <v>0</v>
      </c>
      <c r="AY185" s="20">
        <f>Saisie!AO185</f>
        <v>0</v>
      </c>
      <c r="AZ185" s="21">
        <f>Saisie!AP185</f>
        <v>0</v>
      </c>
      <c r="BA185" s="298">
        <f>Saisie!AQ185</f>
        <v>0</v>
      </c>
      <c r="BB185" s="170">
        <f>Saisie!AR185</f>
        <v>0</v>
      </c>
      <c r="BC185" s="174">
        <f>Saisie!AS185</f>
        <v>0</v>
      </c>
      <c r="BD185" s="61">
        <f>Saisie!AT185</f>
        <v>0</v>
      </c>
      <c r="BE185" s="175" t="e">
        <f t="array" ref="BE185">_xlfn.IFS(Saisie!AU185="OUI",1,Saisie!AU185="NON",0)</f>
        <v>#N/A</v>
      </c>
      <c r="BF185" s="267">
        <f>Saisie!AV185</f>
        <v>0</v>
      </c>
      <c r="BG185" s="55">
        <f>Saisie!AW185</f>
        <v>0</v>
      </c>
      <c r="BH185" s="55" t="e">
        <f t="array" ref="BH185">_xlfn.IFS(Saisie!AX185="OUI",1,Saisie!AX185="NON",0)</f>
        <v>#N/A</v>
      </c>
      <c r="BI185" s="62">
        <f>Saisie!AY185</f>
        <v>0</v>
      </c>
      <c r="BJ185" s="55" t="e">
        <f t="array" ref="BJ185">_xlfn.IFS(Saisie!AZ185="OUI",1,Saisie!AZ185="NON",0)</f>
        <v>#N/A</v>
      </c>
      <c r="BK185" s="55" t="e">
        <f t="array" ref="BK185">_xlfn.IFS(Saisie!BA185="OUI",1,Saisie!BA185="NON",0)</f>
        <v>#N/A</v>
      </c>
      <c r="BL185" s="55">
        <f>Saisie!BB185</f>
        <v>0</v>
      </c>
      <c r="BM185" s="49" t="e">
        <f>Saisie!BC185</f>
        <v>#REF!</v>
      </c>
      <c r="BN185" s="175"/>
    </row>
    <row r="186" spans="1:66" s="176" customFormat="1" x14ac:dyDescent="0.45">
      <c r="A186" s="13">
        <v>180</v>
      </c>
      <c r="B186" s="150">
        <f>Saisie!B186</f>
        <v>0</v>
      </c>
      <c r="C186" s="150">
        <f>Saisie!C186</f>
        <v>0</v>
      </c>
      <c r="D186" s="150">
        <f>Saisie!D186</f>
        <v>0</v>
      </c>
      <c r="E186" s="150">
        <f>Saisie!E186</f>
        <v>0</v>
      </c>
      <c r="F186" s="150">
        <f>Saisie!F186</f>
        <v>0</v>
      </c>
      <c r="G186" s="150">
        <f>Saisie!G186</f>
        <v>0</v>
      </c>
      <c r="H186" s="150">
        <f>Saisie!I186</f>
        <v>0</v>
      </c>
      <c r="I186" s="150">
        <f>Saisie!J186</f>
        <v>0</v>
      </c>
      <c r="J186" s="150">
        <f>Saisie!K186</f>
        <v>0</v>
      </c>
      <c r="K186" s="150">
        <f>Saisie!L186</f>
        <v>0</v>
      </c>
      <c r="L186" s="150" t="e">
        <f>Saisie!#REF!</f>
        <v>#REF!</v>
      </c>
      <c r="M186" s="55" t="e">
        <f t="array" ref="M186">_xlfn.IFS(Saisie!M186="OUI",1,Saisie!M186="NON",0)</f>
        <v>#N/A</v>
      </c>
      <c r="N186" s="64" t="e">
        <f>Saisie!#REF!</f>
        <v>#REF!</v>
      </c>
      <c r="O186" s="63" t="e">
        <f>Saisie!#REF!</f>
        <v>#REF!</v>
      </c>
      <c r="P186" s="63">
        <f>Saisie!N186</f>
        <v>0</v>
      </c>
      <c r="Q186" s="63" t="e">
        <f t="array" ref="Q186">_xlfn.IFS(Saisie!#REF!="OUI",1,Saisie!#REF!="NON",0)</f>
        <v>#REF!</v>
      </c>
      <c r="R186" s="63" t="e">
        <f>Saisie!#REF!</f>
        <v>#REF!</v>
      </c>
      <c r="S186" s="65" t="e">
        <f>Saisie!#REF!</f>
        <v>#REF!</v>
      </c>
      <c r="T186" s="63" t="e">
        <f>Saisie!#REF!</f>
        <v>#REF!</v>
      </c>
      <c r="U186" s="63" t="e">
        <f>Saisie!#REF!</f>
        <v>#REF!</v>
      </c>
      <c r="V186" s="63" t="e">
        <f t="array" ref="V186">_xlfn.IFS(Saisie!#REF!="OUI",1,Saisie!#REF!="NON",0)</f>
        <v>#REF!</v>
      </c>
      <c r="W186" s="63" t="e">
        <f t="array" ref="W186">_xlfn.IFS(Saisie!O186="OUI",1,Saisie!O186="NON",0)</f>
        <v>#N/A</v>
      </c>
      <c r="X186" s="63">
        <f>Saisie!P186</f>
        <v>0</v>
      </c>
      <c r="Y186" s="299">
        <f>Saisie!H186</f>
        <v>0</v>
      </c>
      <c r="Z186" s="58" t="e">
        <f>Saisie!#REF!</f>
        <v>#REF!</v>
      </c>
      <c r="AA186" s="299">
        <f>Saisie!Q186</f>
        <v>0</v>
      </c>
      <c r="AB186" s="63" t="e">
        <f t="array" ref="AB186">_xlfn.IFS(Saisie!R186="OUI",1,Saisie!R186="NON",0)</f>
        <v>#N/A</v>
      </c>
      <c r="AC186" s="63">
        <f>Saisie!S186</f>
        <v>0</v>
      </c>
      <c r="AD186" s="63" t="e">
        <f t="array" ref="AD186">_xlfn.IFS(Saisie!T186="OUI",1,Saisie!T186="NON",0)</f>
        <v>#N/A</v>
      </c>
      <c r="AE186" s="171">
        <f>Saisie!U186</f>
        <v>0</v>
      </c>
      <c r="AF186" s="262">
        <v>3</v>
      </c>
      <c r="AG186" s="129">
        <f>Saisie!W186</f>
        <v>0</v>
      </c>
      <c r="AH186" s="20">
        <f>Saisie!X186</f>
        <v>0</v>
      </c>
      <c r="AI186" s="21">
        <f>Saisie!Y186</f>
        <v>0</v>
      </c>
      <c r="AJ186" s="59">
        <f>Saisie!Z186</f>
        <v>0</v>
      </c>
      <c r="AK186" s="20">
        <f>Saisie!AA186</f>
        <v>0</v>
      </c>
      <c r="AL186" s="21">
        <f>Saisie!AB186</f>
        <v>0</v>
      </c>
      <c r="AM186" s="59">
        <f>Saisie!AC186</f>
        <v>0</v>
      </c>
      <c r="AN186" s="20">
        <f>Saisie!AD186</f>
        <v>0</v>
      </c>
      <c r="AO186" s="21">
        <f>Saisie!AE186</f>
        <v>0</v>
      </c>
      <c r="AP186" s="59">
        <f>Saisie!AF186</f>
        <v>0</v>
      </c>
      <c r="AQ186" s="129" t="e">
        <f t="array" ref="AQ186">_xlfn.IFS(Saisie!AG186="OUI",1,Saisie!AG186="NON",0)</f>
        <v>#N/A</v>
      </c>
      <c r="AR186" s="129" t="e">
        <f t="array" ref="AR186">_xlfn.IFS(Saisie!AH186="OUI",1,Saisie!AH186="NON",0)</f>
        <v>#N/A</v>
      </c>
      <c r="AS186" s="171">
        <f>Saisie!AI186</f>
        <v>0</v>
      </c>
      <c r="AT186" s="263" t="e">
        <f t="array" ref="AT186">_xlfn.IFS(Saisie!AJ186="OUI",1,Saisie!AJ186="NON",0)</f>
        <v>#N/A</v>
      </c>
      <c r="AU186" s="173">
        <f>Saisie!AK186</f>
        <v>0</v>
      </c>
      <c r="AV186" s="263" t="e">
        <f t="array" ref="AV186">_xlfn.IFS(Saisie!AL186="OUI",1,Saisie!AL186="NON",0)</f>
        <v>#N/A</v>
      </c>
      <c r="AW186" s="171">
        <f>Saisie!AM186</f>
        <v>0</v>
      </c>
      <c r="AX186" s="68">
        <f>Saisie!AN186</f>
        <v>0</v>
      </c>
      <c r="AY186" s="20">
        <f>Saisie!AO186</f>
        <v>0</v>
      </c>
      <c r="AZ186" s="21">
        <f>Saisie!AP186</f>
        <v>0</v>
      </c>
      <c r="BA186" s="298">
        <f>Saisie!AQ186</f>
        <v>0</v>
      </c>
      <c r="BB186" s="170">
        <f>Saisie!AR186</f>
        <v>0</v>
      </c>
      <c r="BC186" s="174">
        <f>Saisie!AS186</f>
        <v>0</v>
      </c>
      <c r="BD186" s="61">
        <f>Saisie!AT186</f>
        <v>0</v>
      </c>
      <c r="BE186" s="175" t="e">
        <f t="array" ref="BE186">_xlfn.IFS(Saisie!AU186="OUI",1,Saisie!AU186="NON",0)</f>
        <v>#N/A</v>
      </c>
      <c r="BF186" s="267">
        <f>Saisie!AV186</f>
        <v>0</v>
      </c>
      <c r="BG186" s="55">
        <f>Saisie!AW186</f>
        <v>0</v>
      </c>
      <c r="BH186" s="55" t="e">
        <f t="array" ref="BH186">_xlfn.IFS(Saisie!AX186="OUI",1,Saisie!AX186="NON",0)</f>
        <v>#N/A</v>
      </c>
      <c r="BI186" s="62">
        <f>Saisie!AY186</f>
        <v>0</v>
      </c>
      <c r="BJ186" s="55" t="e">
        <f t="array" ref="BJ186">_xlfn.IFS(Saisie!AZ186="OUI",1,Saisie!AZ186="NON",0)</f>
        <v>#N/A</v>
      </c>
      <c r="BK186" s="55" t="e">
        <f t="array" ref="BK186">_xlfn.IFS(Saisie!BA186="OUI",1,Saisie!BA186="NON",0)</f>
        <v>#N/A</v>
      </c>
      <c r="BL186" s="55">
        <f>Saisie!BB186</f>
        <v>0</v>
      </c>
      <c r="BM186" s="49" t="e">
        <f>Saisie!BC186</f>
        <v>#REF!</v>
      </c>
      <c r="BN186" s="175"/>
    </row>
    <row r="187" spans="1:66" s="176" customFormat="1" x14ac:dyDescent="0.45">
      <c r="A187" s="12">
        <v>181</v>
      </c>
      <c r="B187" s="150">
        <f>Saisie!B187</f>
        <v>0</v>
      </c>
      <c r="C187" s="150">
        <f>Saisie!C187</f>
        <v>0</v>
      </c>
      <c r="D187" s="150">
        <f>Saisie!D187</f>
        <v>0</v>
      </c>
      <c r="E187" s="150">
        <f>Saisie!E187</f>
        <v>0</v>
      </c>
      <c r="F187" s="150">
        <f>Saisie!F187</f>
        <v>0</v>
      </c>
      <c r="G187" s="150">
        <f>Saisie!G187</f>
        <v>0</v>
      </c>
      <c r="H187" s="150">
        <f>Saisie!I187</f>
        <v>0</v>
      </c>
      <c r="I187" s="150">
        <f>Saisie!J187</f>
        <v>0</v>
      </c>
      <c r="J187" s="150">
        <f>Saisie!K187</f>
        <v>0</v>
      </c>
      <c r="K187" s="150">
        <f>Saisie!L187</f>
        <v>0</v>
      </c>
      <c r="L187" s="150" t="e">
        <f>Saisie!#REF!</f>
        <v>#REF!</v>
      </c>
      <c r="M187" s="55" t="e">
        <f t="array" ref="M187">_xlfn.IFS(Saisie!M187="OUI",1,Saisie!M187="NON",0)</f>
        <v>#N/A</v>
      </c>
      <c r="N187" s="64" t="e">
        <f>Saisie!#REF!</f>
        <v>#REF!</v>
      </c>
      <c r="O187" s="63" t="e">
        <f>Saisie!#REF!</f>
        <v>#REF!</v>
      </c>
      <c r="P187" s="63">
        <f>Saisie!N187</f>
        <v>0</v>
      </c>
      <c r="Q187" s="63" t="e">
        <f t="array" ref="Q187">_xlfn.IFS(Saisie!#REF!="OUI",1,Saisie!#REF!="NON",0)</f>
        <v>#REF!</v>
      </c>
      <c r="R187" s="63" t="e">
        <f>Saisie!#REF!</f>
        <v>#REF!</v>
      </c>
      <c r="S187" s="65" t="e">
        <f>Saisie!#REF!</f>
        <v>#REF!</v>
      </c>
      <c r="T187" s="63" t="e">
        <f>Saisie!#REF!</f>
        <v>#REF!</v>
      </c>
      <c r="U187" s="63" t="e">
        <f>Saisie!#REF!</f>
        <v>#REF!</v>
      </c>
      <c r="V187" s="63" t="e">
        <f t="array" ref="V187">_xlfn.IFS(Saisie!#REF!="OUI",1,Saisie!#REF!="NON",0)</f>
        <v>#REF!</v>
      </c>
      <c r="W187" s="63" t="e">
        <f t="array" ref="W187">_xlfn.IFS(Saisie!O187="OUI",1,Saisie!O187="NON",0)</f>
        <v>#N/A</v>
      </c>
      <c r="X187" s="63">
        <f>Saisie!P187</f>
        <v>0</v>
      </c>
      <c r="Y187" s="299">
        <f>Saisie!H187</f>
        <v>0</v>
      </c>
      <c r="Z187" s="58" t="e">
        <f>Saisie!#REF!</f>
        <v>#REF!</v>
      </c>
      <c r="AA187" s="299">
        <f>Saisie!Q187</f>
        <v>0</v>
      </c>
      <c r="AB187" s="63" t="e">
        <f t="array" ref="AB187">_xlfn.IFS(Saisie!R187="OUI",1,Saisie!R187="NON",0)</f>
        <v>#N/A</v>
      </c>
      <c r="AC187" s="63">
        <f>Saisie!S187</f>
        <v>0</v>
      </c>
      <c r="AD187" s="63" t="e">
        <f t="array" ref="AD187">_xlfn.IFS(Saisie!T187="OUI",1,Saisie!T187="NON",0)</f>
        <v>#N/A</v>
      </c>
      <c r="AE187" s="171">
        <f>Saisie!U187</f>
        <v>0</v>
      </c>
      <c r="AF187" s="262">
        <v>3</v>
      </c>
      <c r="AG187" s="129">
        <f>Saisie!W187</f>
        <v>0</v>
      </c>
      <c r="AH187" s="20">
        <f>Saisie!X187</f>
        <v>0</v>
      </c>
      <c r="AI187" s="21">
        <f>Saisie!Y187</f>
        <v>0</v>
      </c>
      <c r="AJ187" s="59">
        <f>Saisie!Z187</f>
        <v>0</v>
      </c>
      <c r="AK187" s="20">
        <f>Saisie!AA187</f>
        <v>0</v>
      </c>
      <c r="AL187" s="21">
        <f>Saisie!AB187</f>
        <v>0</v>
      </c>
      <c r="AM187" s="59">
        <f>Saisie!AC187</f>
        <v>0</v>
      </c>
      <c r="AN187" s="20">
        <f>Saisie!AD187</f>
        <v>0</v>
      </c>
      <c r="AO187" s="21">
        <f>Saisie!AE187</f>
        <v>0</v>
      </c>
      <c r="AP187" s="59">
        <f>Saisie!AF187</f>
        <v>0</v>
      </c>
      <c r="AQ187" s="129" t="e">
        <f t="array" ref="AQ187">_xlfn.IFS(Saisie!AG187="OUI",1,Saisie!AG187="NON",0)</f>
        <v>#N/A</v>
      </c>
      <c r="AR187" s="129" t="e">
        <f t="array" ref="AR187">_xlfn.IFS(Saisie!AH187="OUI",1,Saisie!AH187="NON",0)</f>
        <v>#N/A</v>
      </c>
      <c r="AS187" s="171">
        <f>Saisie!AI187</f>
        <v>0</v>
      </c>
      <c r="AT187" s="263" t="e">
        <f t="array" ref="AT187">_xlfn.IFS(Saisie!AJ187="OUI",1,Saisie!AJ187="NON",0)</f>
        <v>#N/A</v>
      </c>
      <c r="AU187" s="173">
        <f>Saisie!AK187</f>
        <v>0</v>
      </c>
      <c r="AV187" s="263" t="e">
        <f t="array" ref="AV187">_xlfn.IFS(Saisie!AL187="OUI",1,Saisie!AL187="NON",0)</f>
        <v>#N/A</v>
      </c>
      <c r="AW187" s="171">
        <f>Saisie!AM187</f>
        <v>0</v>
      </c>
      <c r="AX187" s="68">
        <f>Saisie!AN187</f>
        <v>0</v>
      </c>
      <c r="AY187" s="20">
        <f>Saisie!AO187</f>
        <v>0</v>
      </c>
      <c r="AZ187" s="21">
        <f>Saisie!AP187</f>
        <v>0</v>
      </c>
      <c r="BA187" s="298">
        <f>Saisie!AQ187</f>
        <v>0</v>
      </c>
      <c r="BB187" s="170">
        <f>Saisie!AR187</f>
        <v>0</v>
      </c>
      <c r="BC187" s="174">
        <f>Saisie!AS187</f>
        <v>0</v>
      </c>
      <c r="BD187" s="61">
        <f>Saisie!AT187</f>
        <v>0</v>
      </c>
      <c r="BE187" s="175" t="e">
        <f t="array" ref="BE187">_xlfn.IFS(Saisie!AU187="OUI",1,Saisie!AU187="NON",0)</f>
        <v>#N/A</v>
      </c>
      <c r="BF187" s="267">
        <f>Saisie!AV187</f>
        <v>0</v>
      </c>
      <c r="BG187" s="55">
        <f>Saisie!AW187</f>
        <v>0</v>
      </c>
      <c r="BH187" s="55" t="e">
        <f t="array" ref="BH187">_xlfn.IFS(Saisie!AX187="OUI",1,Saisie!AX187="NON",0)</f>
        <v>#N/A</v>
      </c>
      <c r="BI187" s="62">
        <f>Saisie!AY187</f>
        <v>0</v>
      </c>
      <c r="BJ187" s="55" t="e">
        <f t="array" ref="BJ187">_xlfn.IFS(Saisie!AZ187="OUI",1,Saisie!AZ187="NON",0)</f>
        <v>#N/A</v>
      </c>
      <c r="BK187" s="55" t="e">
        <f t="array" ref="BK187">_xlfn.IFS(Saisie!BA187="OUI",1,Saisie!BA187="NON",0)</f>
        <v>#N/A</v>
      </c>
      <c r="BL187" s="55">
        <f>Saisie!BB187</f>
        <v>0</v>
      </c>
      <c r="BM187" s="49" t="e">
        <f>Saisie!BC187</f>
        <v>#REF!</v>
      </c>
      <c r="BN187" s="175"/>
    </row>
    <row r="188" spans="1:66" s="176" customFormat="1" x14ac:dyDescent="0.45">
      <c r="A188" s="13">
        <v>182</v>
      </c>
      <c r="B188" s="150">
        <f>Saisie!B188</f>
        <v>0</v>
      </c>
      <c r="C188" s="150">
        <f>Saisie!C188</f>
        <v>0</v>
      </c>
      <c r="D188" s="150">
        <f>Saisie!D188</f>
        <v>0</v>
      </c>
      <c r="E188" s="150">
        <f>Saisie!E188</f>
        <v>0</v>
      </c>
      <c r="F188" s="150">
        <f>Saisie!F188</f>
        <v>0</v>
      </c>
      <c r="G188" s="150">
        <f>Saisie!G188</f>
        <v>0</v>
      </c>
      <c r="H188" s="150">
        <f>Saisie!I188</f>
        <v>0</v>
      </c>
      <c r="I188" s="150">
        <f>Saisie!J188</f>
        <v>0</v>
      </c>
      <c r="J188" s="150">
        <f>Saisie!K188</f>
        <v>0</v>
      </c>
      <c r="K188" s="150">
        <f>Saisie!L188</f>
        <v>0</v>
      </c>
      <c r="L188" s="150" t="e">
        <f>Saisie!#REF!</f>
        <v>#REF!</v>
      </c>
      <c r="M188" s="55" t="e">
        <f t="array" ref="M188">_xlfn.IFS(Saisie!M188="OUI",1,Saisie!M188="NON",0)</f>
        <v>#N/A</v>
      </c>
      <c r="N188" s="64" t="e">
        <f>Saisie!#REF!</f>
        <v>#REF!</v>
      </c>
      <c r="O188" s="63" t="e">
        <f>Saisie!#REF!</f>
        <v>#REF!</v>
      </c>
      <c r="P188" s="63">
        <f>Saisie!N188</f>
        <v>0</v>
      </c>
      <c r="Q188" s="63" t="e">
        <f t="array" ref="Q188">_xlfn.IFS(Saisie!#REF!="OUI",1,Saisie!#REF!="NON",0)</f>
        <v>#REF!</v>
      </c>
      <c r="R188" s="63" t="e">
        <f>Saisie!#REF!</f>
        <v>#REF!</v>
      </c>
      <c r="S188" s="65" t="e">
        <f>Saisie!#REF!</f>
        <v>#REF!</v>
      </c>
      <c r="T188" s="63" t="e">
        <f>Saisie!#REF!</f>
        <v>#REF!</v>
      </c>
      <c r="U188" s="63" t="e">
        <f>Saisie!#REF!</f>
        <v>#REF!</v>
      </c>
      <c r="V188" s="63" t="e">
        <f t="array" ref="V188">_xlfn.IFS(Saisie!#REF!="OUI",1,Saisie!#REF!="NON",0)</f>
        <v>#REF!</v>
      </c>
      <c r="W188" s="63" t="e">
        <f t="array" ref="W188">_xlfn.IFS(Saisie!O188="OUI",1,Saisie!O188="NON",0)</f>
        <v>#N/A</v>
      </c>
      <c r="X188" s="63">
        <f>Saisie!P188</f>
        <v>0</v>
      </c>
      <c r="Y188" s="299">
        <f>Saisie!H188</f>
        <v>0</v>
      </c>
      <c r="Z188" s="58" t="e">
        <f>Saisie!#REF!</f>
        <v>#REF!</v>
      </c>
      <c r="AA188" s="299">
        <f>Saisie!Q188</f>
        <v>0</v>
      </c>
      <c r="AB188" s="63" t="e">
        <f t="array" ref="AB188">_xlfn.IFS(Saisie!R188="OUI",1,Saisie!R188="NON",0)</f>
        <v>#N/A</v>
      </c>
      <c r="AC188" s="63">
        <f>Saisie!S188</f>
        <v>0</v>
      </c>
      <c r="AD188" s="63" t="e">
        <f t="array" ref="AD188">_xlfn.IFS(Saisie!T188="OUI",1,Saisie!T188="NON",0)</f>
        <v>#N/A</v>
      </c>
      <c r="AE188" s="171">
        <f>Saisie!U188</f>
        <v>0</v>
      </c>
      <c r="AF188" s="262">
        <v>3</v>
      </c>
      <c r="AG188" s="129">
        <f>Saisie!W188</f>
        <v>0</v>
      </c>
      <c r="AH188" s="20">
        <f>Saisie!X188</f>
        <v>0</v>
      </c>
      <c r="AI188" s="21">
        <f>Saisie!Y188</f>
        <v>0</v>
      </c>
      <c r="AJ188" s="59">
        <f>Saisie!Z188</f>
        <v>0</v>
      </c>
      <c r="AK188" s="20">
        <f>Saisie!AA188</f>
        <v>0</v>
      </c>
      <c r="AL188" s="21">
        <f>Saisie!AB188</f>
        <v>0</v>
      </c>
      <c r="AM188" s="59">
        <f>Saisie!AC188</f>
        <v>0</v>
      </c>
      <c r="AN188" s="20">
        <f>Saisie!AD188</f>
        <v>0</v>
      </c>
      <c r="AO188" s="21">
        <f>Saisie!AE188</f>
        <v>0</v>
      </c>
      <c r="AP188" s="59">
        <f>Saisie!AF188</f>
        <v>0</v>
      </c>
      <c r="AQ188" s="129" t="e">
        <f t="array" ref="AQ188">_xlfn.IFS(Saisie!AG188="OUI",1,Saisie!AG188="NON",0)</f>
        <v>#N/A</v>
      </c>
      <c r="AR188" s="129" t="e">
        <f t="array" ref="AR188">_xlfn.IFS(Saisie!AH188="OUI",1,Saisie!AH188="NON",0)</f>
        <v>#N/A</v>
      </c>
      <c r="AS188" s="171">
        <f>Saisie!AI188</f>
        <v>0</v>
      </c>
      <c r="AT188" s="263" t="e">
        <f t="array" ref="AT188">_xlfn.IFS(Saisie!AJ188="OUI",1,Saisie!AJ188="NON",0)</f>
        <v>#N/A</v>
      </c>
      <c r="AU188" s="173">
        <f>Saisie!AK188</f>
        <v>0</v>
      </c>
      <c r="AV188" s="263" t="e">
        <f t="array" ref="AV188">_xlfn.IFS(Saisie!AL188="OUI",1,Saisie!AL188="NON",0)</f>
        <v>#N/A</v>
      </c>
      <c r="AW188" s="171">
        <f>Saisie!AM188</f>
        <v>0</v>
      </c>
      <c r="AX188" s="68">
        <f>Saisie!AN188</f>
        <v>0</v>
      </c>
      <c r="AY188" s="20">
        <f>Saisie!AO188</f>
        <v>0</v>
      </c>
      <c r="AZ188" s="21">
        <f>Saisie!AP188</f>
        <v>0</v>
      </c>
      <c r="BA188" s="298">
        <f>Saisie!AQ188</f>
        <v>0</v>
      </c>
      <c r="BB188" s="170">
        <f>Saisie!AR188</f>
        <v>0</v>
      </c>
      <c r="BC188" s="174">
        <f>Saisie!AS188</f>
        <v>0</v>
      </c>
      <c r="BD188" s="61">
        <f>Saisie!AT188</f>
        <v>0</v>
      </c>
      <c r="BE188" s="175" t="e">
        <f t="array" ref="BE188">_xlfn.IFS(Saisie!AU188="OUI",1,Saisie!AU188="NON",0)</f>
        <v>#N/A</v>
      </c>
      <c r="BF188" s="267">
        <f>Saisie!AV188</f>
        <v>0</v>
      </c>
      <c r="BG188" s="55">
        <f>Saisie!AW188</f>
        <v>0</v>
      </c>
      <c r="BH188" s="55" t="e">
        <f t="array" ref="BH188">_xlfn.IFS(Saisie!AX188="OUI",1,Saisie!AX188="NON",0)</f>
        <v>#N/A</v>
      </c>
      <c r="BI188" s="62">
        <f>Saisie!AY188</f>
        <v>0</v>
      </c>
      <c r="BJ188" s="55" t="e">
        <f t="array" ref="BJ188">_xlfn.IFS(Saisie!AZ188="OUI",1,Saisie!AZ188="NON",0)</f>
        <v>#N/A</v>
      </c>
      <c r="BK188" s="55" t="e">
        <f t="array" ref="BK188">_xlfn.IFS(Saisie!BA188="OUI",1,Saisie!BA188="NON",0)</f>
        <v>#N/A</v>
      </c>
      <c r="BL188" s="55">
        <f>Saisie!BB188</f>
        <v>0</v>
      </c>
      <c r="BM188" s="49" t="e">
        <f>Saisie!BC188</f>
        <v>#REF!</v>
      </c>
      <c r="BN188" s="175"/>
    </row>
    <row r="189" spans="1:66" s="176" customFormat="1" x14ac:dyDescent="0.45">
      <c r="A189" s="13">
        <v>183</v>
      </c>
      <c r="B189" s="150">
        <f>Saisie!B189</f>
        <v>0</v>
      </c>
      <c r="C189" s="150">
        <f>Saisie!C189</f>
        <v>0</v>
      </c>
      <c r="D189" s="150">
        <f>Saisie!D189</f>
        <v>0</v>
      </c>
      <c r="E189" s="150">
        <f>Saisie!E189</f>
        <v>0</v>
      </c>
      <c r="F189" s="150">
        <f>Saisie!F189</f>
        <v>0</v>
      </c>
      <c r="G189" s="150">
        <f>Saisie!G189</f>
        <v>0</v>
      </c>
      <c r="H189" s="150">
        <f>Saisie!I189</f>
        <v>0</v>
      </c>
      <c r="I189" s="150">
        <f>Saisie!J189</f>
        <v>0</v>
      </c>
      <c r="J189" s="150">
        <f>Saisie!K189</f>
        <v>0</v>
      </c>
      <c r="K189" s="150">
        <f>Saisie!L189</f>
        <v>0</v>
      </c>
      <c r="L189" s="150" t="e">
        <f>Saisie!#REF!</f>
        <v>#REF!</v>
      </c>
      <c r="M189" s="55" t="e">
        <f t="array" ref="M189">_xlfn.IFS(Saisie!M189="OUI",1,Saisie!M189="NON",0)</f>
        <v>#N/A</v>
      </c>
      <c r="N189" s="64" t="e">
        <f>Saisie!#REF!</f>
        <v>#REF!</v>
      </c>
      <c r="O189" s="63" t="e">
        <f>Saisie!#REF!</f>
        <v>#REF!</v>
      </c>
      <c r="P189" s="63">
        <f>Saisie!N189</f>
        <v>0</v>
      </c>
      <c r="Q189" s="63" t="e">
        <f t="array" ref="Q189">_xlfn.IFS(Saisie!#REF!="OUI",1,Saisie!#REF!="NON",0)</f>
        <v>#REF!</v>
      </c>
      <c r="R189" s="63" t="e">
        <f>Saisie!#REF!</f>
        <v>#REF!</v>
      </c>
      <c r="S189" s="65" t="e">
        <f>Saisie!#REF!</f>
        <v>#REF!</v>
      </c>
      <c r="T189" s="63" t="e">
        <f>Saisie!#REF!</f>
        <v>#REF!</v>
      </c>
      <c r="U189" s="63" t="e">
        <f>Saisie!#REF!</f>
        <v>#REF!</v>
      </c>
      <c r="V189" s="63" t="e">
        <f t="array" ref="V189">_xlfn.IFS(Saisie!#REF!="OUI",1,Saisie!#REF!="NON",0)</f>
        <v>#REF!</v>
      </c>
      <c r="W189" s="63" t="e">
        <f t="array" ref="W189">_xlfn.IFS(Saisie!O189="OUI",1,Saisie!O189="NON",0)</f>
        <v>#N/A</v>
      </c>
      <c r="X189" s="63">
        <f>Saisie!P189</f>
        <v>0</v>
      </c>
      <c r="Y189" s="299">
        <f>Saisie!H189</f>
        <v>0</v>
      </c>
      <c r="Z189" s="58" t="e">
        <f>Saisie!#REF!</f>
        <v>#REF!</v>
      </c>
      <c r="AA189" s="299">
        <f>Saisie!Q189</f>
        <v>0</v>
      </c>
      <c r="AB189" s="63" t="e">
        <f t="array" ref="AB189">_xlfn.IFS(Saisie!R189="OUI",1,Saisie!R189="NON",0)</f>
        <v>#N/A</v>
      </c>
      <c r="AC189" s="63">
        <f>Saisie!S189</f>
        <v>0</v>
      </c>
      <c r="AD189" s="63" t="e">
        <f t="array" ref="AD189">_xlfn.IFS(Saisie!T189="OUI",1,Saisie!T189="NON",0)</f>
        <v>#N/A</v>
      </c>
      <c r="AE189" s="171">
        <f>Saisie!U189</f>
        <v>0</v>
      </c>
      <c r="AF189" s="262">
        <v>3</v>
      </c>
      <c r="AG189" s="129">
        <f>Saisie!W189</f>
        <v>0</v>
      </c>
      <c r="AH189" s="20">
        <f>Saisie!X189</f>
        <v>0</v>
      </c>
      <c r="AI189" s="21">
        <f>Saisie!Y189</f>
        <v>0</v>
      </c>
      <c r="AJ189" s="59">
        <f>Saisie!Z189</f>
        <v>0</v>
      </c>
      <c r="AK189" s="20">
        <f>Saisie!AA189</f>
        <v>0</v>
      </c>
      <c r="AL189" s="21">
        <f>Saisie!AB189</f>
        <v>0</v>
      </c>
      <c r="AM189" s="59">
        <f>Saisie!AC189</f>
        <v>0</v>
      </c>
      <c r="AN189" s="20">
        <f>Saisie!AD189</f>
        <v>0</v>
      </c>
      <c r="AO189" s="21">
        <f>Saisie!AE189</f>
        <v>0</v>
      </c>
      <c r="AP189" s="59">
        <f>Saisie!AF189</f>
        <v>0</v>
      </c>
      <c r="AQ189" s="129" t="e">
        <f t="array" ref="AQ189">_xlfn.IFS(Saisie!AG189="OUI",1,Saisie!AG189="NON",0)</f>
        <v>#N/A</v>
      </c>
      <c r="AR189" s="129" t="e">
        <f t="array" ref="AR189">_xlfn.IFS(Saisie!AH189="OUI",1,Saisie!AH189="NON",0)</f>
        <v>#N/A</v>
      </c>
      <c r="AS189" s="171">
        <f>Saisie!AI189</f>
        <v>0</v>
      </c>
      <c r="AT189" s="263" t="e">
        <f t="array" ref="AT189">_xlfn.IFS(Saisie!AJ189="OUI",1,Saisie!AJ189="NON",0)</f>
        <v>#N/A</v>
      </c>
      <c r="AU189" s="173">
        <f>Saisie!AK189</f>
        <v>0</v>
      </c>
      <c r="AV189" s="263" t="e">
        <f t="array" ref="AV189">_xlfn.IFS(Saisie!AL189="OUI",1,Saisie!AL189="NON",0)</f>
        <v>#N/A</v>
      </c>
      <c r="AW189" s="171">
        <f>Saisie!AM189</f>
        <v>0</v>
      </c>
      <c r="AX189" s="68">
        <f>Saisie!AN189</f>
        <v>0</v>
      </c>
      <c r="AY189" s="20">
        <f>Saisie!AO189</f>
        <v>0</v>
      </c>
      <c r="AZ189" s="21">
        <f>Saisie!AP189</f>
        <v>0</v>
      </c>
      <c r="BA189" s="298">
        <f>Saisie!AQ189</f>
        <v>0</v>
      </c>
      <c r="BB189" s="170">
        <f>Saisie!AR189</f>
        <v>0</v>
      </c>
      <c r="BC189" s="174">
        <f>Saisie!AS189</f>
        <v>0</v>
      </c>
      <c r="BD189" s="61">
        <f>Saisie!AT189</f>
        <v>0</v>
      </c>
      <c r="BE189" s="175" t="e">
        <f t="array" ref="BE189">_xlfn.IFS(Saisie!AU189="OUI",1,Saisie!AU189="NON",0)</f>
        <v>#N/A</v>
      </c>
      <c r="BF189" s="267">
        <f>Saisie!AV189</f>
        <v>0</v>
      </c>
      <c r="BG189" s="55">
        <f>Saisie!AW189</f>
        <v>0</v>
      </c>
      <c r="BH189" s="55" t="e">
        <f t="array" ref="BH189">_xlfn.IFS(Saisie!AX189="OUI",1,Saisie!AX189="NON",0)</f>
        <v>#N/A</v>
      </c>
      <c r="BI189" s="62">
        <f>Saisie!AY189</f>
        <v>0</v>
      </c>
      <c r="BJ189" s="55" t="e">
        <f t="array" ref="BJ189">_xlfn.IFS(Saisie!AZ189="OUI",1,Saisie!AZ189="NON",0)</f>
        <v>#N/A</v>
      </c>
      <c r="BK189" s="55" t="e">
        <f t="array" ref="BK189">_xlfn.IFS(Saisie!BA189="OUI",1,Saisie!BA189="NON",0)</f>
        <v>#N/A</v>
      </c>
      <c r="BL189" s="55">
        <f>Saisie!BB189</f>
        <v>0</v>
      </c>
      <c r="BM189" s="49" t="e">
        <f>Saisie!BC189</f>
        <v>#REF!</v>
      </c>
      <c r="BN189" s="175"/>
    </row>
    <row r="190" spans="1:66" s="176" customFormat="1" x14ac:dyDescent="0.45">
      <c r="A190" s="12">
        <v>184</v>
      </c>
      <c r="B190" s="150">
        <f>Saisie!B190</f>
        <v>0</v>
      </c>
      <c r="C190" s="150">
        <f>Saisie!C190</f>
        <v>0</v>
      </c>
      <c r="D190" s="150">
        <f>Saisie!D190</f>
        <v>0</v>
      </c>
      <c r="E190" s="150">
        <f>Saisie!E190</f>
        <v>0</v>
      </c>
      <c r="F190" s="150">
        <f>Saisie!F190</f>
        <v>0</v>
      </c>
      <c r="G190" s="150">
        <f>Saisie!G190</f>
        <v>0</v>
      </c>
      <c r="H190" s="150">
        <f>Saisie!I190</f>
        <v>0</v>
      </c>
      <c r="I190" s="150">
        <f>Saisie!J190</f>
        <v>0</v>
      </c>
      <c r="J190" s="150">
        <f>Saisie!K190</f>
        <v>0</v>
      </c>
      <c r="K190" s="150">
        <f>Saisie!L190</f>
        <v>0</v>
      </c>
      <c r="L190" s="150" t="e">
        <f>Saisie!#REF!</f>
        <v>#REF!</v>
      </c>
      <c r="M190" s="55" t="e">
        <f t="array" ref="M190">_xlfn.IFS(Saisie!M190="OUI",1,Saisie!M190="NON",0)</f>
        <v>#N/A</v>
      </c>
      <c r="N190" s="64" t="e">
        <f>Saisie!#REF!</f>
        <v>#REF!</v>
      </c>
      <c r="O190" s="63" t="e">
        <f>Saisie!#REF!</f>
        <v>#REF!</v>
      </c>
      <c r="P190" s="63">
        <f>Saisie!N190</f>
        <v>0</v>
      </c>
      <c r="Q190" s="63" t="e">
        <f t="array" ref="Q190">_xlfn.IFS(Saisie!#REF!="OUI",1,Saisie!#REF!="NON",0)</f>
        <v>#REF!</v>
      </c>
      <c r="R190" s="63" t="e">
        <f>Saisie!#REF!</f>
        <v>#REF!</v>
      </c>
      <c r="S190" s="65" t="e">
        <f>Saisie!#REF!</f>
        <v>#REF!</v>
      </c>
      <c r="T190" s="63" t="e">
        <f>Saisie!#REF!</f>
        <v>#REF!</v>
      </c>
      <c r="U190" s="63" t="e">
        <f>Saisie!#REF!</f>
        <v>#REF!</v>
      </c>
      <c r="V190" s="63" t="e">
        <f t="array" ref="V190">_xlfn.IFS(Saisie!#REF!="OUI",1,Saisie!#REF!="NON",0)</f>
        <v>#REF!</v>
      </c>
      <c r="W190" s="63" t="e">
        <f t="array" ref="W190">_xlfn.IFS(Saisie!O190="OUI",1,Saisie!O190="NON",0)</f>
        <v>#N/A</v>
      </c>
      <c r="X190" s="63">
        <f>Saisie!P190</f>
        <v>0</v>
      </c>
      <c r="Y190" s="299">
        <f>Saisie!H190</f>
        <v>0</v>
      </c>
      <c r="Z190" s="58" t="e">
        <f>Saisie!#REF!</f>
        <v>#REF!</v>
      </c>
      <c r="AA190" s="299">
        <f>Saisie!Q190</f>
        <v>0</v>
      </c>
      <c r="AB190" s="63" t="e">
        <f t="array" ref="AB190">_xlfn.IFS(Saisie!R190="OUI",1,Saisie!R190="NON",0)</f>
        <v>#N/A</v>
      </c>
      <c r="AC190" s="63">
        <f>Saisie!S190</f>
        <v>0</v>
      </c>
      <c r="AD190" s="63" t="e">
        <f t="array" ref="AD190">_xlfn.IFS(Saisie!T190="OUI",1,Saisie!T190="NON",0)</f>
        <v>#N/A</v>
      </c>
      <c r="AE190" s="171">
        <f>Saisie!U190</f>
        <v>0</v>
      </c>
      <c r="AF190" s="262">
        <v>3</v>
      </c>
      <c r="AG190" s="129">
        <f>Saisie!W190</f>
        <v>0</v>
      </c>
      <c r="AH190" s="20">
        <f>Saisie!X190</f>
        <v>0</v>
      </c>
      <c r="AI190" s="21">
        <f>Saisie!Y190</f>
        <v>0</v>
      </c>
      <c r="AJ190" s="59">
        <f>Saisie!Z190</f>
        <v>0</v>
      </c>
      <c r="AK190" s="20">
        <f>Saisie!AA190</f>
        <v>0</v>
      </c>
      <c r="AL190" s="21">
        <f>Saisie!AB190</f>
        <v>0</v>
      </c>
      <c r="AM190" s="59">
        <f>Saisie!AC190</f>
        <v>0</v>
      </c>
      <c r="AN190" s="20">
        <f>Saisie!AD190</f>
        <v>0</v>
      </c>
      <c r="AO190" s="21">
        <f>Saisie!AE190</f>
        <v>0</v>
      </c>
      <c r="AP190" s="59">
        <f>Saisie!AF190</f>
        <v>0</v>
      </c>
      <c r="AQ190" s="129" t="e">
        <f t="array" ref="AQ190">_xlfn.IFS(Saisie!AG190="OUI",1,Saisie!AG190="NON",0)</f>
        <v>#N/A</v>
      </c>
      <c r="AR190" s="129" t="e">
        <f t="array" ref="AR190">_xlfn.IFS(Saisie!AH190="OUI",1,Saisie!AH190="NON",0)</f>
        <v>#N/A</v>
      </c>
      <c r="AS190" s="171">
        <f>Saisie!AI190</f>
        <v>0</v>
      </c>
      <c r="AT190" s="263" t="e">
        <f t="array" ref="AT190">_xlfn.IFS(Saisie!AJ190="OUI",1,Saisie!AJ190="NON",0)</f>
        <v>#N/A</v>
      </c>
      <c r="AU190" s="173">
        <f>Saisie!AK190</f>
        <v>0</v>
      </c>
      <c r="AV190" s="263" t="e">
        <f t="array" ref="AV190">_xlfn.IFS(Saisie!AL190="OUI",1,Saisie!AL190="NON",0)</f>
        <v>#N/A</v>
      </c>
      <c r="AW190" s="171">
        <f>Saisie!AM190</f>
        <v>0</v>
      </c>
      <c r="AX190" s="68">
        <f>Saisie!AN190</f>
        <v>0</v>
      </c>
      <c r="AY190" s="20">
        <f>Saisie!AO190</f>
        <v>0</v>
      </c>
      <c r="AZ190" s="21">
        <f>Saisie!AP190</f>
        <v>0</v>
      </c>
      <c r="BA190" s="298">
        <f>Saisie!AQ190</f>
        <v>0</v>
      </c>
      <c r="BB190" s="170">
        <f>Saisie!AR190</f>
        <v>0</v>
      </c>
      <c r="BC190" s="174">
        <f>Saisie!AS190</f>
        <v>0</v>
      </c>
      <c r="BD190" s="61">
        <f>Saisie!AT190</f>
        <v>0</v>
      </c>
      <c r="BE190" s="175" t="e">
        <f t="array" ref="BE190">_xlfn.IFS(Saisie!AU190="OUI",1,Saisie!AU190="NON",0)</f>
        <v>#N/A</v>
      </c>
      <c r="BF190" s="267">
        <f>Saisie!AV190</f>
        <v>0</v>
      </c>
      <c r="BG190" s="55">
        <f>Saisie!AW190</f>
        <v>0</v>
      </c>
      <c r="BH190" s="55" t="e">
        <f t="array" ref="BH190">_xlfn.IFS(Saisie!AX190="OUI",1,Saisie!AX190="NON",0)</f>
        <v>#N/A</v>
      </c>
      <c r="BI190" s="62">
        <f>Saisie!AY190</f>
        <v>0</v>
      </c>
      <c r="BJ190" s="55" t="e">
        <f t="array" ref="BJ190">_xlfn.IFS(Saisie!AZ190="OUI",1,Saisie!AZ190="NON",0)</f>
        <v>#N/A</v>
      </c>
      <c r="BK190" s="55" t="e">
        <f t="array" ref="BK190">_xlfn.IFS(Saisie!BA190="OUI",1,Saisie!BA190="NON",0)</f>
        <v>#N/A</v>
      </c>
      <c r="BL190" s="55">
        <f>Saisie!BB190</f>
        <v>0</v>
      </c>
      <c r="BM190" s="49" t="e">
        <f>Saisie!BC190</f>
        <v>#REF!</v>
      </c>
      <c r="BN190" s="175"/>
    </row>
    <row r="191" spans="1:66" s="176" customFormat="1" x14ac:dyDescent="0.45">
      <c r="A191" s="13">
        <v>185</v>
      </c>
      <c r="B191" s="150">
        <f>Saisie!B191</f>
        <v>0</v>
      </c>
      <c r="C191" s="150">
        <f>Saisie!C191</f>
        <v>0</v>
      </c>
      <c r="D191" s="150">
        <f>Saisie!D191</f>
        <v>0</v>
      </c>
      <c r="E191" s="150">
        <f>Saisie!E191</f>
        <v>0</v>
      </c>
      <c r="F191" s="150">
        <f>Saisie!F191</f>
        <v>0</v>
      </c>
      <c r="G191" s="150">
        <f>Saisie!G191</f>
        <v>0</v>
      </c>
      <c r="H191" s="150">
        <f>Saisie!I191</f>
        <v>0</v>
      </c>
      <c r="I191" s="150">
        <f>Saisie!J191</f>
        <v>0</v>
      </c>
      <c r="J191" s="150">
        <f>Saisie!K191</f>
        <v>0</v>
      </c>
      <c r="K191" s="150">
        <f>Saisie!L191</f>
        <v>0</v>
      </c>
      <c r="L191" s="150" t="e">
        <f>Saisie!#REF!</f>
        <v>#REF!</v>
      </c>
      <c r="M191" s="55" t="e">
        <f t="array" ref="M191">_xlfn.IFS(Saisie!M191="OUI",1,Saisie!M191="NON",0)</f>
        <v>#N/A</v>
      </c>
      <c r="N191" s="64" t="e">
        <f>Saisie!#REF!</f>
        <v>#REF!</v>
      </c>
      <c r="O191" s="63" t="e">
        <f>Saisie!#REF!</f>
        <v>#REF!</v>
      </c>
      <c r="P191" s="63">
        <f>Saisie!N191</f>
        <v>0</v>
      </c>
      <c r="Q191" s="63" t="e">
        <f t="array" ref="Q191">_xlfn.IFS(Saisie!#REF!="OUI",1,Saisie!#REF!="NON",0)</f>
        <v>#REF!</v>
      </c>
      <c r="R191" s="63" t="e">
        <f>Saisie!#REF!</f>
        <v>#REF!</v>
      </c>
      <c r="S191" s="65" t="e">
        <f>Saisie!#REF!</f>
        <v>#REF!</v>
      </c>
      <c r="T191" s="63" t="e">
        <f>Saisie!#REF!</f>
        <v>#REF!</v>
      </c>
      <c r="U191" s="63" t="e">
        <f>Saisie!#REF!</f>
        <v>#REF!</v>
      </c>
      <c r="V191" s="63" t="e">
        <f t="array" ref="V191">_xlfn.IFS(Saisie!#REF!="OUI",1,Saisie!#REF!="NON",0)</f>
        <v>#REF!</v>
      </c>
      <c r="W191" s="63" t="e">
        <f t="array" ref="W191">_xlfn.IFS(Saisie!O191="OUI",1,Saisie!O191="NON",0)</f>
        <v>#N/A</v>
      </c>
      <c r="X191" s="63">
        <f>Saisie!P191</f>
        <v>0</v>
      </c>
      <c r="Y191" s="299">
        <f>Saisie!H191</f>
        <v>0</v>
      </c>
      <c r="Z191" s="58" t="e">
        <f>Saisie!#REF!</f>
        <v>#REF!</v>
      </c>
      <c r="AA191" s="299">
        <f>Saisie!Q191</f>
        <v>0</v>
      </c>
      <c r="AB191" s="63" t="e">
        <f t="array" ref="AB191">_xlfn.IFS(Saisie!R191="OUI",1,Saisie!R191="NON",0)</f>
        <v>#N/A</v>
      </c>
      <c r="AC191" s="63">
        <f>Saisie!S191</f>
        <v>0</v>
      </c>
      <c r="AD191" s="63" t="e">
        <f t="array" ref="AD191">_xlfn.IFS(Saisie!T191="OUI",1,Saisie!T191="NON",0)</f>
        <v>#N/A</v>
      </c>
      <c r="AE191" s="171">
        <f>Saisie!U191</f>
        <v>0</v>
      </c>
      <c r="AF191" s="262">
        <v>3</v>
      </c>
      <c r="AG191" s="129">
        <f>Saisie!W191</f>
        <v>0</v>
      </c>
      <c r="AH191" s="20">
        <f>Saisie!X191</f>
        <v>0</v>
      </c>
      <c r="AI191" s="21">
        <f>Saisie!Y191</f>
        <v>0</v>
      </c>
      <c r="AJ191" s="59">
        <f>Saisie!Z191</f>
        <v>0</v>
      </c>
      <c r="AK191" s="20">
        <f>Saisie!AA191</f>
        <v>0</v>
      </c>
      <c r="AL191" s="21">
        <f>Saisie!AB191</f>
        <v>0</v>
      </c>
      <c r="AM191" s="59">
        <f>Saisie!AC191</f>
        <v>0</v>
      </c>
      <c r="AN191" s="20">
        <f>Saisie!AD191</f>
        <v>0</v>
      </c>
      <c r="AO191" s="21">
        <f>Saisie!AE191</f>
        <v>0</v>
      </c>
      <c r="AP191" s="59">
        <f>Saisie!AF191</f>
        <v>0</v>
      </c>
      <c r="AQ191" s="129" t="e">
        <f t="array" ref="AQ191">_xlfn.IFS(Saisie!AG191="OUI",1,Saisie!AG191="NON",0)</f>
        <v>#N/A</v>
      </c>
      <c r="AR191" s="129" t="e">
        <f t="array" ref="AR191">_xlfn.IFS(Saisie!AH191="OUI",1,Saisie!AH191="NON",0)</f>
        <v>#N/A</v>
      </c>
      <c r="AS191" s="171">
        <f>Saisie!AI191</f>
        <v>0</v>
      </c>
      <c r="AT191" s="263" t="e">
        <f t="array" ref="AT191">_xlfn.IFS(Saisie!AJ191="OUI",1,Saisie!AJ191="NON",0)</f>
        <v>#N/A</v>
      </c>
      <c r="AU191" s="173">
        <f>Saisie!AK191</f>
        <v>0</v>
      </c>
      <c r="AV191" s="263" t="e">
        <f t="array" ref="AV191">_xlfn.IFS(Saisie!AL191="OUI",1,Saisie!AL191="NON",0)</f>
        <v>#N/A</v>
      </c>
      <c r="AW191" s="171">
        <f>Saisie!AM191</f>
        <v>0</v>
      </c>
      <c r="AX191" s="68">
        <f>Saisie!AN191</f>
        <v>0</v>
      </c>
      <c r="AY191" s="20">
        <f>Saisie!AO191</f>
        <v>0</v>
      </c>
      <c r="AZ191" s="21">
        <f>Saisie!AP191</f>
        <v>0</v>
      </c>
      <c r="BA191" s="298">
        <f>Saisie!AQ191</f>
        <v>0</v>
      </c>
      <c r="BB191" s="170">
        <f>Saisie!AR191</f>
        <v>0</v>
      </c>
      <c r="BC191" s="174">
        <f>Saisie!AS191</f>
        <v>0</v>
      </c>
      <c r="BD191" s="61">
        <f>Saisie!AT191</f>
        <v>0</v>
      </c>
      <c r="BE191" s="175" t="e">
        <f t="array" ref="BE191">_xlfn.IFS(Saisie!AU191="OUI",1,Saisie!AU191="NON",0)</f>
        <v>#N/A</v>
      </c>
      <c r="BF191" s="267">
        <f>Saisie!AV191</f>
        <v>0</v>
      </c>
      <c r="BG191" s="55">
        <f>Saisie!AW191</f>
        <v>0</v>
      </c>
      <c r="BH191" s="55" t="e">
        <f t="array" ref="BH191">_xlfn.IFS(Saisie!AX191="OUI",1,Saisie!AX191="NON",0)</f>
        <v>#N/A</v>
      </c>
      <c r="BI191" s="62">
        <f>Saisie!AY191</f>
        <v>0</v>
      </c>
      <c r="BJ191" s="55" t="e">
        <f t="array" ref="BJ191">_xlfn.IFS(Saisie!AZ191="OUI",1,Saisie!AZ191="NON",0)</f>
        <v>#N/A</v>
      </c>
      <c r="BK191" s="55" t="e">
        <f t="array" ref="BK191">_xlfn.IFS(Saisie!BA191="OUI",1,Saisie!BA191="NON",0)</f>
        <v>#N/A</v>
      </c>
      <c r="BL191" s="55">
        <f>Saisie!BB191</f>
        <v>0</v>
      </c>
      <c r="BM191" s="49" t="e">
        <f>Saisie!BC191</f>
        <v>#REF!</v>
      </c>
      <c r="BN191" s="175"/>
    </row>
    <row r="192" spans="1:66" s="176" customFormat="1" x14ac:dyDescent="0.45">
      <c r="A192" s="13">
        <v>186</v>
      </c>
      <c r="B192" s="150">
        <f>Saisie!B192</f>
        <v>0</v>
      </c>
      <c r="C192" s="150">
        <f>Saisie!C192</f>
        <v>0</v>
      </c>
      <c r="D192" s="150">
        <f>Saisie!D192</f>
        <v>0</v>
      </c>
      <c r="E192" s="150">
        <f>Saisie!E192</f>
        <v>0</v>
      </c>
      <c r="F192" s="150">
        <f>Saisie!F192</f>
        <v>0</v>
      </c>
      <c r="G192" s="150">
        <f>Saisie!G192</f>
        <v>0</v>
      </c>
      <c r="H192" s="150">
        <f>Saisie!I192</f>
        <v>0</v>
      </c>
      <c r="I192" s="150">
        <f>Saisie!J192</f>
        <v>0</v>
      </c>
      <c r="J192" s="150">
        <f>Saisie!K192</f>
        <v>0</v>
      </c>
      <c r="K192" s="150">
        <f>Saisie!L192</f>
        <v>0</v>
      </c>
      <c r="L192" s="150" t="e">
        <f>Saisie!#REF!</f>
        <v>#REF!</v>
      </c>
      <c r="M192" s="55" t="e">
        <f t="array" ref="M192">_xlfn.IFS(Saisie!M192="OUI",1,Saisie!M192="NON",0)</f>
        <v>#N/A</v>
      </c>
      <c r="N192" s="64" t="e">
        <f>Saisie!#REF!</f>
        <v>#REF!</v>
      </c>
      <c r="O192" s="63" t="e">
        <f>Saisie!#REF!</f>
        <v>#REF!</v>
      </c>
      <c r="P192" s="63">
        <f>Saisie!N192</f>
        <v>0</v>
      </c>
      <c r="Q192" s="63" t="e">
        <f t="array" ref="Q192">_xlfn.IFS(Saisie!#REF!="OUI",1,Saisie!#REF!="NON",0)</f>
        <v>#REF!</v>
      </c>
      <c r="R192" s="63" t="e">
        <f>Saisie!#REF!</f>
        <v>#REF!</v>
      </c>
      <c r="S192" s="65" t="e">
        <f>Saisie!#REF!</f>
        <v>#REF!</v>
      </c>
      <c r="T192" s="63" t="e">
        <f>Saisie!#REF!</f>
        <v>#REF!</v>
      </c>
      <c r="U192" s="63" t="e">
        <f>Saisie!#REF!</f>
        <v>#REF!</v>
      </c>
      <c r="V192" s="63" t="e">
        <f t="array" ref="V192">_xlfn.IFS(Saisie!#REF!="OUI",1,Saisie!#REF!="NON",0)</f>
        <v>#REF!</v>
      </c>
      <c r="W192" s="63" t="e">
        <f t="array" ref="W192">_xlfn.IFS(Saisie!O192="OUI",1,Saisie!O192="NON",0)</f>
        <v>#N/A</v>
      </c>
      <c r="X192" s="63">
        <f>Saisie!P192</f>
        <v>0</v>
      </c>
      <c r="Y192" s="299">
        <f>Saisie!H192</f>
        <v>0</v>
      </c>
      <c r="Z192" s="58" t="e">
        <f>Saisie!#REF!</f>
        <v>#REF!</v>
      </c>
      <c r="AA192" s="299">
        <f>Saisie!Q192</f>
        <v>0</v>
      </c>
      <c r="AB192" s="63" t="e">
        <f t="array" ref="AB192">_xlfn.IFS(Saisie!R192="OUI",1,Saisie!R192="NON",0)</f>
        <v>#N/A</v>
      </c>
      <c r="AC192" s="63">
        <f>Saisie!S192</f>
        <v>0</v>
      </c>
      <c r="AD192" s="63" t="e">
        <f t="array" ref="AD192">_xlfn.IFS(Saisie!T192="OUI",1,Saisie!T192="NON",0)</f>
        <v>#N/A</v>
      </c>
      <c r="AE192" s="171">
        <f>Saisie!U192</f>
        <v>0</v>
      </c>
      <c r="AF192" s="262">
        <v>3</v>
      </c>
      <c r="AG192" s="129">
        <f>Saisie!W192</f>
        <v>0</v>
      </c>
      <c r="AH192" s="20">
        <f>Saisie!X192</f>
        <v>0</v>
      </c>
      <c r="AI192" s="21">
        <f>Saisie!Y192</f>
        <v>0</v>
      </c>
      <c r="AJ192" s="59">
        <f>Saisie!Z192</f>
        <v>0</v>
      </c>
      <c r="AK192" s="20">
        <f>Saisie!AA192</f>
        <v>0</v>
      </c>
      <c r="AL192" s="21">
        <f>Saisie!AB192</f>
        <v>0</v>
      </c>
      <c r="AM192" s="59">
        <f>Saisie!AC192</f>
        <v>0</v>
      </c>
      <c r="AN192" s="20">
        <f>Saisie!AD192</f>
        <v>0</v>
      </c>
      <c r="AO192" s="21">
        <f>Saisie!AE192</f>
        <v>0</v>
      </c>
      <c r="AP192" s="59">
        <f>Saisie!AF192</f>
        <v>0</v>
      </c>
      <c r="AQ192" s="129" t="e">
        <f t="array" ref="AQ192">_xlfn.IFS(Saisie!AG192="OUI",1,Saisie!AG192="NON",0)</f>
        <v>#N/A</v>
      </c>
      <c r="AR192" s="129" t="e">
        <f t="array" ref="AR192">_xlfn.IFS(Saisie!AH192="OUI",1,Saisie!AH192="NON",0)</f>
        <v>#N/A</v>
      </c>
      <c r="AS192" s="171">
        <f>Saisie!AI192</f>
        <v>0</v>
      </c>
      <c r="AT192" s="263" t="e">
        <f t="array" ref="AT192">_xlfn.IFS(Saisie!AJ192="OUI",1,Saisie!AJ192="NON",0)</f>
        <v>#N/A</v>
      </c>
      <c r="AU192" s="173">
        <f>Saisie!AK192</f>
        <v>0</v>
      </c>
      <c r="AV192" s="263" t="e">
        <f t="array" ref="AV192">_xlfn.IFS(Saisie!AL192="OUI",1,Saisie!AL192="NON",0)</f>
        <v>#N/A</v>
      </c>
      <c r="AW192" s="171">
        <f>Saisie!AM192</f>
        <v>0</v>
      </c>
      <c r="AX192" s="68">
        <f>Saisie!AN192</f>
        <v>0</v>
      </c>
      <c r="AY192" s="20">
        <f>Saisie!AO192</f>
        <v>0</v>
      </c>
      <c r="AZ192" s="21">
        <f>Saisie!AP192</f>
        <v>0</v>
      </c>
      <c r="BA192" s="298">
        <f>Saisie!AQ192</f>
        <v>0</v>
      </c>
      <c r="BB192" s="170">
        <f>Saisie!AR192</f>
        <v>0</v>
      </c>
      <c r="BC192" s="174">
        <f>Saisie!AS192</f>
        <v>0</v>
      </c>
      <c r="BD192" s="61">
        <f>Saisie!AT192</f>
        <v>0</v>
      </c>
      <c r="BE192" s="175" t="e">
        <f t="array" ref="BE192">_xlfn.IFS(Saisie!AU192="OUI",1,Saisie!AU192="NON",0)</f>
        <v>#N/A</v>
      </c>
      <c r="BF192" s="267">
        <f>Saisie!AV192</f>
        <v>0</v>
      </c>
      <c r="BG192" s="55">
        <f>Saisie!AW192</f>
        <v>0</v>
      </c>
      <c r="BH192" s="55" t="e">
        <f t="array" ref="BH192">_xlfn.IFS(Saisie!AX192="OUI",1,Saisie!AX192="NON",0)</f>
        <v>#N/A</v>
      </c>
      <c r="BI192" s="62">
        <f>Saisie!AY192</f>
        <v>0</v>
      </c>
      <c r="BJ192" s="55" t="e">
        <f t="array" ref="BJ192">_xlfn.IFS(Saisie!AZ192="OUI",1,Saisie!AZ192="NON",0)</f>
        <v>#N/A</v>
      </c>
      <c r="BK192" s="55" t="e">
        <f t="array" ref="BK192">_xlfn.IFS(Saisie!BA192="OUI",1,Saisie!BA192="NON",0)</f>
        <v>#N/A</v>
      </c>
      <c r="BL192" s="55">
        <f>Saisie!BB192</f>
        <v>0</v>
      </c>
      <c r="BM192" s="49" t="e">
        <f>Saisie!BC192</f>
        <v>#REF!</v>
      </c>
      <c r="BN192" s="175"/>
    </row>
    <row r="193" spans="1:66" s="176" customFormat="1" x14ac:dyDescent="0.45">
      <c r="A193" s="12">
        <v>187</v>
      </c>
      <c r="B193" s="150">
        <f>Saisie!B193</f>
        <v>0</v>
      </c>
      <c r="C193" s="150">
        <f>Saisie!C193</f>
        <v>0</v>
      </c>
      <c r="D193" s="150">
        <f>Saisie!D193</f>
        <v>0</v>
      </c>
      <c r="E193" s="150">
        <f>Saisie!E193</f>
        <v>0</v>
      </c>
      <c r="F193" s="150">
        <f>Saisie!F193</f>
        <v>0</v>
      </c>
      <c r="G193" s="150">
        <f>Saisie!G193</f>
        <v>0</v>
      </c>
      <c r="H193" s="150">
        <f>Saisie!I193</f>
        <v>0</v>
      </c>
      <c r="I193" s="150">
        <f>Saisie!J193</f>
        <v>0</v>
      </c>
      <c r="J193" s="150">
        <f>Saisie!K193</f>
        <v>0</v>
      </c>
      <c r="K193" s="150">
        <f>Saisie!L193</f>
        <v>0</v>
      </c>
      <c r="L193" s="150" t="e">
        <f>Saisie!#REF!</f>
        <v>#REF!</v>
      </c>
      <c r="M193" s="55" t="e">
        <f t="array" ref="M193">_xlfn.IFS(Saisie!M193="OUI",1,Saisie!M193="NON",0)</f>
        <v>#N/A</v>
      </c>
      <c r="N193" s="64" t="e">
        <f>Saisie!#REF!</f>
        <v>#REF!</v>
      </c>
      <c r="O193" s="63" t="e">
        <f>Saisie!#REF!</f>
        <v>#REF!</v>
      </c>
      <c r="P193" s="63">
        <f>Saisie!N193</f>
        <v>0</v>
      </c>
      <c r="Q193" s="63" t="e">
        <f t="array" ref="Q193">_xlfn.IFS(Saisie!#REF!="OUI",1,Saisie!#REF!="NON",0)</f>
        <v>#REF!</v>
      </c>
      <c r="R193" s="63" t="e">
        <f>Saisie!#REF!</f>
        <v>#REF!</v>
      </c>
      <c r="S193" s="65" t="e">
        <f>Saisie!#REF!</f>
        <v>#REF!</v>
      </c>
      <c r="T193" s="63" t="e">
        <f>Saisie!#REF!</f>
        <v>#REF!</v>
      </c>
      <c r="U193" s="63" t="e">
        <f>Saisie!#REF!</f>
        <v>#REF!</v>
      </c>
      <c r="V193" s="63" t="e">
        <f t="array" ref="V193">_xlfn.IFS(Saisie!#REF!="OUI",1,Saisie!#REF!="NON",0)</f>
        <v>#REF!</v>
      </c>
      <c r="W193" s="63" t="e">
        <f t="array" ref="W193">_xlfn.IFS(Saisie!O193="OUI",1,Saisie!O193="NON",0)</f>
        <v>#N/A</v>
      </c>
      <c r="X193" s="63">
        <f>Saisie!P193</f>
        <v>0</v>
      </c>
      <c r="Y193" s="299">
        <f>Saisie!H193</f>
        <v>0</v>
      </c>
      <c r="Z193" s="58" t="e">
        <f>Saisie!#REF!</f>
        <v>#REF!</v>
      </c>
      <c r="AA193" s="299">
        <f>Saisie!Q193</f>
        <v>0</v>
      </c>
      <c r="AB193" s="63" t="e">
        <f t="array" ref="AB193">_xlfn.IFS(Saisie!R193="OUI",1,Saisie!R193="NON",0)</f>
        <v>#N/A</v>
      </c>
      <c r="AC193" s="63">
        <f>Saisie!S193</f>
        <v>0</v>
      </c>
      <c r="AD193" s="63" t="e">
        <f t="array" ref="AD193">_xlfn.IFS(Saisie!T193="OUI",1,Saisie!T193="NON",0)</f>
        <v>#N/A</v>
      </c>
      <c r="AE193" s="171">
        <f>Saisie!U193</f>
        <v>0</v>
      </c>
      <c r="AF193" s="262">
        <v>3</v>
      </c>
      <c r="AG193" s="129">
        <f>Saisie!W193</f>
        <v>0</v>
      </c>
      <c r="AH193" s="20">
        <f>Saisie!X193</f>
        <v>0</v>
      </c>
      <c r="AI193" s="21">
        <f>Saisie!Y193</f>
        <v>0</v>
      </c>
      <c r="AJ193" s="59">
        <f>Saisie!Z193</f>
        <v>0</v>
      </c>
      <c r="AK193" s="20">
        <f>Saisie!AA193</f>
        <v>0</v>
      </c>
      <c r="AL193" s="21">
        <f>Saisie!AB193</f>
        <v>0</v>
      </c>
      <c r="AM193" s="59">
        <f>Saisie!AC193</f>
        <v>0</v>
      </c>
      <c r="AN193" s="20">
        <f>Saisie!AD193</f>
        <v>0</v>
      </c>
      <c r="AO193" s="21">
        <f>Saisie!AE193</f>
        <v>0</v>
      </c>
      <c r="AP193" s="59">
        <f>Saisie!AF193</f>
        <v>0</v>
      </c>
      <c r="AQ193" s="129" t="e">
        <f t="array" ref="AQ193">_xlfn.IFS(Saisie!AG193="OUI",1,Saisie!AG193="NON",0)</f>
        <v>#N/A</v>
      </c>
      <c r="AR193" s="129" t="e">
        <f t="array" ref="AR193">_xlfn.IFS(Saisie!AH193="OUI",1,Saisie!AH193="NON",0)</f>
        <v>#N/A</v>
      </c>
      <c r="AS193" s="171">
        <f>Saisie!AI193</f>
        <v>0</v>
      </c>
      <c r="AT193" s="263" t="e">
        <f t="array" ref="AT193">_xlfn.IFS(Saisie!AJ193="OUI",1,Saisie!AJ193="NON",0)</f>
        <v>#N/A</v>
      </c>
      <c r="AU193" s="173">
        <f>Saisie!AK193</f>
        <v>0</v>
      </c>
      <c r="AV193" s="263" t="e">
        <f t="array" ref="AV193">_xlfn.IFS(Saisie!AL193="OUI",1,Saisie!AL193="NON",0)</f>
        <v>#N/A</v>
      </c>
      <c r="AW193" s="171">
        <f>Saisie!AM193</f>
        <v>0</v>
      </c>
      <c r="AX193" s="68">
        <f>Saisie!AN193</f>
        <v>0</v>
      </c>
      <c r="AY193" s="20">
        <f>Saisie!AO193</f>
        <v>0</v>
      </c>
      <c r="AZ193" s="21">
        <f>Saisie!AP193</f>
        <v>0</v>
      </c>
      <c r="BA193" s="298">
        <f>Saisie!AQ193</f>
        <v>0</v>
      </c>
      <c r="BB193" s="170">
        <f>Saisie!AR193</f>
        <v>0</v>
      </c>
      <c r="BC193" s="174">
        <f>Saisie!AS193</f>
        <v>0</v>
      </c>
      <c r="BD193" s="61">
        <f>Saisie!AT193</f>
        <v>0</v>
      </c>
      <c r="BE193" s="175" t="e">
        <f t="array" ref="BE193">_xlfn.IFS(Saisie!AU193="OUI",1,Saisie!AU193="NON",0)</f>
        <v>#N/A</v>
      </c>
      <c r="BF193" s="267">
        <f>Saisie!AV193</f>
        <v>0</v>
      </c>
      <c r="BG193" s="55">
        <f>Saisie!AW193</f>
        <v>0</v>
      </c>
      <c r="BH193" s="55" t="e">
        <f t="array" ref="BH193">_xlfn.IFS(Saisie!AX193="OUI",1,Saisie!AX193="NON",0)</f>
        <v>#N/A</v>
      </c>
      <c r="BI193" s="62">
        <f>Saisie!AY193</f>
        <v>0</v>
      </c>
      <c r="BJ193" s="55" t="e">
        <f t="array" ref="BJ193">_xlfn.IFS(Saisie!AZ193="OUI",1,Saisie!AZ193="NON",0)</f>
        <v>#N/A</v>
      </c>
      <c r="BK193" s="55" t="e">
        <f t="array" ref="BK193">_xlfn.IFS(Saisie!BA193="OUI",1,Saisie!BA193="NON",0)</f>
        <v>#N/A</v>
      </c>
      <c r="BL193" s="55">
        <f>Saisie!BB193</f>
        <v>0</v>
      </c>
      <c r="BM193" s="49" t="e">
        <f>Saisie!BC193</f>
        <v>#REF!</v>
      </c>
      <c r="BN193" s="175"/>
    </row>
    <row r="194" spans="1:66" s="176" customFormat="1" x14ac:dyDescent="0.45">
      <c r="A194" s="13">
        <v>188</v>
      </c>
      <c r="B194" s="150">
        <f>Saisie!B194</f>
        <v>0</v>
      </c>
      <c r="C194" s="150">
        <f>Saisie!C194</f>
        <v>0</v>
      </c>
      <c r="D194" s="150">
        <f>Saisie!D194</f>
        <v>0</v>
      </c>
      <c r="E194" s="150">
        <f>Saisie!E194</f>
        <v>0</v>
      </c>
      <c r="F194" s="150">
        <f>Saisie!F194</f>
        <v>0</v>
      </c>
      <c r="G194" s="150">
        <f>Saisie!G194</f>
        <v>0</v>
      </c>
      <c r="H194" s="150">
        <f>Saisie!I194</f>
        <v>0</v>
      </c>
      <c r="I194" s="150">
        <f>Saisie!J194</f>
        <v>0</v>
      </c>
      <c r="J194" s="150">
        <f>Saisie!K194</f>
        <v>0</v>
      </c>
      <c r="K194" s="150">
        <f>Saisie!L194</f>
        <v>0</v>
      </c>
      <c r="L194" s="150" t="e">
        <f>Saisie!#REF!</f>
        <v>#REF!</v>
      </c>
      <c r="M194" s="55" t="e">
        <f t="array" ref="M194">_xlfn.IFS(Saisie!M194="OUI",1,Saisie!M194="NON",0)</f>
        <v>#N/A</v>
      </c>
      <c r="N194" s="64" t="e">
        <f>Saisie!#REF!</f>
        <v>#REF!</v>
      </c>
      <c r="O194" s="63" t="e">
        <f>Saisie!#REF!</f>
        <v>#REF!</v>
      </c>
      <c r="P194" s="63">
        <f>Saisie!N194</f>
        <v>0</v>
      </c>
      <c r="Q194" s="63" t="e">
        <f t="array" ref="Q194">_xlfn.IFS(Saisie!#REF!="OUI",1,Saisie!#REF!="NON",0)</f>
        <v>#REF!</v>
      </c>
      <c r="R194" s="63" t="e">
        <f>Saisie!#REF!</f>
        <v>#REF!</v>
      </c>
      <c r="S194" s="65" t="e">
        <f>Saisie!#REF!</f>
        <v>#REF!</v>
      </c>
      <c r="T194" s="63" t="e">
        <f>Saisie!#REF!</f>
        <v>#REF!</v>
      </c>
      <c r="U194" s="63" t="e">
        <f>Saisie!#REF!</f>
        <v>#REF!</v>
      </c>
      <c r="V194" s="63" t="e">
        <f t="array" ref="V194">_xlfn.IFS(Saisie!#REF!="OUI",1,Saisie!#REF!="NON",0)</f>
        <v>#REF!</v>
      </c>
      <c r="W194" s="63" t="e">
        <f t="array" ref="W194">_xlfn.IFS(Saisie!O194="OUI",1,Saisie!O194="NON",0)</f>
        <v>#N/A</v>
      </c>
      <c r="X194" s="63">
        <f>Saisie!P194</f>
        <v>0</v>
      </c>
      <c r="Y194" s="299">
        <f>Saisie!H194</f>
        <v>0</v>
      </c>
      <c r="Z194" s="58" t="e">
        <f>Saisie!#REF!</f>
        <v>#REF!</v>
      </c>
      <c r="AA194" s="299">
        <f>Saisie!Q194</f>
        <v>0</v>
      </c>
      <c r="AB194" s="63" t="e">
        <f t="array" ref="AB194">_xlfn.IFS(Saisie!R194="OUI",1,Saisie!R194="NON",0)</f>
        <v>#N/A</v>
      </c>
      <c r="AC194" s="63">
        <f>Saisie!S194</f>
        <v>0</v>
      </c>
      <c r="AD194" s="63" t="e">
        <f t="array" ref="AD194">_xlfn.IFS(Saisie!T194="OUI",1,Saisie!T194="NON",0)</f>
        <v>#N/A</v>
      </c>
      <c r="AE194" s="171">
        <f>Saisie!U194</f>
        <v>0</v>
      </c>
      <c r="AF194" s="262">
        <v>3</v>
      </c>
      <c r="AG194" s="129">
        <f>Saisie!W194</f>
        <v>0</v>
      </c>
      <c r="AH194" s="20">
        <f>Saisie!X194</f>
        <v>0</v>
      </c>
      <c r="AI194" s="21">
        <f>Saisie!Y194</f>
        <v>0</v>
      </c>
      <c r="AJ194" s="59">
        <f>Saisie!Z194</f>
        <v>0</v>
      </c>
      <c r="AK194" s="20">
        <f>Saisie!AA194</f>
        <v>0</v>
      </c>
      <c r="AL194" s="21">
        <f>Saisie!AB194</f>
        <v>0</v>
      </c>
      <c r="AM194" s="59">
        <f>Saisie!AC194</f>
        <v>0</v>
      </c>
      <c r="AN194" s="20">
        <f>Saisie!AD194</f>
        <v>0</v>
      </c>
      <c r="AO194" s="21">
        <f>Saisie!AE194</f>
        <v>0</v>
      </c>
      <c r="AP194" s="59">
        <f>Saisie!AF194</f>
        <v>0</v>
      </c>
      <c r="AQ194" s="129" t="e">
        <f t="array" ref="AQ194">_xlfn.IFS(Saisie!AG194="OUI",1,Saisie!AG194="NON",0)</f>
        <v>#N/A</v>
      </c>
      <c r="AR194" s="129" t="e">
        <f t="array" ref="AR194">_xlfn.IFS(Saisie!AH194="OUI",1,Saisie!AH194="NON",0)</f>
        <v>#N/A</v>
      </c>
      <c r="AS194" s="171">
        <f>Saisie!AI194</f>
        <v>0</v>
      </c>
      <c r="AT194" s="263" t="e">
        <f t="array" ref="AT194">_xlfn.IFS(Saisie!AJ194="OUI",1,Saisie!AJ194="NON",0)</f>
        <v>#N/A</v>
      </c>
      <c r="AU194" s="173">
        <f>Saisie!AK194</f>
        <v>0</v>
      </c>
      <c r="AV194" s="263" t="e">
        <f t="array" ref="AV194">_xlfn.IFS(Saisie!AL194="OUI",1,Saisie!AL194="NON",0)</f>
        <v>#N/A</v>
      </c>
      <c r="AW194" s="171">
        <f>Saisie!AM194</f>
        <v>0</v>
      </c>
      <c r="AX194" s="68">
        <f>Saisie!AN194</f>
        <v>0</v>
      </c>
      <c r="AY194" s="20">
        <f>Saisie!AO194</f>
        <v>0</v>
      </c>
      <c r="AZ194" s="21">
        <f>Saisie!AP194</f>
        <v>0</v>
      </c>
      <c r="BA194" s="298">
        <f>Saisie!AQ194</f>
        <v>0</v>
      </c>
      <c r="BB194" s="170">
        <f>Saisie!AR194</f>
        <v>0</v>
      </c>
      <c r="BC194" s="174">
        <f>Saisie!AS194</f>
        <v>0</v>
      </c>
      <c r="BD194" s="61">
        <f>Saisie!AT194</f>
        <v>0</v>
      </c>
      <c r="BE194" s="175" t="e">
        <f t="array" ref="BE194">_xlfn.IFS(Saisie!AU194="OUI",1,Saisie!AU194="NON",0)</f>
        <v>#N/A</v>
      </c>
      <c r="BF194" s="267">
        <f>Saisie!AV194</f>
        <v>0</v>
      </c>
      <c r="BG194" s="55">
        <f>Saisie!AW194</f>
        <v>0</v>
      </c>
      <c r="BH194" s="55" t="e">
        <f t="array" ref="BH194">_xlfn.IFS(Saisie!AX194="OUI",1,Saisie!AX194="NON",0)</f>
        <v>#N/A</v>
      </c>
      <c r="BI194" s="62">
        <f>Saisie!AY194</f>
        <v>0</v>
      </c>
      <c r="BJ194" s="55" t="e">
        <f t="array" ref="BJ194">_xlfn.IFS(Saisie!AZ194="OUI",1,Saisie!AZ194="NON",0)</f>
        <v>#N/A</v>
      </c>
      <c r="BK194" s="55" t="e">
        <f t="array" ref="BK194">_xlfn.IFS(Saisie!BA194="OUI",1,Saisie!BA194="NON",0)</f>
        <v>#N/A</v>
      </c>
      <c r="BL194" s="55">
        <f>Saisie!BB194</f>
        <v>0</v>
      </c>
      <c r="BM194" s="49" t="e">
        <f>Saisie!BC194</f>
        <v>#REF!</v>
      </c>
      <c r="BN194" s="175"/>
    </row>
    <row r="195" spans="1:66" s="176" customFormat="1" x14ac:dyDescent="0.45">
      <c r="A195" s="13">
        <v>189</v>
      </c>
      <c r="B195" s="150">
        <f>Saisie!B195</f>
        <v>0</v>
      </c>
      <c r="C195" s="150">
        <f>Saisie!C195</f>
        <v>0</v>
      </c>
      <c r="D195" s="150">
        <f>Saisie!D195</f>
        <v>0</v>
      </c>
      <c r="E195" s="150">
        <f>Saisie!E195</f>
        <v>0</v>
      </c>
      <c r="F195" s="150">
        <f>Saisie!F195</f>
        <v>0</v>
      </c>
      <c r="G195" s="150">
        <f>Saisie!G195</f>
        <v>0</v>
      </c>
      <c r="H195" s="150">
        <f>Saisie!I195</f>
        <v>0</v>
      </c>
      <c r="I195" s="150">
        <f>Saisie!J195</f>
        <v>0</v>
      </c>
      <c r="J195" s="150">
        <f>Saisie!K195</f>
        <v>0</v>
      </c>
      <c r="K195" s="150">
        <f>Saisie!L195</f>
        <v>0</v>
      </c>
      <c r="L195" s="150" t="e">
        <f>Saisie!#REF!</f>
        <v>#REF!</v>
      </c>
      <c r="M195" s="55" t="e">
        <f t="array" ref="M195">_xlfn.IFS(Saisie!M195="OUI",1,Saisie!M195="NON",0)</f>
        <v>#N/A</v>
      </c>
      <c r="N195" s="64" t="e">
        <f>Saisie!#REF!</f>
        <v>#REF!</v>
      </c>
      <c r="O195" s="63" t="e">
        <f>Saisie!#REF!</f>
        <v>#REF!</v>
      </c>
      <c r="P195" s="63">
        <f>Saisie!N195</f>
        <v>0</v>
      </c>
      <c r="Q195" s="63" t="e">
        <f t="array" ref="Q195">_xlfn.IFS(Saisie!#REF!="OUI",1,Saisie!#REF!="NON",0)</f>
        <v>#REF!</v>
      </c>
      <c r="R195" s="63" t="e">
        <f>Saisie!#REF!</f>
        <v>#REF!</v>
      </c>
      <c r="S195" s="65" t="e">
        <f>Saisie!#REF!</f>
        <v>#REF!</v>
      </c>
      <c r="T195" s="63" t="e">
        <f>Saisie!#REF!</f>
        <v>#REF!</v>
      </c>
      <c r="U195" s="63" t="e">
        <f>Saisie!#REF!</f>
        <v>#REF!</v>
      </c>
      <c r="V195" s="63" t="e">
        <f t="array" ref="V195">_xlfn.IFS(Saisie!#REF!="OUI",1,Saisie!#REF!="NON",0)</f>
        <v>#REF!</v>
      </c>
      <c r="W195" s="63" t="e">
        <f t="array" ref="W195">_xlfn.IFS(Saisie!O195="OUI",1,Saisie!O195="NON",0)</f>
        <v>#N/A</v>
      </c>
      <c r="X195" s="63">
        <f>Saisie!P195</f>
        <v>0</v>
      </c>
      <c r="Y195" s="299">
        <f>Saisie!H195</f>
        <v>0</v>
      </c>
      <c r="Z195" s="58" t="e">
        <f>Saisie!#REF!</f>
        <v>#REF!</v>
      </c>
      <c r="AA195" s="299">
        <f>Saisie!Q195</f>
        <v>0</v>
      </c>
      <c r="AB195" s="63" t="e">
        <f t="array" ref="AB195">_xlfn.IFS(Saisie!R195="OUI",1,Saisie!R195="NON",0)</f>
        <v>#N/A</v>
      </c>
      <c r="AC195" s="63">
        <f>Saisie!S195</f>
        <v>0</v>
      </c>
      <c r="AD195" s="63" t="e">
        <f t="array" ref="AD195">_xlfn.IFS(Saisie!T195="OUI",1,Saisie!T195="NON",0)</f>
        <v>#N/A</v>
      </c>
      <c r="AE195" s="171">
        <f>Saisie!U195</f>
        <v>0</v>
      </c>
      <c r="AF195" s="262">
        <v>3</v>
      </c>
      <c r="AG195" s="129">
        <f>Saisie!W195</f>
        <v>0</v>
      </c>
      <c r="AH195" s="20">
        <f>Saisie!X195</f>
        <v>0</v>
      </c>
      <c r="AI195" s="21">
        <f>Saisie!Y195</f>
        <v>0</v>
      </c>
      <c r="AJ195" s="59">
        <f>Saisie!Z195</f>
        <v>0</v>
      </c>
      <c r="AK195" s="20">
        <f>Saisie!AA195</f>
        <v>0</v>
      </c>
      <c r="AL195" s="21">
        <f>Saisie!AB195</f>
        <v>0</v>
      </c>
      <c r="AM195" s="59">
        <f>Saisie!AC195</f>
        <v>0</v>
      </c>
      <c r="AN195" s="20">
        <f>Saisie!AD195</f>
        <v>0</v>
      </c>
      <c r="AO195" s="21">
        <f>Saisie!AE195</f>
        <v>0</v>
      </c>
      <c r="AP195" s="59">
        <f>Saisie!AF195</f>
        <v>0</v>
      </c>
      <c r="AQ195" s="129" t="e">
        <f t="array" ref="AQ195">_xlfn.IFS(Saisie!AG195="OUI",1,Saisie!AG195="NON",0)</f>
        <v>#N/A</v>
      </c>
      <c r="AR195" s="129" t="e">
        <f t="array" ref="AR195">_xlfn.IFS(Saisie!AH195="OUI",1,Saisie!AH195="NON",0)</f>
        <v>#N/A</v>
      </c>
      <c r="AS195" s="171">
        <f>Saisie!AI195</f>
        <v>0</v>
      </c>
      <c r="AT195" s="263" t="e">
        <f t="array" ref="AT195">_xlfn.IFS(Saisie!AJ195="OUI",1,Saisie!AJ195="NON",0)</f>
        <v>#N/A</v>
      </c>
      <c r="AU195" s="173">
        <f>Saisie!AK195</f>
        <v>0</v>
      </c>
      <c r="AV195" s="263" t="e">
        <f t="array" ref="AV195">_xlfn.IFS(Saisie!AL195="OUI",1,Saisie!AL195="NON",0)</f>
        <v>#N/A</v>
      </c>
      <c r="AW195" s="171">
        <f>Saisie!AM195</f>
        <v>0</v>
      </c>
      <c r="AX195" s="68">
        <f>Saisie!AN195</f>
        <v>0</v>
      </c>
      <c r="AY195" s="20">
        <f>Saisie!AO195</f>
        <v>0</v>
      </c>
      <c r="AZ195" s="21">
        <f>Saisie!AP195</f>
        <v>0</v>
      </c>
      <c r="BA195" s="298">
        <f>Saisie!AQ195</f>
        <v>0</v>
      </c>
      <c r="BB195" s="170">
        <f>Saisie!AR195</f>
        <v>0</v>
      </c>
      <c r="BC195" s="174">
        <f>Saisie!AS195</f>
        <v>0</v>
      </c>
      <c r="BD195" s="61">
        <f>Saisie!AT195</f>
        <v>0</v>
      </c>
      <c r="BE195" s="175" t="e">
        <f t="array" ref="BE195">_xlfn.IFS(Saisie!AU195="OUI",1,Saisie!AU195="NON",0)</f>
        <v>#N/A</v>
      </c>
      <c r="BF195" s="267">
        <f>Saisie!AV195</f>
        <v>0</v>
      </c>
      <c r="BG195" s="55">
        <f>Saisie!AW195</f>
        <v>0</v>
      </c>
      <c r="BH195" s="55" t="e">
        <f t="array" ref="BH195">_xlfn.IFS(Saisie!AX195="OUI",1,Saisie!AX195="NON",0)</f>
        <v>#N/A</v>
      </c>
      <c r="BI195" s="62">
        <f>Saisie!AY195</f>
        <v>0</v>
      </c>
      <c r="BJ195" s="55" t="e">
        <f t="array" ref="BJ195">_xlfn.IFS(Saisie!AZ195="OUI",1,Saisie!AZ195="NON",0)</f>
        <v>#N/A</v>
      </c>
      <c r="BK195" s="55" t="e">
        <f t="array" ref="BK195">_xlfn.IFS(Saisie!BA195="OUI",1,Saisie!BA195="NON",0)</f>
        <v>#N/A</v>
      </c>
      <c r="BL195" s="55">
        <f>Saisie!BB195</f>
        <v>0</v>
      </c>
      <c r="BM195" s="49" t="e">
        <f>Saisie!BC195</f>
        <v>#REF!</v>
      </c>
      <c r="BN195" s="175"/>
    </row>
    <row r="196" spans="1:66" s="176" customFormat="1" x14ac:dyDescent="0.45">
      <c r="A196" s="12">
        <v>190</v>
      </c>
      <c r="B196" s="150">
        <f>Saisie!B196</f>
        <v>0</v>
      </c>
      <c r="C196" s="150">
        <f>Saisie!C196</f>
        <v>0</v>
      </c>
      <c r="D196" s="150">
        <f>Saisie!D196</f>
        <v>0</v>
      </c>
      <c r="E196" s="150">
        <f>Saisie!E196</f>
        <v>0</v>
      </c>
      <c r="F196" s="150">
        <f>Saisie!F196</f>
        <v>0</v>
      </c>
      <c r="G196" s="150">
        <f>Saisie!G196</f>
        <v>0</v>
      </c>
      <c r="H196" s="150">
        <f>Saisie!I196</f>
        <v>0</v>
      </c>
      <c r="I196" s="150">
        <f>Saisie!J196</f>
        <v>0</v>
      </c>
      <c r="J196" s="150">
        <f>Saisie!K196</f>
        <v>0</v>
      </c>
      <c r="K196" s="150">
        <f>Saisie!L196</f>
        <v>0</v>
      </c>
      <c r="L196" s="150" t="e">
        <f>Saisie!#REF!</f>
        <v>#REF!</v>
      </c>
      <c r="M196" s="55" t="e">
        <f t="array" ref="M196">_xlfn.IFS(Saisie!M196="OUI",1,Saisie!M196="NON",0)</f>
        <v>#N/A</v>
      </c>
      <c r="N196" s="64" t="e">
        <f>Saisie!#REF!</f>
        <v>#REF!</v>
      </c>
      <c r="O196" s="63" t="e">
        <f>Saisie!#REF!</f>
        <v>#REF!</v>
      </c>
      <c r="P196" s="63">
        <f>Saisie!N196</f>
        <v>0</v>
      </c>
      <c r="Q196" s="63" t="e">
        <f t="array" ref="Q196">_xlfn.IFS(Saisie!#REF!="OUI",1,Saisie!#REF!="NON",0)</f>
        <v>#REF!</v>
      </c>
      <c r="R196" s="63" t="e">
        <f>Saisie!#REF!</f>
        <v>#REF!</v>
      </c>
      <c r="S196" s="65" t="e">
        <f>Saisie!#REF!</f>
        <v>#REF!</v>
      </c>
      <c r="T196" s="63" t="e">
        <f>Saisie!#REF!</f>
        <v>#REF!</v>
      </c>
      <c r="U196" s="63" t="e">
        <f>Saisie!#REF!</f>
        <v>#REF!</v>
      </c>
      <c r="V196" s="63" t="e">
        <f t="array" ref="V196">_xlfn.IFS(Saisie!#REF!="OUI",1,Saisie!#REF!="NON",0)</f>
        <v>#REF!</v>
      </c>
      <c r="W196" s="63" t="e">
        <f t="array" ref="W196">_xlfn.IFS(Saisie!O196="OUI",1,Saisie!O196="NON",0)</f>
        <v>#N/A</v>
      </c>
      <c r="X196" s="63">
        <f>Saisie!P196</f>
        <v>0</v>
      </c>
      <c r="Y196" s="299">
        <f>Saisie!H196</f>
        <v>0</v>
      </c>
      <c r="Z196" s="58" t="e">
        <f>Saisie!#REF!</f>
        <v>#REF!</v>
      </c>
      <c r="AA196" s="299">
        <f>Saisie!Q196</f>
        <v>0</v>
      </c>
      <c r="AB196" s="63" t="e">
        <f t="array" ref="AB196">_xlfn.IFS(Saisie!R196="OUI",1,Saisie!R196="NON",0)</f>
        <v>#N/A</v>
      </c>
      <c r="AC196" s="63">
        <f>Saisie!S196</f>
        <v>0</v>
      </c>
      <c r="AD196" s="63" t="e">
        <f t="array" ref="AD196">_xlfn.IFS(Saisie!T196="OUI",1,Saisie!T196="NON",0)</f>
        <v>#N/A</v>
      </c>
      <c r="AE196" s="171">
        <f>Saisie!U196</f>
        <v>0</v>
      </c>
      <c r="AF196" s="262">
        <v>3</v>
      </c>
      <c r="AG196" s="129">
        <f>Saisie!W196</f>
        <v>0</v>
      </c>
      <c r="AH196" s="20">
        <f>Saisie!X196</f>
        <v>0</v>
      </c>
      <c r="AI196" s="21">
        <f>Saisie!Y196</f>
        <v>0</v>
      </c>
      <c r="AJ196" s="59">
        <f>Saisie!Z196</f>
        <v>0</v>
      </c>
      <c r="AK196" s="20">
        <f>Saisie!AA196</f>
        <v>0</v>
      </c>
      <c r="AL196" s="21">
        <f>Saisie!AB196</f>
        <v>0</v>
      </c>
      <c r="AM196" s="59">
        <f>Saisie!AC196</f>
        <v>0</v>
      </c>
      <c r="AN196" s="20">
        <f>Saisie!AD196</f>
        <v>0</v>
      </c>
      <c r="AO196" s="21">
        <f>Saisie!AE196</f>
        <v>0</v>
      </c>
      <c r="AP196" s="59">
        <f>Saisie!AF196</f>
        <v>0</v>
      </c>
      <c r="AQ196" s="129" t="e">
        <f t="array" ref="AQ196">_xlfn.IFS(Saisie!AG196="OUI",1,Saisie!AG196="NON",0)</f>
        <v>#N/A</v>
      </c>
      <c r="AR196" s="129" t="e">
        <f t="array" ref="AR196">_xlfn.IFS(Saisie!AH196="OUI",1,Saisie!AH196="NON",0)</f>
        <v>#N/A</v>
      </c>
      <c r="AS196" s="171">
        <f>Saisie!AI196</f>
        <v>0</v>
      </c>
      <c r="AT196" s="263" t="e">
        <f t="array" ref="AT196">_xlfn.IFS(Saisie!AJ196="OUI",1,Saisie!AJ196="NON",0)</f>
        <v>#N/A</v>
      </c>
      <c r="AU196" s="173">
        <f>Saisie!AK196</f>
        <v>0</v>
      </c>
      <c r="AV196" s="263" t="e">
        <f t="array" ref="AV196">_xlfn.IFS(Saisie!AL196="OUI",1,Saisie!AL196="NON",0)</f>
        <v>#N/A</v>
      </c>
      <c r="AW196" s="171">
        <f>Saisie!AM196</f>
        <v>0</v>
      </c>
      <c r="AX196" s="68">
        <f>Saisie!AN196</f>
        <v>0</v>
      </c>
      <c r="AY196" s="20">
        <f>Saisie!AO196</f>
        <v>0</v>
      </c>
      <c r="AZ196" s="21">
        <f>Saisie!AP196</f>
        <v>0</v>
      </c>
      <c r="BA196" s="298">
        <f>Saisie!AQ196</f>
        <v>0</v>
      </c>
      <c r="BB196" s="170">
        <f>Saisie!AR196</f>
        <v>0</v>
      </c>
      <c r="BC196" s="174">
        <f>Saisie!AS196</f>
        <v>0</v>
      </c>
      <c r="BD196" s="61">
        <f>Saisie!AT196</f>
        <v>0</v>
      </c>
      <c r="BE196" s="175" t="e">
        <f t="array" ref="BE196">_xlfn.IFS(Saisie!AU196="OUI",1,Saisie!AU196="NON",0)</f>
        <v>#N/A</v>
      </c>
      <c r="BF196" s="267">
        <f>Saisie!AV196</f>
        <v>0</v>
      </c>
      <c r="BG196" s="55">
        <f>Saisie!AW196</f>
        <v>0</v>
      </c>
      <c r="BH196" s="55" t="e">
        <f t="array" ref="BH196">_xlfn.IFS(Saisie!AX196="OUI",1,Saisie!AX196="NON",0)</f>
        <v>#N/A</v>
      </c>
      <c r="BI196" s="62">
        <f>Saisie!AY196</f>
        <v>0</v>
      </c>
      <c r="BJ196" s="55" t="e">
        <f t="array" ref="BJ196">_xlfn.IFS(Saisie!AZ196="OUI",1,Saisie!AZ196="NON",0)</f>
        <v>#N/A</v>
      </c>
      <c r="BK196" s="55" t="e">
        <f t="array" ref="BK196">_xlfn.IFS(Saisie!BA196="OUI",1,Saisie!BA196="NON",0)</f>
        <v>#N/A</v>
      </c>
      <c r="BL196" s="55">
        <f>Saisie!BB196</f>
        <v>0</v>
      </c>
      <c r="BM196" s="49" t="e">
        <f>Saisie!BC196</f>
        <v>#REF!</v>
      </c>
      <c r="BN196" s="175"/>
    </row>
    <row r="197" spans="1:66" s="176" customFormat="1" x14ac:dyDescent="0.45">
      <c r="A197" s="13">
        <v>191</v>
      </c>
      <c r="B197" s="150">
        <f>Saisie!B197</f>
        <v>0</v>
      </c>
      <c r="C197" s="150">
        <f>Saisie!C197</f>
        <v>0</v>
      </c>
      <c r="D197" s="150">
        <f>Saisie!D197</f>
        <v>0</v>
      </c>
      <c r="E197" s="150">
        <f>Saisie!E197</f>
        <v>0</v>
      </c>
      <c r="F197" s="150">
        <f>Saisie!F197</f>
        <v>0</v>
      </c>
      <c r="G197" s="150">
        <f>Saisie!G197</f>
        <v>0</v>
      </c>
      <c r="H197" s="150">
        <f>Saisie!I197</f>
        <v>0</v>
      </c>
      <c r="I197" s="150">
        <f>Saisie!J197</f>
        <v>0</v>
      </c>
      <c r="J197" s="150">
        <f>Saisie!K197</f>
        <v>0</v>
      </c>
      <c r="K197" s="150">
        <f>Saisie!L197</f>
        <v>0</v>
      </c>
      <c r="L197" s="150" t="e">
        <f>Saisie!#REF!</f>
        <v>#REF!</v>
      </c>
      <c r="M197" s="55" t="e">
        <f t="array" ref="M197">_xlfn.IFS(Saisie!M197="OUI",1,Saisie!M197="NON",0)</f>
        <v>#N/A</v>
      </c>
      <c r="N197" s="64" t="e">
        <f>Saisie!#REF!</f>
        <v>#REF!</v>
      </c>
      <c r="O197" s="63" t="e">
        <f>Saisie!#REF!</f>
        <v>#REF!</v>
      </c>
      <c r="P197" s="63">
        <f>Saisie!N197</f>
        <v>0</v>
      </c>
      <c r="Q197" s="63" t="e">
        <f t="array" ref="Q197">_xlfn.IFS(Saisie!#REF!="OUI",1,Saisie!#REF!="NON",0)</f>
        <v>#REF!</v>
      </c>
      <c r="R197" s="63" t="e">
        <f>Saisie!#REF!</f>
        <v>#REF!</v>
      </c>
      <c r="S197" s="65" t="e">
        <f>Saisie!#REF!</f>
        <v>#REF!</v>
      </c>
      <c r="T197" s="63" t="e">
        <f>Saisie!#REF!</f>
        <v>#REF!</v>
      </c>
      <c r="U197" s="63" t="e">
        <f>Saisie!#REF!</f>
        <v>#REF!</v>
      </c>
      <c r="V197" s="63" t="e">
        <f t="array" ref="V197">_xlfn.IFS(Saisie!#REF!="OUI",1,Saisie!#REF!="NON",0)</f>
        <v>#REF!</v>
      </c>
      <c r="W197" s="63" t="e">
        <f t="array" ref="W197">_xlfn.IFS(Saisie!O197="OUI",1,Saisie!O197="NON",0)</f>
        <v>#N/A</v>
      </c>
      <c r="X197" s="63">
        <f>Saisie!P197</f>
        <v>0</v>
      </c>
      <c r="Y197" s="299">
        <f>Saisie!H197</f>
        <v>0</v>
      </c>
      <c r="Z197" s="58" t="e">
        <f>Saisie!#REF!</f>
        <v>#REF!</v>
      </c>
      <c r="AA197" s="299">
        <f>Saisie!Q197</f>
        <v>0</v>
      </c>
      <c r="AB197" s="63" t="e">
        <f t="array" ref="AB197">_xlfn.IFS(Saisie!R197="OUI",1,Saisie!R197="NON",0)</f>
        <v>#N/A</v>
      </c>
      <c r="AC197" s="63">
        <f>Saisie!S197</f>
        <v>0</v>
      </c>
      <c r="AD197" s="63" t="e">
        <f t="array" ref="AD197">_xlfn.IFS(Saisie!T197="OUI",1,Saisie!T197="NON",0)</f>
        <v>#N/A</v>
      </c>
      <c r="AE197" s="171">
        <f>Saisie!U197</f>
        <v>0</v>
      </c>
      <c r="AF197" s="262">
        <v>3</v>
      </c>
      <c r="AG197" s="129">
        <f>Saisie!W197</f>
        <v>0</v>
      </c>
      <c r="AH197" s="20">
        <f>Saisie!X197</f>
        <v>0</v>
      </c>
      <c r="AI197" s="21">
        <f>Saisie!Y197</f>
        <v>0</v>
      </c>
      <c r="AJ197" s="59">
        <f>Saisie!Z197</f>
        <v>0</v>
      </c>
      <c r="AK197" s="20">
        <f>Saisie!AA197</f>
        <v>0</v>
      </c>
      <c r="AL197" s="21">
        <f>Saisie!AB197</f>
        <v>0</v>
      </c>
      <c r="AM197" s="59">
        <f>Saisie!AC197</f>
        <v>0</v>
      </c>
      <c r="AN197" s="20">
        <f>Saisie!AD197</f>
        <v>0</v>
      </c>
      <c r="AO197" s="21">
        <f>Saisie!AE197</f>
        <v>0</v>
      </c>
      <c r="AP197" s="59">
        <f>Saisie!AF197</f>
        <v>0</v>
      </c>
      <c r="AQ197" s="129" t="e">
        <f t="array" ref="AQ197">_xlfn.IFS(Saisie!AG197="OUI",1,Saisie!AG197="NON",0)</f>
        <v>#N/A</v>
      </c>
      <c r="AR197" s="129" t="e">
        <f t="array" ref="AR197">_xlfn.IFS(Saisie!AH197="OUI",1,Saisie!AH197="NON",0)</f>
        <v>#N/A</v>
      </c>
      <c r="AS197" s="171">
        <f>Saisie!AI197</f>
        <v>0</v>
      </c>
      <c r="AT197" s="263" t="e">
        <f t="array" ref="AT197">_xlfn.IFS(Saisie!AJ197="OUI",1,Saisie!AJ197="NON",0)</f>
        <v>#N/A</v>
      </c>
      <c r="AU197" s="173">
        <f>Saisie!AK197</f>
        <v>0</v>
      </c>
      <c r="AV197" s="263" t="e">
        <f t="array" ref="AV197">_xlfn.IFS(Saisie!AL197="OUI",1,Saisie!AL197="NON",0)</f>
        <v>#N/A</v>
      </c>
      <c r="AW197" s="171">
        <f>Saisie!AM197</f>
        <v>0</v>
      </c>
      <c r="AX197" s="68">
        <f>Saisie!AN197</f>
        <v>0</v>
      </c>
      <c r="AY197" s="20">
        <f>Saisie!AO197</f>
        <v>0</v>
      </c>
      <c r="AZ197" s="21">
        <f>Saisie!AP197</f>
        <v>0</v>
      </c>
      <c r="BA197" s="298">
        <f>Saisie!AQ197</f>
        <v>0</v>
      </c>
      <c r="BB197" s="170">
        <f>Saisie!AR197</f>
        <v>0</v>
      </c>
      <c r="BC197" s="174">
        <f>Saisie!AS197</f>
        <v>0</v>
      </c>
      <c r="BD197" s="61">
        <f>Saisie!AT197</f>
        <v>0</v>
      </c>
      <c r="BE197" s="175" t="e">
        <f t="array" ref="BE197">_xlfn.IFS(Saisie!AU197="OUI",1,Saisie!AU197="NON",0)</f>
        <v>#N/A</v>
      </c>
      <c r="BF197" s="267">
        <f>Saisie!AV197</f>
        <v>0</v>
      </c>
      <c r="BG197" s="55">
        <f>Saisie!AW197</f>
        <v>0</v>
      </c>
      <c r="BH197" s="55" t="e">
        <f t="array" ref="BH197">_xlfn.IFS(Saisie!AX197="OUI",1,Saisie!AX197="NON",0)</f>
        <v>#N/A</v>
      </c>
      <c r="BI197" s="62">
        <f>Saisie!AY197</f>
        <v>0</v>
      </c>
      <c r="BJ197" s="55" t="e">
        <f t="array" ref="BJ197">_xlfn.IFS(Saisie!AZ197="OUI",1,Saisie!AZ197="NON",0)</f>
        <v>#N/A</v>
      </c>
      <c r="BK197" s="55" t="e">
        <f t="array" ref="BK197">_xlfn.IFS(Saisie!BA197="OUI",1,Saisie!BA197="NON",0)</f>
        <v>#N/A</v>
      </c>
      <c r="BL197" s="55">
        <f>Saisie!BB197</f>
        <v>0</v>
      </c>
      <c r="BM197" s="49" t="e">
        <f>Saisie!BC197</f>
        <v>#REF!</v>
      </c>
      <c r="BN197" s="175"/>
    </row>
    <row r="198" spans="1:66" s="176" customFormat="1" x14ac:dyDescent="0.45">
      <c r="A198" s="13">
        <v>192</v>
      </c>
      <c r="B198" s="150">
        <f>Saisie!B198</f>
        <v>0</v>
      </c>
      <c r="C198" s="150">
        <f>Saisie!C198</f>
        <v>0</v>
      </c>
      <c r="D198" s="150">
        <f>Saisie!D198</f>
        <v>0</v>
      </c>
      <c r="E198" s="150">
        <f>Saisie!E198</f>
        <v>0</v>
      </c>
      <c r="F198" s="150">
        <f>Saisie!F198</f>
        <v>0</v>
      </c>
      <c r="G198" s="150">
        <f>Saisie!G198</f>
        <v>0</v>
      </c>
      <c r="H198" s="150">
        <f>Saisie!I198</f>
        <v>0</v>
      </c>
      <c r="I198" s="150">
        <f>Saisie!J198</f>
        <v>0</v>
      </c>
      <c r="J198" s="150">
        <f>Saisie!K198</f>
        <v>0</v>
      </c>
      <c r="K198" s="150">
        <f>Saisie!L198</f>
        <v>0</v>
      </c>
      <c r="L198" s="150" t="e">
        <f>Saisie!#REF!</f>
        <v>#REF!</v>
      </c>
      <c r="M198" s="55" t="e">
        <f t="array" ref="M198">_xlfn.IFS(Saisie!M198="OUI",1,Saisie!M198="NON",0)</f>
        <v>#N/A</v>
      </c>
      <c r="N198" s="64" t="e">
        <f>Saisie!#REF!</f>
        <v>#REF!</v>
      </c>
      <c r="O198" s="63" t="e">
        <f>Saisie!#REF!</f>
        <v>#REF!</v>
      </c>
      <c r="P198" s="63">
        <f>Saisie!N198</f>
        <v>0</v>
      </c>
      <c r="Q198" s="63" t="e">
        <f t="array" ref="Q198">_xlfn.IFS(Saisie!#REF!="OUI",1,Saisie!#REF!="NON",0)</f>
        <v>#REF!</v>
      </c>
      <c r="R198" s="63" t="e">
        <f>Saisie!#REF!</f>
        <v>#REF!</v>
      </c>
      <c r="S198" s="65" t="e">
        <f>Saisie!#REF!</f>
        <v>#REF!</v>
      </c>
      <c r="T198" s="63" t="e">
        <f>Saisie!#REF!</f>
        <v>#REF!</v>
      </c>
      <c r="U198" s="63" t="e">
        <f>Saisie!#REF!</f>
        <v>#REF!</v>
      </c>
      <c r="V198" s="63" t="e">
        <f t="array" ref="V198">_xlfn.IFS(Saisie!#REF!="OUI",1,Saisie!#REF!="NON",0)</f>
        <v>#REF!</v>
      </c>
      <c r="W198" s="63" t="e">
        <f t="array" ref="W198">_xlfn.IFS(Saisie!O198="OUI",1,Saisie!O198="NON",0)</f>
        <v>#N/A</v>
      </c>
      <c r="X198" s="63">
        <f>Saisie!P198</f>
        <v>0</v>
      </c>
      <c r="Y198" s="299">
        <f>Saisie!H198</f>
        <v>0</v>
      </c>
      <c r="Z198" s="58" t="e">
        <f>Saisie!#REF!</f>
        <v>#REF!</v>
      </c>
      <c r="AA198" s="299">
        <f>Saisie!Q198</f>
        <v>0</v>
      </c>
      <c r="AB198" s="63" t="e">
        <f t="array" ref="AB198">_xlfn.IFS(Saisie!R198="OUI",1,Saisie!R198="NON",0)</f>
        <v>#N/A</v>
      </c>
      <c r="AC198" s="63">
        <f>Saisie!S198</f>
        <v>0</v>
      </c>
      <c r="AD198" s="63" t="e">
        <f t="array" ref="AD198">_xlfn.IFS(Saisie!T198="OUI",1,Saisie!T198="NON",0)</f>
        <v>#N/A</v>
      </c>
      <c r="AE198" s="171">
        <f>Saisie!U198</f>
        <v>0</v>
      </c>
      <c r="AF198" s="262">
        <v>3</v>
      </c>
      <c r="AG198" s="129">
        <f>Saisie!W198</f>
        <v>0</v>
      </c>
      <c r="AH198" s="20">
        <f>Saisie!X198</f>
        <v>0</v>
      </c>
      <c r="AI198" s="21">
        <f>Saisie!Y198</f>
        <v>0</v>
      </c>
      <c r="AJ198" s="59">
        <f>Saisie!Z198</f>
        <v>0</v>
      </c>
      <c r="AK198" s="20">
        <f>Saisie!AA198</f>
        <v>0</v>
      </c>
      <c r="AL198" s="21">
        <f>Saisie!AB198</f>
        <v>0</v>
      </c>
      <c r="AM198" s="59">
        <f>Saisie!AC198</f>
        <v>0</v>
      </c>
      <c r="AN198" s="20">
        <f>Saisie!AD198</f>
        <v>0</v>
      </c>
      <c r="AO198" s="21">
        <f>Saisie!AE198</f>
        <v>0</v>
      </c>
      <c r="AP198" s="59">
        <f>Saisie!AF198</f>
        <v>0</v>
      </c>
      <c r="AQ198" s="129" t="e">
        <f t="array" ref="AQ198">_xlfn.IFS(Saisie!AG198="OUI",1,Saisie!AG198="NON",0)</f>
        <v>#N/A</v>
      </c>
      <c r="AR198" s="129" t="e">
        <f t="array" ref="AR198">_xlfn.IFS(Saisie!AH198="OUI",1,Saisie!AH198="NON",0)</f>
        <v>#N/A</v>
      </c>
      <c r="AS198" s="171">
        <f>Saisie!AI198</f>
        <v>0</v>
      </c>
      <c r="AT198" s="263" t="e">
        <f t="array" ref="AT198">_xlfn.IFS(Saisie!AJ198="OUI",1,Saisie!AJ198="NON",0)</f>
        <v>#N/A</v>
      </c>
      <c r="AU198" s="173">
        <f>Saisie!AK198</f>
        <v>0</v>
      </c>
      <c r="AV198" s="263" t="e">
        <f t="array" ref="AV198">_xlfn.IFS(Saisie!AL198="OUI",1,Saisie!AL198="NON",0)</f>
        <v>#N/A</v>
      </c>
      <c r="AW198" s="171">
        <f>Saisie!AM198</f>
        <v>0</v>
      </c>
      <c r="AX198" s="68">
        <f>Saisie!AN198</f>
        <v>0</v>
      </c>
      <c r="AY198" s="20">
        <f>Saisie!AO198</f>
        <v>0</v>
      </c>
      <c r="AZ198" s="21">
        <f>Saisie!AP198</f>
        <v>0</v>
      </c>
      <c r="BA198" s="298">
        <f>Saisie!AQ198</f>
        <v>0</v>
      </c>
      <c r="BB198" s="170">
        <f>Saisie!AR198</f>
        <v>0</v>
      </c>
      <c r="BC198" s="174">
        <f>Saisie!AS198</f>
        <v>0</v>
      </c>
      <c r="BD198" s="61">
        <f>Saisie!AT198</f>
        <v>0</v>
      </c>
      <c r="BE198" s="175" t="e">
        <f t="array" ref="BE198">_xlfn.IFS(Saisie!AU198="OUI",1,Saisie!AU198="NON",0)</f>
        <v>#N/A</v>
      </c>
      <c r="BF198" s="267">
        <f>Saisie!AV198</f>
        <v>0</v>
      </c>
      <c r="BG198" s="55">
        <f>Saisie!AW198</f>
        <v>0</v>
      </c>
      <c r="BH198" s="55" t="e">
        <f t="array" ref="BH198">_xlfn.IFS(Saisie!AX198="OUI",1,Saisie!AX198="NON",0)</f>
        <v>#N/A</v>
      </c>
      <c r="BI198" s="62">
        <f>Saisie!AY198</f>
        <v>0</v>
      </c>
      <c r="BJ198" s="55" t="e">
        <f t="array" ref="BJ198">_xlfn.IFS(Saisie!AZ198="OUI",1,Saisie!AZ198="NON",0)</f>
        <v>#N/A</v>
      </c>
      <c r="BK198" s="55" t="e">
        <f t="array" ref="BK198">_xlfn.IFS(Saisie!BA198="OUI",1,Saisie!BA198="NON",0)</f>
        <v>#N/A</v>
      </c>
      <c r="BL198" s="55">
        <f>Saisie!BB198</f>
        <v>0</v>
      </c>
      <c r="BM198" s="49" t="e">
        <f>Saisie!BC198</f>
        <v>#REF!</v>
      </c>
      <c r="BN198" s="175"/>
    </row>
    <row r="199" spans="1:66" s="176" customFormat="1" x14ac:dyDescent="0.45">
      <c r="A199" s="12">
        <v>193</v>
      </c>
      <c r="B199" s="150">
        <f>Saisie!B199</f>
        <v>0</v>
      </c>
      <c r="C199" s="150">
        <f>Saisie!C199</f>
        <v>0</v>
      </c>
      <c r="D199" s="150">
        <f>Saisie!D199</f>
        <v>0</v>
      </c>
      <c r="E199" s="150">
        <f>Saisie!E199</f>
        <v>0</v>
      </c>
      <c r="F199" s="150">
        <f>Saisie!F199</f>
        <v>0</v>
      </c>
      <c r="G199" s="150">
        <f>Saisie!G199</f>
        <v>0</v>
      </c>
      <c r="H199" s="150">
        <f>Saisie!I199</f>
        <v>0</v>
      </c>
      <c r="I199" s="150">
        <f>Saisie!J199</f>
        <v>0</v>
      </c>
      <c r="J199" s="150">
        <f>Saisie!K199</f>
        <v>0</v>
      </c>
      <c r="K199" s="150">
        <f>Saisie!L199</f>
        <v>0</v>
      </c>
      <c r="L199" s="150" t="e">
        <f>Saisie!#REF!</f>
        <v>#REF!</v>
      </c>
      <c r="M199" s="55" t="e">
        <f t="array" ref="M199">_xlfn.IFS(Saisie!M199="OUI",1,Saisie!M199="NON",0)</f>
        <v>#N/A</v>
      </c>
      <c r="N199" s="64" t="e">
        <f>Saisie!#REF!</f>
        <v>#REF!</v>
      </c>
      <c r="O199" s="63" t="e">
        <f>Saisie!#REF!</f>
        <v>#REF!</v>
      </c>
      <c r="P199" s="63">
        <f>Saisie!N199</f>
        <v>0</v>
      </c>
      <c r="Q199" s="63" t="e">
        <f t="array" ref="Q199">_xlfn.IFS(Saisie!#REF!="OUI",1,Saisie!#REF!="NON",0)</f>
        <v>#REF!</v>
      </c>
      <c r="R199" s="63" t="e">
        <f>Saisie!#REF!</f>
        <v>#REF!</v>
      </c>
      <c r="S199" s="65" t="e">
        <f>Saisie!#REF!</f>
        <v>#REF!</v>
      </c>
      <c r="T199" s="63" t="e">
        <f>Saisie!#REF!</f>
        <v>#REF!</v>
      </c>
      <c r="U199" s="63" t="e">
        <f>Saisie!#REF!</f>
        <v>#REF!</v>
      </c>
      <c r="V199" s="63" t="e">
        <f t="array" ref="V199">_xlfn.IFS(Saisie!#REF!="OUI",1,Saisie!#REF!="NON",0)</f>
        <v>#REF!</v>
      </c>
      <c r="W199" s="63" t="e">
        <f t="array" ref="W199">_xlfn.IFS(Saisie!O199="OUI",1,Saisie!O199="NON",0)</f>
        <v>#N/A</v>
      </c>
      <c r="X199" s="63">
        <f>Saisie!P199</f>
        <v>0</v>
      </c>
      <c r="Y199" s="299">
        <f>Saisie!H199</f>
        <v>0</v>
      </c>
      <c r="Z199" s="58" t="e">
        <f>Saisie!#REF!</f>
        <v>#REF!</v>
      </c>
      <c r="AA199" s="299">
        <f>Saisie!Q199</f>
        <v>0</v>
      </c>
      <c r="AB199" s="63" t="e">
        <f t="array" ref="AB199">_xlfn.IFS(Saisie!R199="OUI",1,Saisie!R199="NON",0)</f>
        <v>#N/A</v>
      </c>
      <c r="AC199" s="63">
        <f>Saisie!S199</f>
        <v>0</v>
      </c>
      <c r="AD199" s="63" t="e">
        <f t="array" ref="AD199">_xlfn.IFS(Saisie!T199="OUI",1,Saisie!T199="NON",0)</f>
        <v>#N/A</v>
      </c>
      <c r="AE199" s="171">
        <f>Saisie!U199</f>
        <v>0</v>
      </c>
      <c r="AF199" s="262">
        <v>3</v>
      </c>
      <c r="AG199" s="129">
        <f>Saisie!W199</f>
        <v>0</v>
      </c>
      <c r="AH199" s="20">
        <f>Saisie!X199</f>
        <v>0</v>
      </c>
      <c r="AI199" s="21">
        <f>Saisie!Y199</f>
        <v>0</v>
      </c>
      <c r="AJ199" s="59">
        <f>Saisie!Z199</f>
        <v>0</v>
      </c>
      <c r="AK199" s="20">
        <f>Saisie!AA199</f>
        <v>0</v>
      </c>
      <c r="AL199" s="21">
        <f>Saisie!AB199</f>
        <v>0</v>
      </c>
      <c r="AM199" s="59">
        <f>Saisie!AC199</f>
        <v>0</v>
      </c>
      <c r="AN199" s="20">
        <f>Saisie!AD199</f>
        <v>0</v>
      </c>
      <c r="AO199" s="21">
        <f>Saisie!AE199</f>
        <v>0</v>
      </c>
      <c r="AP199" s="59">
        <f>Saisie!AF199</f>
        <v>0</v>
      </c>
      <c r="AQ199" s="129" t="e">
        <f t="array" ref="AQ199">_xlfn.IFS(Saisie!AG199="OUI",1,Saisie!AG199="NON",0)</f>
        <v>#N/A</v>
      </c>
      <c r="AR199" s="129" t="e">
        <f t="array" ref="AR199">_xlfn.IFS(Saisie!AH199="OUI",1,Saisie!AH199="NON",0)</f>
        <v>#N/A</v>
      </c>
      <c r="AS199" s="171">
        <f>Saisie!AI199</f>
        <v>0</v>
      </c>
      <c r="AT199" s="263" t="e">
        <f t="array" ref="AT199">_xlfn.IFS(Saisie!AJ199="OUI",1,Saisie!AJ199="NON",0)</f>
        <v>#N/A</v>
      </c>
      <c r="AU199" s="173">
        <f>Saisie!AK199</f>
        <v>0</v>
      </c>
      <c r="AV199" s="263" t="e">
        <f t="array" ref="AV199">_xlfn.IFS(Saisie!AL199="OUI",1,Saisie!AL199="NON",0)</f>
        <v>#N/A</v>
      </c>
      <c r="AW199" s="171">
        <f>Saisie!AM199</f>
        <v>0</v>
      </c>
      <c r="AX199" s="68">
        <f>Saisie!AN199</f>
        <v>0</v>
      </c>
      <c r="AY199" s="20">
        <f>Saisie!AO199</f>
        <v>0</v>
      </c>
      <c r="AZ199" s="21">
        <f>Saisie!AP199</f>
        <v>0</v>
      </c>
      <c r="BA199" s="298">
        <f>Saisie!AQ199</f>
        <v>0</v>
      </c>
      <c r="BB199" s="170">
        <f>Saisie!AR199</f>
        <v>0</v>
      </c>
      <c r="BC199" s="174">
        <f>Saisie!AS199</f>
        <v>0</v>
      </c>
      <c r="BD199" s="61">
        <f>Saisie!AT199</f>
        <v>0</v>
      </c>
      <c r="BE199" s="175" t="e">
        <f t="array" ref="BE199">_xlfn.IFS(Saisie!AU199="OUI",1,Saisie!AU199="NON",0)</f>
        <v>#N/A</v>
      </c>
      <c r="BF199" s="267">
        <f>Saisie!AV199</f>
        <v>0</v>
      </c>
      <c r="BG199" s="55">
        <f>Saisie!AW199</f>
        <v>0</v>
      </c>
      <c r="BH199" s="55" t="e">
        <f t="array" ref="BH199">_xlfn.IFS(Saisie!AX199="OUI",1,Saisie!AX199="NON",0)</f>
        <v>#N/A</v>
      </c>
      <c r="BI199" s="62">
        <f>Saisie!AY199</f>
        <v>0</v>
      </c>
      <c r="BJ199" s="55" t="e">
        <f t="array" ref="BJ199">_xlfn.IFS(Saisie!AZ199="OUI",1,Saisie!AZ199="NON",0)</f>
        <v>#N/A</v>
      </c>
      <c r="BK199" s="55" t="e">
        <f t="array" ref="BK199">_xlfn.IFS(Saisie!BA199="OUI",1,Saisie!BA199="NON",0)</f>
        <v>#N/A</v>
      </c>
      <c r="BL199" s="55">
        <f>Saisie!BB199</f>
        <v>0</v>
      </c>
      <c r="BM199" s="49" t="e">
        <f>Saisie!BC199</f>
        <v>#REF!</v>
      </c>
      <c r="BN199" s="175"/>
    </row>
    <row r="200" spans="1:66" s="176" customFormat="1" x14ac:dyDescent="0.45">
      <c r="A200" s="13">
        <v>194</v>
      </c>
      <c r="B200" s="150">
        <f>Saisie!B200</f>
        <v>0</v>
      </c>
      <c r="C200" s="150">
        <f>Saisie!C200</f>
        <v>0</v>
      </c>
      <c r="D200" s="150">
        <f>Saisie!D200</f>
        <v>0</v>
      </c>
      <c r="E200" s="150">
        <f>Saisie!E200</f>
        <v>0</v>
      </c>
      <c r="F200" s="150">
        <f>Saisie!F200</f>
        <v>0</v>
      </c>
      <c r="G200" s="150">
        <f>Saisie!G200</f>
        <v>0</v>
      </c>
      <c r="H200" s="150">
        <f>Saisie!I200</f>
        <v>0</v>
      </c>
      <c r="I200" s="150">
        <f>Saisie!J200</f>
        <v>0</v>
      </c>
      <c r="J200" s="150">
        <f>Saisie!K200</f>
        <v>0</v>
      </c>
      <c r="K200" s="150">
        <f>Saisie!L200</f>
        <v>0</v>
      </c>
      <c r="L200" s="150" t="e">
        <f>Saisie!#REF!</f>
        <v>#REF!</v>
      </c>
      <c r="M200" s="55" t="e">
        <f t="array" ref="M200">_xlfn.IFS(Saisie!M200="OUI",1,Saisie!M200="NON",0)</f>
        <v>#N/A</v>
      </c>
      <c r="N200" s="64" t="e">
        <f>Saisie!#REF!</f>
        <v>#REF!</v>
      </c>
      <c r="O200" s="63" t="e">
        <f>Saisie!#REF!</f>
        <v>#REF!</v>
      </c>
      <c r="P200" s="63">
        <f>Saisie!N200</f>
        <v>0</v>
      </c>
      <c r="Q200" s="63" t="e">
        <f t="array" ref="Q200">_xlfn.IFS(Saisie!#REF!="OUI",1,Saisie!#REF!="NON",0)</f>
        <v>#REF!</v>
      </c>
      <c r="R200" s="63" t="e">
        <f>Saisie!#REF!</f>
        <v>#REF!</v>
      </c>
      <c r="S200" s="65" t="e">
        <f>Saisie!#REF!</f>
        <v>#REF!</v>
      </c>
      <c r="T200" s="63" t="e">
        <f>Saisie!#REF!</f>
        <v>#REF!</v>
      </c>
      <c r="U200" s="63" t="e">
        <f>Saisie!#REF!</f>
        <v>#REF!</v>
      </c>
      <c r="V200" s="63" t="e">
        <f t="array" ref="V200">_xlfn.IFS(Saisie!#REF!="OUI",1,Saisie!#REF!="NON",0)</f>
        <v>#REF!</v>
      </c>
      <c r="W200" s="63" t="e">
        <f t="array" ref="W200">_xlfn.IFS(Saisie!O200="OUI",1,Saisie!O200="NON",0)</f>
        <v>#N/A</v>
      </c>
      <c r="X200" s="63">
        <f>Saisie!P200</f>
        <v>0</v>
      </c>
      <c r="Y200" s="299">
        <f>Saisie!H200</f>
        <v>0</v>
      </c>
      <c r="Z200" s="58" t="e">
        <f>Saisie!#REF!</f>
        <v>#REF!</v>
      </c>
      <c r="AA200" s="299">
        <f>Saisie!Q200</f>
        <v>0</v>
      </c>
      <c r="AB200" s="63" t="e">
        <f t="array" ref="AB200">_xlfn.IFS(Saisie!R200="OUI",1,Saisie!R200="NON",0)</f>
        <v>#N/A</v>
      </c>
      <c r="AC200" s="63">
        <f>Saisie!S200</f>
        <v>0</v>
      </c>
      <c r="AD200" s="63" t="e">
        <f t="array" ref="AD200">_xlfn.IFS(Saisie!T200="OUI",1,Saisie!T200="NON",0)</f>
        <v>#N/A</v>
      </c>
      <c r="AE200" s="171">
        <f>Saisie!U200</f>
        <v>0</v>
      </c>
      <c r="AF200" s="262">
        <v>3</v>
      </c>
      <c r="AG200" s="129">
        <f>Saisie!W200</f>
        <v>0</v>
      </c>
      <c r="AH200" s="20">
        <f>Saisie!X200</f>
        <v>0</v>
      </c>
      <c r="AI200" s="21">
        <f>Saisie!Y200</f>
        <v>0</v>
      </c>
      <c r="AJ200" s="59">
        <f>Saisie!Z200</f>
        <v>0</v>
      </c>
      <c r="AK200" s="20">
        <f>Saisie!AA200</f>
        <v>0</v>
      </c>
      <c r="AL200" s="21">
        <f>Saisie!AB200</f>
        <v>0</v>
      </c>
      <c r="AM200" s="59">
        <f>Saisie!AC200</f>
        <v>0</v>
      </c>
      <c r="AN200" s="20">
        <f>Saisie!AD200</f>
        <v>0</v>
      </c>
      <c r="AO200" s="21">
        <f>Saisie!AE200</f>
        <v>0</v>
      </c>
      <c r="AP200" s="59">
        <f>Saisie!AF200</f>
        <v>0</v>
      </c>
      <c r="AQ200" s="129" t="e">
        <f t="array" ref="AQ200">_xlfn.IFS(Saisie!AG200="OUI",1,Saisie!AG200="NON",0)</f>
        <v>#N/A</v>
      </c>
      <c r="AR200" s="129" t="e">
        <f t="array" ref="AR200">_xlfn.IFS(Saisie!AH200="OUI",1,Saisie!AH200="NON",0)</f>
        <v>#N/A</v>
      </c>
      <c r="AS200" s="171">
        <f>Saisie!AI200</f>
        <v>0</v>
      </c>
      <c r="AT200" s="263" t="e">
        <f t="array" ref="AT200">_xlfn.IFS(Saisie!AJ200="OUI",1,Saisie!AJ200="NON",0)</f>
        <v>#N/A</v>
      </c>
      <c r="AU200" s="173">
        <f>Saisie!AK200</f>
        <v>0</v>
      </c>
      <c r="AV200" s="263" t="e">
        <f t="array" ref="AV200">_xlfn.IFS(Saisie!AL200="OUI",1,Saisie!AL200="NON",0)</f>
        <v>#N/A</v>
      </c>
      <c r="AW200" s="171">
        <f>Saisie!AM200</f>
        <v>0</v>
      </c>
      <c r="AX200" s="68">
        <f>Saisie!AN200</f>
        <v>0</v>
      </c>
      <c r="AY200" s="20">
        <f>Saisie!AO200</f>
        <v>0</v>
      </c>
      <c r="AZ200" s="21">
        <f>Saisie!AP200</f>
        <v>0</v>
      </c>
      <c r="BA200" s="298">
        <f>Saisie!AQ200</f>
        <v>0</v>
      </c>
      <c r="BB200" s="170">
        <f>Saisie!AR200</f>
        <v>0</v>
      </c>
      <c r="BC200" s="174">
        <f>Saisie!AS200</f>
        <v>0</v>
      </c>
      <c r="BD200" s="61">
        <f>Saisie!AT200</f>
        <v>0</v>
      </c>
      <c r="BE200" s="175" t="e">
        <f t="array" ref="BE200">_xlfn.IFS(Saisie!AU200="OUI",1,Saisie!AU200="NON",0)</f>
        <v>#N/A</v>
      </c>
      <c r="BF200" s="267">
        <f>Saisie!AV200</f>
        <v>0</v>
      </c>
      <c r="BG200" s="55">
        <f>Saisie!AW200</f>
        <v>0</v>
      </c>
      <c r="BH200" s="55" t="e">
        <f t="array" ref="BH200">_xlfn.IFS(Saisie!AX200="OUI",1,Saisie!AX200="NON",0)</f>
        <v>#N/A</v>
      </c>
      <c r="BI200" s="62">
        <f>Saisie!AY200</f>
        <v>0</v>
      </c>
      <c r="BJ200" s="55" t="e">
        <f t="array" ref="BJ200">_xlfn.IFS(Saisie!AZ200="OUI",1,Saisie!AZ200="NON",0)</f>
        <v>#N/A</v>
      </c>
      <c r="BK200" s="55" t="e">
        <f t="array" ref="BK200">_xlfn.IFS(Saisie!BA200="OUI",1,Saisie!BA200="NON",0)</f>
        <v>#N/A</v>
      </c>
      <c r="BL200" s="55">
        <f>Saisie!BB200</f>
        <v>0</v>
      </c>
      <c r="BM200" s="49" t="e">
        <f>Saisie!BC200</f>
        <v>#REF!</v>
      </c>
      <c r="BN200" s="175"/>
    </row>
    <row r="201" spans="1:66" s="176" customFormat="1" x14ac:dyDescent="0.45">
      <c r="A201" s="13">
        <v>195</v>
      </c>
      <c r="B201" s="150">
        <f>Saisie!B201</f>
        <v>0</v>
      </c>
      <c r="C201" s="150">
        <f>Saisie!C201</f>
        <v>0</v>
      </c>
      <c r="D201" s="150">
        <f>Saisie!D201</f>
        <v>0</v>
      </c>
      <c r="E201" s="150">
        <f>Saisie!E201</f>
        <v>0</v>
      </c>
      <c r="F201" s="150">
        <f>Saisie!F201</f>
        <v>0</v>
      </c>
      <c r="G201" s="150">
        <f>Saisie!G201</f>
        <v>0</v>
      </c>
      <c r="H201" s="150">
        <f>Saisie!I201</f>
        <v>0</v>
      </c>
      <c r="I201" s="150">
        <f>Saisie!J201</f>
        <v>0</v>
      </c>
      <c r="J201" s="150">
        <f>Saisie!K201</f>
        <v>0</v>
      </c>
      <c r="K201" s="150">
        <f>Saisie!L201</f>
        <v>0</v>
      </c>
      <c r="L201" s="150" t="e">
        <f>Saisie!#REF!</f>
        <v>#REF!</v>
      </c>
      <c r="M201" s="55" t="e">
        <f t="array" ref="M201">_xlfn.IFS(Saisie!M201="OUI",1,Saisie!M201="NON",0)</f>
        <v>#N/A</v>
      </c>
      <c r="N201" s="64" t="e">
        <f>Saisie!#REF!</f>
        <v>#REF!</v>
      </c>
      <c r="O201" s="63" t="e">
        <f>Saisie!#REF!</f>
        <v>#REF!</v>
      </c>
      <c r="P201" s="63">
        <f>Saisie!N201</f>
        <v>0</v>
      </c>
      <c r="Q201" s="63" t="e">
        <f t="array" ref="Q201">_xlfn.IFS(Saisie!#REF!="OUI",1,Saisie!#REF!="NON",0)</f>
        <v>#REF!</v>
      </c>
      <c r="R201" s="63" t="e">
        <f>Saisie!#REF!</f>
        <v>#REF!</v>
      </c>
      <c r="S201" s="65" t="e">
        <f>Saisie!#REF!</f>
        <v>#REF!</v>
      </c>
      <c r="T201" s="63" t="e">
        <f>Saisie!#REF!</f>
        <v>#REF!</v>
      </c>
      <c r="U201" s="63" t="e">
        <f>Saisie!#REF!</f>
        <v>#REF!</v>
      </c>
      <c r="V201" s="63" t="e">
        <f t="array" ref="V201">_xlfn.IFS(Saisie!#REF!="OUI",1,Saisie!#REF!="NON",0)</f>
        <v>#REF!</v>
      </c>
      <c r="W201" s="63" t="e">
        <f t="array" ref="W201">_xlfn.IFS(Saisie!O201="OUI",1,Saisie!O201="NON",0)</f>
        <v>#N/A</v>
      </c>
      <c r="X201" s="63">
        <f>Saisie!P201</f>
        <v>0</v>
      </c>
      <c r="Y201" s="299">
        <f>Saisie!H201</f>
        <v>0</v>
      </c>
      <c r="Z201" s="58" t="e">
        <f>Saisie!#REF!</f>
        <v>#REF!</v>
      </c>
      <c r="AA201" s="299">
        <f>Saisie!Q201</f>
        <v>0</v>
      </c>
      <c r="AB201" s="63" t="e">
        <f t="array" ref="AB201">_xlfn.IFS(Saisie!R201="OUI",1,Saisie!R201="NON",0)</f>
        <v>#N/A</v>
      </c>
      <c r="AC201" s="63">
        <f>Saisie!S201</f>
        <v>0</v>
      </c>
      <c r="AD201" s="63" t="e">
        <f t="array" ref="AD201">_xlfn.IFS(Saisie!T201="OUI",1,Saisie!T201="NON",0)</f>
        <v>#N/A</v>
      </c>
      <c r="AE201" s="171">
        <f>Saisie!U201</f>
        <v>0</v>
      </c>
      <c r="AF201" s="262">
        <v>3</v>
      </c>
      <c r="AG201" s="129">
        <f>Saisie!W201</f>
        <v>0</v>
      </c>
      <c r="AH201" s="20">
        <f>Saisie!X201</f>
        <v>0</v>
      </c>
      <c r="AI201" s="21">
        <f>Saisie!Y201</f>
        <v>0</v>
      </c>
      <c r="AJ201" s="59">
        <f>Saisie!Z201</f>
        <v>0</v>
      </c>
      <c r="AK201" s="20">
        <f>Saisie!AA201</f>
        <v>0</v>
      </c>
      <c r="AL201" s="21">
        <f>Saisie!AB201</f>
        <v>0</v>
      </c>
      <c r="AM201" s="59">
        <f>Saisie!AC201</f>
        <v>0</v>
      </c>
      <c r="AN201" s="20">
        <f>Saisie!AD201</f>
        <v>0</v>
      </c>
      <c r="AO201" s="21">
        <f>Saisie!AE201</f>
        <v>0</v>
      </c>
      <c r="AP201" s="59">
        <f>Saisie!AF201</f>
        <v>0</v>
      </c>
      <c r="AQ201" s="129" t="e">
        <f t="array" ref="AQ201">_xlfn.IFS(Saisie!AG201="OUI",1,Saisie!AG201="NON",0)</f>
        <v>#N/A</v>
      </c>
      <c r="AR201" s="129" t="e">
        <f t="array" ref="AR201">_xlfn.IFS(Saisie!AH201="OUI",1,Saisie!AH201="NON",0)</f>
        <v>#N/A</v>
      </c>
      <c r="AS201" s="171">
        <f>Saisie!AI201</f>
        <v>0</v>
      </c>
      <c r="AT201" s="263" t="e">
        <f t="array" ref="AT201">_xlfn.IFS(Saisie!AJ201="OUI",1,Saisie!AJ201="NON",0)</f>
        <v>#N/A</v>
      </c>
      <c r="AU201" s="173">
        <f>Saisie!AK201</f>
        <v>0</v>
      </c>
      <c r="AV201" s="263" t="e">
        <f t="array" ref="AV201">_xlfn.IFS(Saisie!AL201="OUI",1,Saisie!AL201="NON",0)</f>
        <v>#N/A</v>
      </c>
      <c r="AW201" s="171">
        <f>Saisie!AM201</f>
        <v>0</v>
      </c>
      <c r="AX201" s="68">
        <f>Saisie!AN201</f>
        <v>0</v>
      </c>
      <c r="AY201" s="20">
        <f>Saisie!AO201</f>
        <v>0</v>
      </c>
      <c r="AZ201" s="21">
        <f>Saisie!AP201</f>
        <v>0</v>
      </c>
      <c r="BA201" s="298">
        <f>Saisie!AQ201</f>
        <v>0</v>
      </c>
      <c r="BB201" s="170">
        <f>Saisie!AR201</f>
        <v>0</v>
      </c>
      <c r="BC201" s="174">
        <f>Saisie!AS201</f>
        <v>0</v>
      </c>
      <c r="BD201" s="61">
        <f>Saisie!AT201</f>
        <v>0</v>
      </c>
      <c r="BE201" s="175" t="e">
        <f t="array" ref="BE201">_xlfn.IFS(Saisie!AU201="OUI",1,Saisie!AU201="NON",0)</f>
        <v>#N/A</v>
      </c>
      <c r="BF201" s="267">
        <f>Saisie!AV201</f>
        <v>0</v>
      </c>
      <c r="BG201" s="55">
        <f>Saisie!AW201</f>
        <v>0</v>
      </c>
      <c r="BH201" s="55" t="e">
        <f t="array" ref="BH201">_xlfn.IFS(Saisie!AX201="OUI",1,Saisie!AX201="NON",0)</f>
        <v>#N/A</v>
      </c>
      <c r="BI201" s="62">
        <f>Saisie!AY201</f>
        <v>0</v>
      </c>
      <c r="BJ201" s="55" t="e">
        <f t="array" ref="BJ201">_xlfn.IFS(Saisie!AZ201="OUI",1,Saisie!AZ201="NON",0)</f>
        <v>#N/A</v>
      </c>
      <c r="BK201" s="55" t="e">
        <f t="array" ref="BK201">_xlfn.IFS(Saisie!BA201="OUI",1,Saisie!BA201="NON",0)</f>
        <v>#N/A</v>
      </c>
      <c r="BL201" s="55">
        <f>Saisie!BB201</f>
        <v>0</v>
      </c>
      <c r="BM201" s="49" t="e">
        <f>Saisie!BC201</f>
        <v>#REF!</v>
      </c>
      <c r="BN201" s="175"/>
    </row>
    <row r="202" spans="1:66" s="176" customFormat="1" x14ac:dyDescent="0.45">
      <c r="A202" s="12">
        <v>196</v>
      </c>
      <c r="B202" s="150">
        <f>Saisie!B202</f>
        <v>0</v>
      </c>
      <c r="C202" s="150">
        <f>Saisie!C202</f>
        <v>0</v>
      </c>
      <c r="D202" s="150">
        <f>Saisie!D202</f>
        <v>0</v>
      </c>
      <c r="E202" s="150">
        <f>Saisie!E202</f>
        <v>0</v>
      </c>
      <c r="F202" s="150">
        <f>Saisie!F202</f>
        <v>0</v>
      </c>
      <c r="G202" s="150">
        <f>Saisie!G202</f>
        <v>0</v>
      </c>
      <c r="H202" s="150">
        <f>Saisie!I202</f>
        <v>0</v>
      </c>
      <c r="I202" s="150">
        <f>Saisie!J202</f>
        <v>0</v>
      </c>
      <c r="J202" s="150">
        <f>Saisie!K202</f>
        <v>0</v>
      </c>
      <c r="K202" s="150">
        <f>Saisie!L202</f>
        <v>0</v>
      </c>
      <c r="L202" s="150" t="e">
        <f>Saisie!#REF!</f>
        <v>#REF!</v>
      </c>
      <c r="M202" s="55" t="e">
        <f t="array" ref="M202">_xlfn.IFS(Saisie!M202="OUI",1,Saisie!M202="NON",0)</f>
        <v>#N/A</v>
      </c>
      <c r="N202" s="64" t="e">
        <f>Saisie!#REF!</f>
        <v>#REF!</v>
      </c>
      <c r="O202" s="63" t="e">
        <f>Saisie!#REF!</f>
        <v>#REF!</v>
      </c>
      <c r="P202" s="63">
        <f>Saisie!N202</f>
        <v>0</v>
      </c>
      <c r="Q202" s="63" t="e">
        <f t="array" ref="Q202">_xlfn.IFS(Saisie!#REF!="OUI",1,Saisie!#REF!="NON",0)</f>
        <v>#REF!</v>
      </c>
      <c r="R202" s="63" t="e">
        <f>Saisie!#REF!</f>
        <v>#REF!</v>
      </c>
      <c r="S202" s="65" t="e">
        <f>Saisie!#REF!</f>
        <v>#REF!</v>
      </c>
      <c r="T202" s="63" t="e">
        <f>Saisie!#REF!</f>
        <v>#REF!</v>
      </c>
      <c r="U202" s="63" t="e">
        <f>Saisie!#REF!</f>
        <v>#REF!</v>
      </c>
      <c r="V202" s="63" t="e">
        <f t="array" ref="V202">_xlfn.IFS(Saisie!#REF!="OUI",1,Saisie!#REF!="NON",0)</f>
        <v>#REF!</v>
      </c>
      <c r="W202" s="63" t="e">
        <f t="array" ref="W202">_xlfn.IFS(Saisie!O202="OUI",1,Saisie!O202="NON",0)</f>
        <v>#N/A</v>
      </c>
      <c r="X202" s="63">
        <f>Saisie!P202</f>
        <v>0</v>
      </c>
      <c r="Y202" s="299">
        <f>Saisie!H202</f>
        <v>0</v>
      </c>
      <c r="Z202" s="58" t="e">
        <f>Saisie!#REF!</f>
        <v>#REF!</v>
      </c>
      <c r="AA202" s="299">
        <f>Saisie!Q202</f>
        <v>0</v>
      </c>
      <c r="AB202" s="63" t="e">
        <f t="array" ref="AB202">_xlfn.IFS(Saisie!R202="OUI",1,Saisie!R202="NON",0)</f>
        <v>#N/A</v>
      </c>
      <c r="AC202" s="63">
        <f>Saisie!S202</f>
        <v>0</v>
      </c>
      <c r="AD202" s="63" t="e">
        <f t="array" ref="AD202">_xlfn.IFS(Saisie!T202="OUI",1,Saisie!T202="NON",0)</f>
        <v>#N/A</v>
      </c>
      <c r="AE202" s="171">
        <f>Saisie!U202</f>
        <v>0</v>
      </c>
      <c r="AF202" s="262">
        <v>3</v>
      </c>
      <c r="AG202" s="129">
        <f>Saisie!W202</f>
        <v>0</v>
      </c>
      <c r="AH202" s="20">
        <f>Saisie!X202</f>
        <v>0</v>
      </c>
      <c r="AI202" s="21">
        <f>Saisie!Y202</f>
        <v>0</v>
      </c>
      <c r="AJ202" s="59">
        <f>Saisie!Z202</f>
        <v>0</v>
      </c>
      <c r="AK202" s="20">
        <f>Saisie!AA202</f>
        <v>0</v>
      </c>
      <c r="AL202" s="21">
        <f>Saisie!AB202</f>
        <v>0</v>
      </c>
      <c r="AM202" s="59">
        <f>Saisie!AC202</f>
        <v>0</v>
      </c>
      <c r="AN202" s="20">
        <f>Saisie!AD202</f>
        <v>0</v>
      </c>
      <c r="AO202" s="21">
        <f>Saisie!AE202</f>
        <v>0</v>
      </c>
      <c r="AP202" s="59">
        <f>Saisie!AF202</f>
        <v>0</v>
      </c>
      <c r="AQ202" s="129" t="e">
        <f t="array" ref="AQ202">_xlfn.IFS(Saisie!AG202="OUI",1,Saisie!AG202="NON",0)</f>
        <v>#N/A</v>
      </c>
      <c r="AR202" s="129" t="e">
        <f t="array" ref="AR202">_xlfn.IFS(Saisie!AH202="OUI",1,Saisie!AH202="NON",0)</f>
        <v>#N/A</v>
      </c>
      <c r="AS202" s="171">
        <f>Saisie!AI202</f>
        <v>0</v>
      </c>
      <c r="AT202" s="263" t="e">
        <f t="array" ref="AT202">_xlfn.IFS(Saisie!AJ202="OUI",1,Saisie!AJ202="NON",0)</f>
        <v>#N/A</v>
      </c>
      <c r="AU202" s="173">
        <f>Saisie!AK202</f>
        <v>0</v>
      </c>
      <c r="AV202" s="263" t="e">
        <f t="array" ref="AV202">_xlfn.IFS(Saisie!AL202="OUI",1,Saisie!AL202="NON",0)</f>
        <v>#N/A</v>
      </c>
      <c r="AW202" s="171">
        <f>Saisie!AM202</f>
        <v>0</v>
      </c>
      <c r="AX202" s="68">
        <f>Saisie!AN202</f>
        <v>0</v>
      </c>
      <c r="AY202" s="20">
        <f>Saisie!AO202</f>
        <v>0</v>
      </c>
      <c r="AZ202" s="21">
        <f>Saisie!AP202</f>
        <v>0</v>
      </c>
      <c r="BA202" s="298">
        <f>Saisie!AQ202</f>
        <v>0</v>
      </c>
      <c r="BB202" s="170">
        <f>Saisie!AR202</f>
        <v>0</v>
      </c>
      <c r="BC202" s="174">
        <f>Saisie!AS202</f>
        <v>0</v>
      </c>
      <c r="BD202" s="61">
        <f>Saisie!AT202</f>
        <v>0</v>
      </c>
      <c r="BE202" s="175" t="e">
        <f t="array" ref="BE202">_xlfn.IFS(Saisie!AU202="OUI",1,Saisie!AU202="NON",0)</f>
        <v>#N/A</v>
      </c>
      <c r="BF202" s="267">
        <f>Saisie!AV202</f>
        <v>0</v>
      </c>
      <c r="BG202" s="55">
        <f>Saisie!AW202</f>
        <v>0</v>
      </c>
      <c r="BH202" s="55" t="e">
        <f t="array" ref="BH202">_xlfn.IFS(Saisie!AX202="OUI",1,Saisie!AX202="NON",0)</f>
        <v>#N/A</v>
      </c>
      <c r="BI202" s="62">
        <f>Saisie!AY202</f>
        <v>0</v>
      </c>
      <c r="BJ202" s="55" t="e">
        <f t="array" ref="BJ202">_xlfn.IFS(Saisie!AZ202="OUI",1,Saisie!AZ202="NON",0)</f>
        <v>#N/A</v>
      </c>
      <c r="BK202" s="55" t="e">
        <f t="array" ref="BK202">_xlfn.IFS(Saisie!BA202="OUI",1,Saisie!BA202="NON",0)</f>
        <v>#N/A</v>
      </c>
      <c r="BL202" s="55">
        <f>Saisie!BB202</f>
        <v>0</v>
      </c>
      <c r="BM202" s="49" t="e">
        <f>Saisie!BC202</f>
        <v>#REF!</v>
      </c>
      <c r="BN202" s="175"/>
    </row>
    <row r="203" spans="1:66" s="176" customFormat="1" x14ac:dyDescent="0.45">
      <c r="A203" s="13">
        <v>197</v>
      </c>
      <c r="B203" s="150">
        <f>Saisie!B203</f>
        <v>0</v>
      </c>
      <c r="C203" s="150">
        <f>Saisie!C203</f>
        <v>0</v>
      </c>
      <c r="D203" s="150">
        <f>Saisie!D203</f>
        <v>0</v>
      </c>
      <c r="E203" s="150">
        <f>Saisie!E203</f>
        <v>0</v>
      </c>
      <c r="F203" s="150">
        <f>Saisie!F203</f>
        <v>0</v>
      </c>
      <c r="G203" s="150">
        <f>Saisie!G203</f>
        <v>0</v>
      </c>
      <c r="H203" s="150">
        <f>Saisie!I203</f>
        <v>0</v>
      </c>
      <c r="I203" s="150">
        <f>Saisie!J203</f>
        <v>0</v>
      </c>
      <c r="J203" s="150">
        <f>Saisie!K203</f>
        <v>0</v>
      </c>
      <c r="K203" s="150">
        <f>Saisie!L203</f>
        <v>0</v>
      </c>
      <c r="L203" s="150" t="e">
        <f>Saisie!#REF!</f>
        <v>#REF!</v>
      </c>
      <c r="M203" s="55" t="e">
        <f t="array" ref="M203">_xlfn.IFS(Saisie!M203="OUI",1,Saisie!M203="NON",0)</f>
        <v>#N/A</v>
      </c>
      <c r="N203" s="64" t="e">
        <f>Saisie!#REF!</f>
        <v>#REF!</v>
      </c>
      <c r="O203" s="63" t="e">
        <f>Saisie!#REF!</f>
        <v>#REF!</v>
      </c>
      <c r="P203" s="63">
        <f>Saisie!N203</f>
        <v>0</v>
      </c>
      <c r="Q203" s="63" t="e">
        <f t="array" ref="Q203">_xlfn.IFS(Saisie!#REF!="OUI",1,Saisie!#REF!="NON",0)</f>
        <v>#REF!</v>
      </c>
      <c r="R203" s="63" t="e">
        <f>Saisie!#REF!</f>
        <v>#REF!</v>
      </c>
      <c r="S203" s="65" t="e">
        <f>Saisie!#REF!</f>
        <v>#REF!</v>
      </c>
      <c r="T203" s="63" t="e">
        <f>Saisie!#REF!</f>
        <v>#REF!</v>
      </c>
      <c r="U203" s="63" t="e">
        <f>Saisie!#REF!</f>
        <v>#REF!</v>
      </c>
      <c r="V203" s="63" t="e">
        <f t="array" ref="V203">_xlfn.IFS(Saisie!#REF!="OUI",1,Saisie!#REF!="NON",0)</f>
        <v>#REF!</v>
      </c>
      <c r="W203" s="63" t="e">
        <f t="array" ref="W203">_xlfn.IFS(Saisie!O203="OUI",1,Saisie!O203="NON",0)</f>
        <v>#N/A</v>
      </c>
      <c r="X203" s="63">
        <f>Saisie!P203</f>
        <v>0</v>
      </c>
      <c r="Y203" s="299">
        <f>Saisie!H203</f>
        <v>0</v>
      </c>
      <c r="Z203" s="58" t="e">
        <f>Saisie!#REF!</f>
        <v>#REF!</v>
      </c>
      <c r="AA203" s="299">
        <f>Saisie!Q203</f>
        <v>0</v>
      </c>
      <c r="AB203" s="63" t="e">
        <f t="array" ref="AB203">_xlfn.IFS(Saisie!R203="OUI",1,Saisie!R203="NON",0)</f>
        <v>#N/A</v>
      </c>
      <c r="AC203" s="63">
        <f>Saisie!S203</f>
        <v>0</v>
      </c>
      <c r="AD203" s="63" t="e">
        <f t="array" ref="AD203">_xlfn.IFS(Saisie!T203="OUI",1,Saisie!T203="NON",0)</f>
        <v>#N/A</v>
      </c>
      <c r="AE203" s="171">
        <f>Saisie!U203</f>
        <v>0</v>
      </c>
      <c r="AF203" s="262">
        <v>3</v>
      </c>
      <c r="AG203" s="129">
        <f>Saisie!W203</f>
        <v>0</v>
      </c>
      <c r="AH203" s="20">
        <f>Saisie!X203</f>
        <v>0</v>
      </c>
      <c r="AI203" s="21">
        <f>Saisie!Y203</f>
        <v>0</v>
      </c>
      <c r="AJ203" s="59">
        <f>Saisie!Z203</f>
        <v>0</v>
      </c>
      <c r="AK203" s="20">
        <f>Saisie!AA203</f>
        <v>0</v>
      </c>
      <c r="AL203" s="21">
        <f>Saisie!AB203</f>
        <v>0</v>
      </c>
      <c r="AM203" s="59">
        <f>Saisie!AC203</f>
        <v>0</v>
      </c>
      <c r="AN203" s="20">
        <f>Saisie!AD203</f>
        <v>0</v>
      </c>
      <c r="AO203" s="21">
        <f>Saisie!AE203</f>
        <v>0</v>
      </c>
      <c r="AP203" s="59">
        <f>Saisie!AF203</f>
        <v>0</v>
      </c>
      <c r="AQ203" s="129" t="e">
        <f t="array" ref="AQ203">_xlfn.IFS(Saisie!AG203="OUI",1,Saisie!AG203="NON",0)</f>
        <v>#N/A</v>
      </c>
      <c r="AR203" s="129" t="e">
        <f t="array" ref="AR203">_xlfn.IFS(Saisie!AH203="OUI",1,Saisie!AH203="NON",0)</f>
        <v>#N/A</v>
      </c>
      <c r="AS203" s="171">
        <f>Saisie!AI203</f>
        <v>0</v>
      </c>
      <c r="AT203" s="263" t="e">
        <f t="array" ref="AT203">_xlfn.IFS(Saisie!AJ203="OUI",1,Saisie!AJ203="NON",0)</f>
        <v>#N/A</v>
      </c>
      <c r="AU203" s="173">
        <f>Saisie!AK203</f>
        <v>0</v>
      </c>
      <c r="AV203" s="263" t="e">
        <f t="array" ref="AV203">_xlfn.IFS(Saisie!AL203="OUI",1,Saisie!AL203="NON",0)</f>
        <v>#N/A</v>
      </c>
      <c r="AW203" s="171">
        <f>Saisie!AM203</f>
        <v>0</v>
      </c>
      <c r="AX203" s="68">
        <f>Saisie!AN203</f>
        <v>0</v>
      </c>
      <c r="AY203" s="20">
        <f>Saisie!AO203</f>
        <v>0</v>
      </c>
      <c r="AZ203" s="21">
        <f>Saisie!AP203</f>
        <v>0</v>
      </c>
      <c r="BA203" s="298">
        <f>Saisie!AQ203</f>
        <v>0</v>
      </c>
      <c r="BB203" s="170">
        <f>Saisie!AR203</f>
        <v>0</v>
      </c>
      <c r="BC203" s="174">
        <f>Saisie!AS203</f>
        <v>0</v>
      </c>
      <c r="BD203" s="61">
        <f>Saisie!AT203</f>
        <v>0</v>
      </c>
      <c r="BE203" s="175" t="e">
        <f t="array" ref="BE203">_xlfn.IFS(Saisie!AU203="OUI",1,Saisie!AU203="NON",0)</f>
        <v>#N/A</v>
      </c>
      <c r="BF203" s="267">
        <f>Saisie!AV203</f>
        <v>0</v>
      </c>
      <c r="BG203" s="55">
        <f>Saisie!AW203</f>
        <v>0</v>
      </c>
      <c r="BH203" s="55" t="e">
        <f t="array" ref="BH203">_xlfn.IFS(Saisie!AX203="OUI",1,Saisie!AX203="NON",0)</f>
        <v>#N/A</v>
      </c>
      <c r="BI203" s="62">
        <f>Saisie!AY203</f>
        <v>0</v>
      </c>
      <c r="BJ203" s="55" t="e">
        <f t="array" ref="BJ203">_xlfn.IFS(Saisie!AZ203="OUI",1,Saisie!AZ203="NON",0)</f>
        <v>#N/A</v>
      </c>
      <c r="BK203" s="55" t="e">
        <f t="array" ref="BK203">_xlfn.IFS(Saisie!BA203="OUI",1,Saisie!BA203="NON",0)</f>
        <v>#N/A</v>
      </c>
      <c r="BL203" s="55">
        <f>Saisie!BB203</f>
        <v>0</v>
      </c>
      <c r="BM203" s="49" t="e">
        <f>Saisie!BC203</f>
        <v>#REF!</v>
      </c>
      <c r="BN203" s="175"/>
    </row>
    <row r="204" spans="1:66" s="176" customFormat="1" x14ac:dyDescent="0.45">
      <c r="A204" s="13">
        <v>198</v>
      </c>
      <c r="B204" s="150">
        <f>Saisie!B204</f>
        <v>0</v>
      </c>
      <c r="C204" s="150">
        <f>Saisie!C204</f>
        <v>0</v>
      </c>
      <c r="D204" s="150">
        <f>Saisie!D204</f>
        <v>0</v>
      </c>
      <c r="E204" s="150">
        <f>Saisie!E204</f>
        <v>0</v>
      </c>
      <c r="F204" s="150">
        <f>Saisie!F204</f>
        <v>0</v>
      </c>
      <c r="G204" s="150">
        <f>Saisie!G204</f>
        <v>0</v>
      </c>
      <c r="H204" s="150">
        <f>Saisie!I204</f>
        <v>0</v>
      </c>
      <c r="I204" s="150">
        <f>Saisie!J204</f>
        <v>0</v>
      </c>
      <c r="J204" s="150">
        <f>Saisie!K204</f>
        <v>0</v>
      </c>
      <c r="K204" s="150">
        <f>Saisie!L204</f>
        <v>0</v>
      </c>
      <c r="L204" s="150" t="e">
        <f>Saisie!#REF!</f>
        <v>#REF!</v>
      </c>
      <c r="M204" s="55" t="e">
        <f t="array" ref="M204">_xlfn.IFS(Saisie!M204="OUI",1,Saisie!M204="NON",0)</f>
        <v>#N/A</v>
      </c>
      <c r="N204" s="64" t="e">
        <f>Saisie!#REF!</f>
        <v>#REF!</v>
      </c>
      <c r="O204" s="63" t="e">
        <f>Saisie!#REF!</f>
        <v>#REF!</v>
      </c>
      <c r="P204" s="63">
        <f>Saisie!N204</f>
        <v>0</v>
      </c>
      <c r="Q204" s="63" t="e">
        <f t="array" ref="Q204">_xlfn.IFS(Saisie!#REF!="OUI",1,Saisie!#REF!="NON",0)</f>
        <v>#REF!</v>
      </c>
      <c r="R204" s="63" t="e">
        <f>Saisie!#REF!</f>
        <v>#REF!</v>
      </c>
      <c r="S204" s="65" t="e">
        <f>Saisie!#REF!</f>
        <v>#REF!</v>
      </c>
      <c r="T204" s="63" t="e">
        <f>Saisie!#REF!</f>
        <v>#REF!</v>
      </c>
      <c r="U204" s="63" t="e">
        <f>Saisie!#REF!</f>
        <v>#REF!</v>
      </c>
      <c r="V204" s="63" t="e">
        <f t="array" ref="V204">_xlfn.IFS(Saisie!#REF!="OUI",1,Saisie!#REF!="NON",0)</f>
        <v>#REF!</v>
      </c>
      <c r="W204" s="63" t="e">
        <f t="array" ref="W204">_xlfn.IFS(Saisie!O204="OUI",1,Saisie!O204="NON",0)</f>
        <v>#N/A</v>
      </c>
      <c r="X204" s="63">
        <f>Saisie!P204</f>
        <v>0</v>
      </c>
      <c r="Y204" s="299">
        <f>Saisie!H204</f>
        <v>0</v>
      </c>
      <c r="Z204" s="58" t="e">
        <f>Saisie!#REF!</f>
        <v>#REF!</v>
      </c>
      <c r="AA204" s="299">
        <f>Saisie!Q204</f>
        <v>0</v>
      </c>
      <c r="AB204" s="63" t="e">
        <f t="array" ref="AB204">_xlfn.IFS(Saisie!R204="OUI",1,Saisie!R204="NON",0)</f>
        <v>#N/A</v>
      </c>
      <c r="AC204" s="63">
        <f>Saisie!S204</f>
        <v>0</v>
      </c>
      <c r="AD204" s="63" t="e">
        <f t="array" ref="AD204">_xlfn.IFS(Saisie!T204="OUI",1,Saisie!T204="NON",0)</f>
        <v>#N/A</v>
      </c>
      <c r="AE204" s="171">
        <f>Saisie!U204</f>
        <v>0</v>
      </c>
      <c r="AF204" s="262">
        <v>3</v>
      </c>
      <c r="AG204" s="129">
        <f>Saisie!W204</f>
        <v>0</v>
      </c>
      <c r="AH204" s="20">
        <f>Saisie!X204</f>
        <v>0</v>
      </c>
      <c r="AI204" s="21">
        <f>Saisie!Y204</f>
        <v>0</v>
      </c>
      <c r="AJ204" s="59">
        <f>Saisie!Z204</f>
        <v>0</v>
      </c>
      <c r="AK204" s="20">
        <f>Saisie!AA204</f>
        <v>0</v>
      </c>
      <c r="AL204" s="21">
        <f>Saisie!AB204</f>
        <v>0</v>
      </c>
      <c r="AM204" s="59">
        <f>Saisie!AC204</f>
        <v>0</v>
      </c>
      <c r="AN204" s="20">
        <f>Saisie!AD204</f>
        <v>0</v>
      </c>
      <c r="AO204" s="21">
        <f>Saisie!AE204</f>
        <v>0</v>
      </c>
      <c r="AP204" s="59">
        <f>Saisie!AF204</f>
        <v>0</v>
      </c>
      <c r="AQ204" s="129" t="e">
        <f t="array" ref="AQ204">_xlfn.IFS(Saisie!AG204="OUI",1,Saisie!AG204="NON",0)</f>
        <v>#N/A</v>
      </c>
      <c r="AR204" s="129" t="e">
        <f t="array" ref="AR204">_xlfn.IFS(Saisie!AH204="OUI",1,Saisie!AH204="NON",0)</f>
        <v>#N/A</v>
      </c>
      <c r="AS204" s="171">
        <f>Saisie!AI204</f>
        <v>0</v>
      </c>
      <c r="AT204" s="263" t="e">
        <f t="array" ref="AT204">_xlfn.IFS(Saisie!AJ204="OUI",1,Saisie!AJ204="NON",0)</f>
        <v>#N/A</v>
      </c>
      <c r="AU204" s="173">
        <f>Saisie!AK204</f>
        <v>0</v>
      </c>
      <c r="AV204" s="263" t="e">
        <f t="array" ref="AV204">_xlfn.IFS(Saisie!AL204="OUI",1,Saisie!AL204="NON",0)</f>
        <v>#N/A</v>
      </c>
      <c r="AW204" s="171">
        <f>Saisie!AM204</f>
        <v>0</v>
      </c>
      <c r="AX204" s="68">
        <f>Saisie!AN204</f>
        <v>0</v>
      </c>
      <c r="AY204" s="20">
        <f>Saisie!AO204</f>
        <v>0</v>
      </c>
      <c r="AZ204" s="21">
        <f>Saisie!AP204</f>
        <v>0</v>
      </c>
      <c r="BA204" s="298">
        <f>Saisie!AQ204</f>
        <v>0</v>
      </c>
      <c r="BB204" s="170">
        <f>Saisie!AR204</f>
        <v>0</v>
      </c>
      <c r="BC204" s="174">
        <f>Saisie!AS204</f>
        <v>0</v>
      </c>
      <c r="BD204" s="61">
        <f>Saisie!AT204</f>
        <v>0</v>
      </c>
      <c r="BE204" s="175" t="e">
        <f t="array" ref="BE204">_xlfn.IFS(Saisie!AU204="OUI",1,Saisie!AU204="NON",0)</f>
        <v>#N/A</v>
      </c>
      <c r="BF204" s="267">
        <f>Saisie!AV204</f>
        <v>0</v>
      </c>
      <c r="BG204" s="55">
        <f>Saisie!AW204</f>
        <v>0</v>
      </c>
      <c r="BH204" s="55" t="e">
        <f t="array" ref="BH204">_xlfn.IFS(Saisie!AX204="OUI",1,Saisie!AX204="NON",0)</f>
        <v>#N/A</v>
      </c>
      <c r="BI204" s="62">
        <f>Saisie!AY204</f>
        <v>0</v>
      </c>
      <c r="BJ204" s="55" t="e">
        <f t="array" ref="BJ204">_xlfn.IFS(Saisie!AZ204="OUI",1,Saisie!AZ204="NON",0)</f>
        <v>#N/A</v>
      </c>
      <c r="BK204" s="55" t="e">
        <f t="array" ref="BK204">_xlfn.IFS(Saisie!BA204="OUI",1,Saisie!BA204="NON",0)</f>
        <v>#N/A</v>
      </c>
      <c r="BL204" s="55">
        <f>Saisie!BB204</f>
        <v>0</v>
      </c>
      <c r="BM204" s="49" t="e">
        <f>Saisie!BC204</f>
        <v>#REF!</v>
      </c>
      <c r="BN204" s="175"/>
    </row>
    <row r="205" spans="1:66" s="176" customFormat="1" x14ac:dyDescent="0.45">
      <c r="A205" s="12">
        <v>199</v>
      </c>
      <c r="B205" s="150">
        <f>Saisie!B205</f>
        <v>0</v>
      </c>
      <c r="C205" s="150">
        <f>Saisie!C205</f>
        <v>0</v>
      </c>
      <c r="D205" s="150">
        <f>Saisie!D205</f>
        <v>0</v>
      </c>
      <c r="E205" s="150">
        <f>Saisie!E205</f>
        <v>0</v>
      </c>
      <c r="F205" s="150">
        <f>Saisie!F205</f>
        <v>0</v>
      </c>
      <c r="G205" s="150">
        <f>Saisie!G205</f>
        <v>0</v>
      </c>
      <c r="H205" s="150">
        <f>Saisie!I205</f>
        <v>0</v>
      </c>
      <c r="I205" s="150">
        <f>Saisie!J205</f>
        <v>0</v>
      </c>
      <c r="J205" s="150">
        <f>Saisie!K205</f>
        <v>0</v>
      </c>
      <c r="K205" s="150">
        <f>Saisie!L205</f>
        <v>0</v>
      </c>
      <c r="L205" s="150" t="e">
        <f>Saisie!#REF!</f>
        <v>#REF!</v>
      </c>
      <c r="M205" s="55" t="e">
        <f t="array" ref="M205">_xlfn.IFS(Saisie!M205="OUI",1,Saisie!M205="NON",0)</f>
        <v>#N/A</v>
      </c>
      <c r="N205" s="64" t="e">
        <f>Saisie!#REF!</f>
        <v>#REF!</v>
      </c>
      <c r="O205" s="63" t="e">
        <f>Saisie!#REF!</f>
        <v>#REF!</v>
      </c>
      <c r="P205" s="63">
        <f>Saisie!N205</f>
        <v>0</v>
      </c>
      <c r="Q205" s="63" t="e">
        <f t="array" ref="Q205">_xlfn.IFS(Saisie!#REF!="OUI",1,Saisie!#REF!="NON",0)</f>
        <v>#REF!</v>
      </c>
      <c r="R205" s="63" t="e">
        <f>Saisie!#REF!</f>
        <v>#REF!</v>
      </c>
      <c r="S205" s="65" t="e">
        <f>Saisie!#REF!</f>
        <v>#REF!</v>
      </c>
      <c r="T205" s="63" t="e">
        <f>Saisie!#REF!</f>
        <v>#REF!</v>
      </c>
      <c r="U205" s="63" t="e">
        <f>Saisie!#REF!</f>
        <v>#REF!</v>
      </c>
      <c r="V205" s="63" t="e">
        <f t="array" ref="V205">_xlfn.IFS(Saisie!#REF!="OUI",1,Saisie!#REF!="NON",0)</f>
        <v>#REF!</v>
      </c>
      <c r="W205" s="63" t="e">
        <f t="array" ref="W205">_xlfn.IFS(Saisie!O205="OUI",1,Saisie!O205="NON",0)</f>
        <v>#N/A</v>
      </c>
      <c r="X205" s="63">
        <f>Saisie!P205</f>
        <v>0</v>
      </c>
      <c r="Y205" s="299">
        <f>Saisie!H205</f>
        <v>0</v>
      </c>
      <c r="Z205" s="58" t="e">
        <f>Saisie!#REF!</f>
        <v>#REF!</v>
      </c>
      <c r="AA205" s="299">
        <f>Saisie!Q205</f>
        <v>0</v>
      </c>
      <c r="AB205" s="63" t="e">
        <f t="array" ref="AB205">_xlfn.IFS(Saisie!R205="OUI",1,Saisie!R205="NON",0)</f>
        <v>#N/A</v>
      </c>
      <c r="AC205" s="63">
        <f>Saisie!S205</f>
        <v>0</v>
      </c>
      <c r="AD205" s="63" t="e">
        <f t="array" ref="AD205">_xlfn.IFS(Saisie!T205="OUI",1,Saisie!T205="NON",0)</f>
        <v>#N/A</v>
      </c>
      <c r="AE205" s="171">
        <f>Saisie!U205</f>
        <v>0</v>
      </c>
      <c r="AF205" s="262">
        <v>3</v>
      </c>
      <c r="AG205" s="129">
        <f>Saisie!W205</f>
        <v>0</v>
      </c>
      <c r="AH205" s="20">
        <f>Saisie!X205</f>
        <v>0</v>
      </c>
      <c r="AI205" s="21">
        <f>Saisie!Y205</f>
        <v>0</v>
      </c>
      <c r="AJ205" s="59">
        <f>Saisie!Z205</f>
        <v>0</v>
      </c>
      <c r="AK205" s="20">
        <f>Saisie!AA205</f>
        <v>0</v>
      </c>
      <c r="AL205" s="21">
        <f>Saisie!AB205</f>
        <v>0</v>
      </c>
      <c r="AM205" s="59">
        <f>Saisie!AC205</f>
        <v>0</v>
      </c>
      <c r="AN205" s="20">
        <f>Saisie!AD205</f>
        <v>0</v>
      </c>
      <c r="AO205" s="21">
        <f>Saisie!AE205</f>
        <v>0</v>
      </c>
      <c r="AP205" s="59">
        <f>Saisie!AF205</f>
        <v>0</v>
      </c>
      <c r="AQ205" s="129" t="e">
        <f t="array" ref="AQ205">_xlfn.IFS(Saisie!AG205="OUI",1,Saisie!AG205="NON",0)</f>
        <v>#N/A</v>
      </c>
      <c r="AR205" s="129" t="e">
        <f t="array" ref="AR205">_xlfn.IFS(Saisie!AH205="OUI",1,Saisie!AH205="NON",0)</f>
        <v>#N/A</v>
      </c>
      <c r="AS205" s="171">
        <f>Saisie!AI205</f>
        <v>0</v>
      </c>
      <c r="AT205" s="263" t="e">
        <f t="array" ref="AT205">_xlfn.IFS(Saisie!AJ205="OUI",1,Saisie!AJ205="NON",0)</f>
        <v>#N/A</v>
      </c>
      <c r="AU205" s="173">
        <f>Saisie!AK205</f>
        <v>0</v>
      </c>
      <c r="AV205" s="263" t="e">
        <f t="array" ref="AV205">_xlfn.IFS(Saisie!AL205="OUI",1,Saisie!AL205="NON",0)</f>
        <v>#N/A</v>
      </c>
      <c r="AW205" s="171">
        <f>Saisie!AM205</f>
        <v>0</v>
      </c>
      <c r="AX205" s="68">
        <f>Saisie!AN205</f>
        <v>0</v>
      </c>
      <c r="AY205" s="20">
        <f>Saisie!AO205</f>
        <v>0</v>
      </c>
      <c r="AZ205" s="21">
        <f>Saisie!AP205</f>
        <v>0</v>
      </c>
      <c r="BA205" s="298">
        <f>Saisie!AQ205</f>
        <v>0</v>
      </c>
      <c r="BB205" s="170">
        <f>Saisie!AR205</f>
        <v>0</v>
      </c>
      <c r="BC205" s="174">
        <f>Saisie!AS205</f>
        <v>0</v>
      </c>
      <c r="BD205" s="61">
        <f>Saisie!AT205</f>
        <v>0</v>
      </c>
      <c r="BE205" s="175" t="e">
        <f t="array" ref="BE205">_xlfn.IFS(Saisie!AU205="OUI",1,Saisie!AU205="NON",0)</f>
        <v>#N/A</v>
      </c>
      <c r="BF205" s="267">
        <f>Saisie!AV205</f>
        <v>0</v>
      </c>
      <c r="BG205" s="55">
        <f>Saisie!AW205</f>
        <v>0</v>
      </c>
      <c r="BH205" s="55" t="e">
        <f t="array" ref="BH205">_xlfn.IFS(Saisie!AX205="OUI",1,Saisie!AX205="NON",0)</f>
        <v>#N/A</v>
      </c>
      <c r="BI205" s="62">
        <f>Saisie!AY205</f>
        <v>0</v>
      </c>
      <c r="BJ205" s="55" t="e">
        <f t="array" ref="BJ205">_xlfn.IFS(Saisie!AZ205="OUI",1,Saisie!AZ205="NON",0)</f>
        <v>#N/A</v>
      </c>
      <c r="BK205" s="55" t="e">
        <f t="array" ref="BK205">_xlfn.IFS(Saisie!BA205="OUI",1,Saisie!BA205="NON",0)</f>
        <v>#N/A</v>
      </c>
      <c r="BL205" s="55">
        <f>Saisie!BB205</f>
        <v>0</v>
      </c>
      <c r="BM205" s="49" t="e">
        <f>Saisie!BC205</f>
        <v>#REF!</v>
      </c>
      <c r="BN205" s="6"/>
    </row>
    <row r="206" spans="1:66" s="176" customFormat="1" x14ac:dyDescent="0.45">
      <c r="A206" s="13">
        <v>200</v>
      </c>
      <c r="B206" s="150">
        <f>Saisie!B206</f>
        <v>0</v>
      </c>
      <c r="C206" s="150">
        <f>Saisie!C206</f>
        <v>0</v>
      </c>
      <c r="D206" s="150">
        <f>Saisie!D206</f>
        <v>0</v>
      </c>
      <c r="E206" s="150">
        <f>Saisie!E206</f>
        <v>0</v>
      </c>
      <c r="F206" s="150">
        <f>Saisie!F206</f>
        <v>0</v>
      </c>
      <c r="G206" s="150">
        <f>Saisie!G206</f>
        <v>0</v>
      </c>
      <c r="H206" s="150">
        <f>Saisie!I206</f>
        <v>0</v>
      </c>
      <c r="I206" s="150">
        <f>Saisie!J206</f>
        <v>0</v>
      </c>
      <c r="J206" s="150">
        <f>Saisie!K206</f>
        <v>0</v>
      </c>
      <c r="K206" s="150">
        <f>Saisie!L206</f>
        <v>0</v>
      </c>
      <c r="L206" s="150" t="e">
        <f>Saisie!#REF!</f>
        <v>#REF!</v>
      </c>
      <c r="M206" s="55" t="e">
        <f t="array" ref="M206">_xlfn.IFS(Saisie!M206="OUI",1,Saisie!M206="NON",0)</f>
        <v>#N/A</v>
      </c>
      <c r="N206" s="64" t="e">
        <f>Saisie!#REF!</f>
        <v>#REF!</v>
      </c>
      <c r="O206" s="63" t="e">
        <f>Saisie!#REF!</f>
        <v>#REF!</v>
      </c>
      <c r="P206" s="63">
        <f>Saisie!N206</f>
        <v>0</v>
      </c>
      <c r="Q206" s="63" t="e">
        <f t="array" ref="Q206">_xlfn.IFS(Saisie!#REF!="OUI",1,Saisie!#REF!="NON",0)</f>
        <v>#REF!</v>
      </c>
      <c r="R206" s="63" t="e">
        <f>Saisie!#REF!</f>
        <v>#REF!</v>
      </c>
      <c r="S206" s="65" t="e">
        <f>Saisie!#REF!</f>
        <v>#REF!</v>
      </c>
      <c r="T206" s="63" t="e">
        <f>Saisie!#REF!</f>
        <v>#REF!</v>
      </c>
      <c r="U206" s="63" t="e">
        <f>Saisie!#REF!</f>
        <v>#REF!</v>
      </c>
      <c r="V206" s="63" t="e">
        <f t="array" ref="V206">_xlfn.IFS(Saisie!#REF!="OUI",1,Saisie!#REF!="NON",0)</f>
        <v>#REF!</v>
      </c>
      <c r="W206" s="63" t="e">
        <f t="array" ref="W206">_xlfn.IFS(Saisie!O206="OUI",1,Saisie!O206="NON",0)</f>
        <v>#N/A</v>
      </c>
      <c r="X206" s="63">
        <f>Saisie!P206</f>
        <v>0</v>
      </c>
      <c r="Y206" s="299">
        <f>Saisie!H206</f>
        <v>0</v>
      </c>
      <c r="Z206" s="58" t="e">
        <f>Saisie!#REF!</f>
        <v>#REF!</v>
      </c>
      <c r="AA206" s="299">
        <f>Saisie!Q206</f>
        <v>0</v>
      </c>
      <c r="AB206" s="63" t="e">
        <f t="array" ref="AB206">_xlfn.IFS(Saisie!R206="OUI",1,Saisie!R206="NON",0)</f>
        <v>#N/A</v>
      </c>
      <c r="AC206" s="63">
        <f>Saisie!S206</f>
        <v>0</v>
      </c>
      <c r="AD206" s="63" t="e">
        <f t="array" ref="AD206">_xlfn.IFS(Saisie!T206="OUI",1,Saisie!T206="NON",0)</f>
        <v>#N/A</v>
      </c>
      <c r="AE206" s="171">
        <f>Saisie!U206</f>
        <v>0</v>
      </c>
      <c r="AF206" s="262">
        <v>3</v>
      </c>
      <c r="AG206" s="129">
        <f>Saisie!W206</f>
        <v>0</v>
      </c>
      <c r="AH206" s="20">
        <f>Saisie!X206</f>
        <v>0</v>
      </c>
      <c r="AI206" s="21">
        <f>Saisie!Y206</f>
        <v>0</v>
      </c>
      <c r="AJ206" s="59">
        <f>Saisie!Z206</f>
        <v>0</v>
      </c>
      <c r="AK206" s="20">
        <f>Saisie!AA206</f>
        <v>0</v>
      </c>
      <c r="AL206" s="21">
        <f>Saisie!AB206</f>
        <v>0</v>
      </c>
      <c r="AM206" s="59">
        <f>Saisie!AC206</f>
        <v>0</v>
      </c>
      <c r="AN206" s="20">
        <f>Saisie!AD206</f>
        <v>0</v>
      </c>
      <c r="AO206" s="21">
        <f>Saisie!AE206</f>
        <v>0</v>
      </c>
      <c r="AP206" s="59">
        <f>Saisie!AF206</f>
        <v>0</v>
      </c>
      <c r="AQ206" s="129" t="e">
        <f t="array" ref="AQ206">_xlfn.IFS(Saisie!AG206="OUI",1,Saisie!AG206="NON",0)</f>
        <v>#N/A</v>
      </c>
      <c r="AR206" s="129" t="e">
        <f t="array" ref="AR206">_xlfn.IFS(Saisie!AH206="OUI",1,Saisie!AH206="NON",0)</f>
        <v>#N/A</v>
      </c>
      <c r="AS206" s="171">
        <f>Saisie!AI206</f>
        <v>0</v>
      </c>
      <c r="AT206" s="263" t="e">
        <f t="array" ref="AT206">_xlfn.IFS(Saisie!AJ206="OUI",1,Saisie!AJ206="NON",0)</f>
        <v>#N/A</v>
      </c>
      <c r="AU206" s="173">
        <f>Saisie!AK206</f>
        <v>0</v>
      </c>
      <c r="AV206" s="263" t="e">
        <f t="array" ref="AV206">_xlfn.IFS(Saisie!AL206="OUI",1,Saisie!AL206="NON",0)</f>
        <v>#N/A</v>
      </c>
      <c r="AW206" s="171">
        <f>Saisie!AM206</f>
        <v>0</v>
      </c>
      <c r="AX206" s="68">
        <f>Saisie!AN206</f>
        <v>0</v>
      </c>
      <c r="AY206" s="20">
        <f>Saisie!AO206</f>
        <v>0</v>
      </c>
      <c r="AZ206" s="21">
        <f>Saisie!AP206</f>
        <v>0</v>
      </c>
      <c r="BA206" s="298">
        <f>Saisie!AQ206</f>
        <v>0</v>
      </c>
      <c r="BB206" s="170">
        <f>Saisie!AR206</f>
        <v>0</v>
      </c>
      <c r="BC206" s="174">
        <f>Saisie!AS206</f>
        <v>0</v>
      </c>
      <c r="BD206" s="61">
        <f>Saisie!AT206</f>
        <v>0</v>
      </c>
      <c r="BE206" s="175" t="e">
        <f t="array" ref="BE206">_xlfn.IFS(Saisie!AU206="OUI",1,Saisie!AU206="NON",0)</f>
        <v>#N/A</v>
      </c>
      <c r="BF206" s="267">
        <f>Saisie!AV206</f>
        <v>0</v>
      </c>
      <c r="BG206" s="55">
        <f>Saisie!AW206</f>
        <v>0</v>
      </c>
      <c r="BH206" s="55" t="e">
        <f t="array" ref="BH206">_xlfn.IFS(Saisie!AX206="OUI",1,Saisie!AX206="NON",0)</f>
        <v>#N/A</v>
      </c>
      <c r="BI206" s="62">
        <f>Saisie!AY206</f>
        <v>0</v>
      </c>
      <c r="BJ206" s="55" t="e">
        <f t="array" ref="BJ206">_xlfn.IFS(Saisie!AZ206="OUI",1,Saisie!AZ206="NON",0)</f>
        <v>#N/A</v>
      </c>
      <c r="BK206" s="55" t="e">
        <f t="array" ref="BK206">_xlfn.IFS(Saisie!BA206="OUI",1,Saisie!BA206="NON",0)</f>
        <v>#N/A</v>
      </c>
      <c r="BL206" s="55">
        <f>Saisie!BB206</f>
        <v>0</v>
      </c>
      <c r="BM206" s="49" t="e">
        <f>Saisie!BC206</f>
        <v>#REF!</v>
      </c>
      <c r="BN206" s="6"/>
    </row>
    <row r="207" spans="1:66" s="176" customFormat="1" x14ac:dyDescent="0.45">
      <c r="A207" s="13">
        <v>201</v>
      </c>
      <c r="B207" s="150">
        <f>Saisie!B207</f>
        <v>0</v>
      </c>
      <c r="C207" s="150">
        <f>Saisie!C207</f>
        <v>0</v>
      </c>
      <c r="D207" s="150">
        <f>Saisie!D207</f>
        <v>0</v>
      </c>
      <c r="E207" s="150">
        <f>Saisie!E207</f>
        <v>0</v>
      </c>
      <c r="F207" s="150">
        <f>Saisie!F207</f>
        <v>0</v>
      </c>
      <c r="G207" s="150">
        <f>Saisie!G207</f>
        <v>0</v>
      </c>
      <c r="H207" s="150">
        <f>Saisie!I207</f>
        <v>0</v>
      </c>
      <c r="I207" s="150">
        <f>Saisie!J207</f>
        <v>0</v>
      </c>
      <c r="J207" s="150">
        <f>Saisie!K207</f>
        <v>0</v>
      </c>
      <c r="K207" s="150">
        <f>Saisie!L207</f>
        <v>0</v>
      </c>
      <c r="L207" s="150" t="e">
        <f>Saisie!#REF!</f>
        <v>#REF!</v>
      </c>
      <c r="M207" s="55" t="e">
        <f t="array" ref="M207">_xlfn.IFS(Saisie!M207="OUI",1,Saisie!M207="NON",0)</f>
        <v>#N/A</v>
      </c>
      <c r="N207" s="64" t="e">
        <f>Saisie!#REF!</f>
        <v>#REF!</v>
      </c>
      <c r="O207" s="63" t="e">
        <f>Saisie!#REF!</f>
        <v>#REF!</v>
      </c>
      <c r="P207" s="63">
        <f>Saisie!N207</f>
        <v>0</v>
      </c>
      <c r="Q207" s="63" t="e">
        <f t="array" ref="Q207">_xlfn.IFS(Saisie!#REF!="OUI",1,Saisie!#REF!="NON",0)</f>
        <v>#REF!</v>
      </c>
      <c r="R207" s="63" t="e">
        <f>Saisie!#REF!</f>
        <v>#REF!</v>
      </c>
      <c r="S207" s="65" t="e">
        <f>Saisie!#REF!</f>
        <v>#REF!</v>
      </c>
      <c r="T207" s="63" t="e">
        <f>Saisie!#REF!</f>
        <v>#REF!</v>
      </c>
      <c r="U207" s="63" t="e">
        <f>Saisie!#REF!</f>
        <v>#REF!</v>
      </c>
      <c r="V207" s="63" t="e">
        <f t="array" ref="V207">_xlfn.IFS(Saisie!#REF!="OUI",1,Saisie!#REF!="NON",0)</f>
        <v>#REF!</v>
      </c>
      <c r="W207" s="63" t="e">
        <f t="array" ref="W207">_xlfn.IFS(Saisie!O207="OUI",1,Saisie!O207="NON",0)</f>
        <v>#N/A</v>
      </c>
      <c r="X207" s="63">
        <f>Saisie!P207</f>
        <v>0</v>
      </c>
      <c r="Y207" s="299">
        <f>Saisie!H207</f>
        <v>0</v>
      </c>
      <c r="Z207" s="58" t="e">
        <f>Saisie!#REF!</f>
        <v>#REF!</v>
      </c>
      <c r="AA207" s="299">
        <f>Saisie!Q207</f>
        <v>0</v>
      </c>
      <c r="AB207" s="63" t="e">
        <f t="array" ref="AB207">_xlfn.IFS(Saisie!R207="OUI",1,Saisie!R207="NON",0)</f>
        <v>#N/A</v>
      </c>
      <c r="AC207" s="63">
        <f>Saisie!S207</f>
        <v>0</v>
      </c>
      <c r="AD207" s="63" t="e">
        <f t="array" ref="AD207">_xlfn.IFS(Saisie!T207="OUI",1,Saisie!T207="NON",0)</f>
        <v>#N/A</v>
      </c>
      <c r="AE207" s="171">
        <f>Saisie!U207</f>
        <v>0</v>
      </c>
      <c r="AF207" s="262">
        <v>3</v>
      </c>
      <c r="AG207" s="129">
        <f>Saisie!W207</f>
        <v>0</v>
      </c>
      <c r="AH207" s="20">
        <f>Saisie!X207</f>
        <v>0</v>
      </c>
      <c r="AI207" s="21">
        <f>Saisie!Y207</f>
        <v>0</v>
      </c>
      <c r="AJ207" s="59">
        <f>Saisie!Z207</f>
        <v>0</v>
      </c>
      <c r="AK207" s="20">
        <f>Saisie!AA207</f>
        <v>0</v>
      </c>
      <c r="AL207" s="21">
        <f>Saisie!AB207</f>
        <v>0</v>
      </c>
      <c r="AM207" s="59">
        <f>Saisie!AC207</f>
        <v>0</v>
      </c>
      <c r="AN207" s="20">
        <f>Saisie!AD207</f>
        <v>0</v>
      </c>
      <c r="AO207" s="21">
        <f>Saisie!AE207</f>
        <v>0</v>
      </c>
      <c r="AP207" s="59">
        <f>Saisie!AF207</f>
        <v>0</v>
      </c>
      <c r="AQ207" s="129" t="e">
        <f t="array" ref="AQ207">_xlfn.IFS(Saisie!AG207="OUI",1,Saisie!AG207="NON",0)</f>
        <v>#N/A</v>
      </c>
      <c r="AR207" s="129" t="e">
        <f t="array" ref="AR207">_xlfn.IFS(Saisie!AH207="OUI",1,Saisie!AH207="NON",0)</f>
        <v>#N/A</v>
      </c>
      <c r="AS207" s="171">
        <f>Saisie!AI207</f>
        <v>0</v>
      </c>
      <c r="AT207" s="263" t="e">
        <f t="array" ref="AT207">_xlfn.IFS(Saisie!AJ207="OUI",1,Saisie!AJ207="NON",0)</f>
        <v>#N/A</v>
      </c>
      <c r="AU207" s="173">
        <f>Saisie!AK207</f>
        <v>0</v>
      </c>
      <c r="AV207" s="263" t="e">
        <f t="array" ref="AV207">_xlfn.IFS(Saisie!AL207="OUI",1,Saisie!AL207="NON",0)</f>
        <v>#N/A</v>
      </c>
      <c r="AW207" s="171">
        <f>Saisie!AM207</f>
        <v>0</v>
      </c>
      <c r="AX207" s="68">
        <f>Saisie!AN207</f>
        <v>0</v>
      </c>
      <c r="AY207" s="20">
        <f>Saisie!AO207</f>
        <v>0</v>
      </c>
      <c r="AZ207" s="21">
        <f>Saisie!AP207</f>
        <v>0</v>
      </c>
      <c r="BA207" s="298">
        <f>Saisie!AQ207</f>
        <v>0</v>
      </c>
      <c r="BB207" s="170">
        <f>Saisie!AR207</f>
        <v>0</v>
      </c>
      <c r="BC207" s="174">
        <f>Saisie!AS207</f>
        <v>0</v>
      </c>
      <c r="BD207" s="61">
        <f>Saisie!AT207</f>
        <v>0</v>
      </c>
      <c r="BE207" s="175" t="e">
        <f t="array" ref="BE207">_xlfn.IFS(Saisie!AU207="OUI",1,Saisie!AU207="NON",0)</f>
        <v>#N/A</v>
      </c>
      <c r="BF207" s="267">
        <f>Saisie!AV207</f>
        <v>0</v>
      </c>
      <c r="BG207" s="55">
        <f>Saisie!AW207</f>
        <v>0</v>
      </c>
      <c r="BH207" s="55" t="e">
        <f t="array" ref="BH207">_xlfn.IFS(Saisie!AX207="OUI",1,Saisie!AX207="NON",0)</f>
        <v>#N/A</v>
      </c>
      <c r="BI207" s="62">
        <f>Saisie!AY207</f>
        <v>0</v>
      </c>
      <c r="BJ207" s="55" t="e">
        <f t="array" ref="BJ207">_xlfn.IFS(Saisie!AZ207="OUI",1,Saisie!AZ207="NON",0)</f>
        <v>#N/A</v>
      </c>
      <c r="BK207" s="55" t="e">
        <f t="array" ref="BK207">_xlfn.IFS(Saisie!BA207="OUI",1,Saisie!BA207="NON",0)</f>
        <v>#N/A</v>
      </c>
      <c r="BL207" s="55">
        <f>Saisie!BB207</f>
        <v>0</v>
      </c>
      <c r="BM207" s="49" t="e">
        <f>Saisie!BC207</f>
        <v>#REF!</v>
      </c>
      <c r="BN207" s="175"/>
    </row>
    <row r="208" spans="1:66" s="176" customFormat="1" x14ac:dyDescent="0.45">
      <c r="A208" s="12">
        <v>202</v>
      </c>
      <c r="B208" s="150">
        <f>Saisie!B208</f>
        <v>0</v>
      </c>
      <c r="C208" s="150">
        <f>Saisie!C208</f>
        <v>0</v>
      </c>
      <c r="D208" s="150">
        <f>Saisie!D208</f>
        <v>0</v>
      </c>
      <c r="E208" s="150">
        <f>Saisie!E208</f>
        <v>0</v>
      </c>
      <c r="F208" s="150">
        <f>Saisie!F208</f>
        <v>0</v>
      </c>
      <c r="G208" s="150">
        <f>Saisie!G208</f>
        <v>0</v>
      </c>
      <c r="H208" s="150">
        <f>Saisie!I208</f>
        <v>0</v>
      </c>
      <c r="I208" s="150">
        <f>Saisie!J208</f>
        <v>0</v>
      </c>
      <c r="J208" s="150">
        <f>Saisie!K208</f>
        <v>0</v>
      </c>
      <c r="K208" s="150">
        <f>Saisie!L208</f>
        <v>0</v>
      </c>
      <c r="L208" s="150" t="e">
        <f>Saisie!#REF!</f>
        <v>#REF!</v>
      </c>
      <c r="M208" s="55" t="e">
        <f t="array" ref="M208">_xlfn.IFS(Saisie!M208="OUI",1,Saisie!M208="NON",0)</f>
        <v>#N/A</v>
      </c>
      <c r="N208" s="64" t="e">
        <f>Saisie!#REF!</f>
        <v>#REF!</v>
      </c>
      <c r="O208" s="63" t="e">
        <f>Saisie!#REF!</f>
        <v>#REF!</v>
      </c>
      <c r="P208" s="63">
        <f>Saisie!N208</f>
        <v>0</v>
      </c>
      <c r="Q208" s="63" t="e">
        <f t="array" ref="Q208">_xlfn.IFS(Saisie!#REF!="OUI",1,Saisie!#REF!="NON",0)</f>
        <v>#REF!</v>
      </c>
      <c r="R208" s="63" t="e">
        <f>Saisie!#REF!</f>
        <v>#REF!</v>
      </c>
      <c r="S208" s="65" t="e">
        <f>Saisie!#REF!</f>
        <v>#REF!</v>
      </c>
      <c r="T208" s="63" t="e">
        <f>Saisie!#REF!</f>
        <v>#REF!</v>
      </c>
      <c r="U208" s="63" t="e">
        <f>Saisie!#REF!</f>
        <v>#REF!</v>
      </c>
      <c r="V208" s="63" t="e">
        <f t="array" ref="V208">_xlfn.IFS(Saisie!#REF!="OUI",1,Saisie!#REF!="NON",0)</f>
        <v>#REF!</v>
      </c>
      <c r="W208" s="63" t="e">
        <f t="array" ref="W208">_xlfn.IFS(Saisie!O208="OUI",1,Saisie!O208="NON",0)</f>
        <v>#N/A</v>
      </c>
      <c r="X208" s="63">
        <f>Saisie!P208</f>
        <v>0</v>
      </c>
      <c r="Y208" s="299">
        <f>Saisie!H208</f>
        <v>0</v>
      </c>
      <c r="Z208" s="58" t="e">
        <f>Saisie!#REF!</f>
        <v>#REF!</v>
      </c>
      <c r="AA208" s="299">
        <f>Saisie!Q208</f>
        <v>0</v>
      </c>
      <c r="AB208" s="63" t="e">
        <f t="array" ref="AB208">_xlfn.IFS(Saisie!R208="OUI",1,Saisie!R208="NON",0)</f>
        <v>#N/A</v>
      </c>
      <c r="AC208" s="63">
        <f>Saisie!S208</f>
        <v>0</v>
      </c>
      <c r="AD208" s="63" t="e">
        <f t="array" ref="AD208">_xlfn.IFS(Saisie!T208="OUI",1,Saisie!T208="NON",0)</f>
        <v>#N/A</v>
      </c>
      <c r="AE208" s="171">
        <f>Saisie!U208</f>
        <v>0</v>
      </c>
      <c r="AF208" s="262">
        <v>3</v>
      </c>
      <c r="AG208" s="129">
        <f>Saisie!W208</f>
        <v>0</v>
      </c>
      <c r="AH208" s="20">
        <f>Saisie!X208</f>
        <v>0</v>
      </c>
      <c r="AI208" s="21">
        <f>Saisie!Y208</f>
        <v>0</v>
      </c>
      <c r="AJ208" s="59">
        <f>Saisie!Z208</f>
        <v>0</v>
      </c>
      <c r="AK208" s="20">
        <f>Saisie!AA208</f>
        <v>0</v>
      </c>
      <c r="AL208" s="21">
        <f>Saisie!AB208</f>
        <v>0</v>
      </c>
      <c r="AM208" s="59">
        <f>Saisie!AC208</f>
        <v>0</v>
      </c>
      <c r="AN208" s="20">
        <f>Saisie!AD208</f>
        <v>0</v>
      </c>
      <c r="AO208" s="21">
        <f>Saisie!AE208</f>
        <v>0</v>
      </c>
      <c r="AP208" s="59">
        <f>Saisie!AF208</f>
        <v>0</v>
      </c>
      <c r="AQ208" s="129" t="e">
        <f t="array" ref="AQ208">_xlfn.IFS(Saisie!AG208="OUI",1,Saisie!AG208="NON",0)</f>
        <v>#N/A</v>
      </c>
      <c r="AR208" s="129" t="e">
        <f t="array" ref="AR208">_xlfn.IFS(Saisie!AH208="OUI",1,Saisie!AH208="NON",0)</f>
        <v>#N/A</v>
      </c>
      <c r="AS208" s="171">
        <f>Saisie!AI208</f>
        <v>0</v>
      </c>
      <c r="AT208" s="263" t="e">
        <f t="array" ref="AT208">_xlfn.IFS(Saisie!AJ208="OUI",1,Saisie!AJ208="NON",0)</f>
        <v>#N/A</v>
      </c>
      <c r="AU208" s="173">
        <f>Saisie!AK208</f>
        <v>0</v>
      </c>
      <c r="AV208" s="263" t="e">
        <f t="array" ref="AV208">_xlfn.IFS(Saisie!AL208="OUI",1,Saisie!AL208="NON",0)</f>
        <v>#N/A</v>
      </c>
      <c r="AW208" s="171">
        <f>Saisie!AM208</f>
        <v>0</v>
      </c>
      <c r="AX208" s="68">
        <f>Saisie!AN208</f>
        <v>0</v>
      </c>
      <c r="AY208" s="20">
        <f>Saisie!AO208</f>
        <v>0</v>
      </c>
      <c r="AZ208" s="21">
        <f>Saisie!AP208</f>
        <v>0</v>
      </c>
      <c r="BA208" s="298">
        <f>Saisie!AQ208</f>
        <v>0</v>
      </c>
      <c r="BB208" s="170">
        <f>Saisie!AR208</f>
        <v>0</v>
      </c>
      <c r="BC208" s="174">
        <f>Saisie!AS208</f>
        <v>0</v>
      </c>
      <c r="BD208" s="61">
        <f>Saisie!AT208</f>
        <v>0</v>
      </c>
      <c r="BE208" s="175" t="e">
        <f t="array" ref="BE208">_xlfn.IFS(Saisie!AU208="OUI",1,Saisie!AU208="NON",0)</f>
        <v>#N/A</v>
      </c>
      <c r="BF208" s="267">
        <f>Saisie!AV208</f>
        <v>0</v>
      </c>
      <c r="BG208" s="55">
        <f>Saisie!AW208</f>
        <v>0</v>
      </c>
      <c r="BH208" s="55" t="e">
        <f t="array" ref="BH208">_xlfn.IFS(Saisie!AX208="OUI",1,Saisie!AX208="NON",0)</f>
        <v>#N/A</v>
      </c>
      <c r="BI208" s="62">
        <f>Saisie!AY208</f>
        <v>0</v>
      </c>
      <c r="BJ208" s="55" t="e">
        <f t="array" ref="BJ208">_xlfn.IFS(Saisie!AZ208="OUI",1,Saisie!AZ208="NON",0)</f>
        <v>#N/A</v>
      </c>
      <c r="BK208" s="55" t="e">
        <f t="array" ref="BK208">_xlfn.IFS(Saisie!BA208="OUI",1,Saisie!BA208="NON",0)</f>
        <v>#N/A</v>
      </c>
      <c r="BL208" s="55">
        <f>Saisie!BB208</f>
        <v>0</v>
      </c>
      <c r="BM208" s="49" t="e">
        <f>Saisie!BC208</f>
        <v>#REF!</v>
      </c>
      <c r="BN208" s="175"/>
    </row>
    <row r="209" spans="1:66" s="176" customFormat="1" x14ac:dyDescent="0.45">
      <c r="A209" s="13">
        <v>203</v>
      </c>
      <c r="B209" s="150">
        <f>Saisie!B209</f>
        <v>0</v>
      </c>
      <c r="C209" s="150">
        <f>Saisie!C209</f>
        <v>0</v>
      </c>
      <c r="D209" s="150">
        <f>Saisie!D209</f>
        <v>0</v>
      </c>
      <c r="E209" s="150">
        <f>Saisie!E209</f>
        <v>0</v>
      </c>
      <c r="F209" s="150">
        <f>Saisie!F209</f>
        <v>0</v>
      </c>
      <c r="G209" s="150">
        <f>Saisie!G209</f>
        <v>0</v>
      </c>
      <c r="H209" s="150">
        <f>Saisie!I209</f>
        <v>0</v>
      </c>
      <c r="I209" s="150">
        <f>Saisie!J209</f>
        <v>0</v>
      </c>
      <c r="J209" s="150">
        <f>Saisie!K209</f>
        <v>0</v>
      </c>
      <c r="K209" s="150">
        <f>Saisie!L209</f>
        <v>0</v>
      </c>
      <c r="L209" s="150" t="e">
        <f>Saisie!#REF!</f>
        <v>#REF!</v>
      </c>
      <c r="M209" s="55" t="e">
        <f t="array" ref="M209">_xlfn.IFS(Saisie!M209="OUI",1,Saisie!M209="NON",0)</f>
        <v>#N/A</v>
      </c>
      <c r="N209" s="64" t="e">
        <f>Saisie!#REF!</f>
        <v>#REF!</v>
      </c>
      <c r="O209" s="63" t="e">
        <f>Saisie!#REF!</f>
        <v>#REF!</v>
      </c>
      <c r="P209" s="63">
        <f>Saisie!N209</f>
        <v>0</v>
      </c>
      <c r="Q209" s="63" t="e">
        <f t="array" ref="Q209">_xlfn.IFS(Saisie!#REF!="OUI",1,Saisie!#REF!="NON",0)</f>
        <v>#REF!</v>
      </c>
      <c r="R209" s="63" t="e">
        <f>Saisie!#REF!</f>
        <v>#REF!</v>
      </c>
      <c r="S209" s="65" t="e">
        <f>Saisie!#REF!</f>
        <v>#REF!</v>
      </c>
      <c r="T209" s="63" t="e">
        <f>Saisie!#REF!</f>
        <v>#REF!</v>
      </c>
      <c r="U209" s="63" t="e">
        <f>Saisie!#REF!</f>
        <v>#REF!</v>
      </c>
      <c r="V209" s="63" t="e">
        <f t="array" ref="V209">_xlfn.IFS(Saisie!#REF!="OUI",1,Saisie!#REF!="NON",0)</f>
        <v>#REF!</v>
      </c>
      <c r="W209" s="63" t="e">
        <f t="array" ref="W209">_xlfn.IFS(Saisie!O209="OUI",1,Saisie!O209="NON",0)</f>
        <v>#N/A</v>
      </c>
      <c r="X209" s="63">
        <f>Saisie!P209</f>
        <v>0</v>
      </c>
      <c r="Y209" s="299">
        <f>Saisie!H209</f>
        <v>0</v>
      </c>
      <c r="Z209" s="58" t="e">
        <f>Saisie!#REF!</f>
        <v>#REF!</v>
      </c>
      <c r="AA209" s="299">
        <f>Saisie!Q209</f>
        <v>0</v>
      </c>
      <c r="AB209" s="63" t="e">
        <f t="array" ref="AB209">_xlfn.IFS(Saisie!R209="OUI",1,Saisie!R209="NON",0)</f>
        <v>#N/A</v>
      </c>
      <c r="AC209" s="63">
        <f>Saisie!S209</f>
        <v>0</v>
      </c>
      <c r="AD209" s="63" t="e">
        <f t="array" ref="AD209">_xlfn.IFS(Saisie!T209="OUI",1,Saisie!T209="NON",0)</f>
        <v>#N/A</v>
      </c>
      <c r="AE209" s="171">
        <f>Saisie!U209</f>
        <v>0</v>
      </c>
      <c r="AF209" s="262">
        <v>3</v>
      </c>
      <c r="AG209" s="129">
        <f>Saisie!W209</f>
        <v>0</v>
      </c>
      <c r="AH209" s="20">
        <f>Saisie!X209</f>
        <v>0</v>
      </c>
      <c r="AI209" s="21">
        <f>Saisie!Y209</f>
        <v>0</v>
      </c>
      <c r="AJ209" s="59">
        <f>Saisie!Z209</f>
        <v>0</v>
      </c>
      <c r="AK209" s="20">
        <f>Saisie!AA209</f>
        <v>0</v>
      </c>
      <c r="AL209" s="21">
        <f>Saisie!AB209</f>
        <v>0</v>
      </c>
      <c r="AM209" s="59">
        <f>Saisie!AC209</f>
        <v>0</v>
      </c>
      <c r="AN209" s="20">
        <f>Saisie!AD209</f>
        <v>0</v>
      </c>
      <c r="AO209" s="21">
        <f>Saisie!AE209</f>
        <v>0</v>
      </c>
      <c r="AP209" s="59">
        <f>Saisie!AF209</f>
        <v>0</v>
      </c>
      <c r="AQ209" s="129" t="e">
        <f t="array" ref="AQ209">_xlfn.IFS(Saisie!AG209="OUI",1,Saisie!AG209="NON",0)</f>
        <v>#N/A</v>
      </c>
      <c r="AR209" s="129" t="e">
        <f t="array" ref="AR209">_xlfn.IFS(Saisie!AH209="OUI",1,Saisie!AH209="NON",0)</f>
        <v>#N/A</v>
      </c>
      <c r="AS209" s="171">
        <f>Saisie!AI209</f>
        <v>0</v>
      </c>
      <c r="AT209" s="263" t="e">
        <f t="array" ref="AT209">_xlfn.IFS(Saisie!AJ209="OUI",1,Saisie!AJ209="NON",0)</f>
        <v>#N/A</v>
      </c>
      <c r="AU209" s="173">
        <f>Saisie!AK209</f>
        <v>0</v>
      </c>
      <c r="AV209" s="263" t="e">
        <f t="array" ref="AV209">_xlfn.IFS(Saisie!AL209="OUI",1,Saisie!AL209="NON",0)</f>
        <v>#N/A</v>
      </c>
      <c r="AW209" s="171">
        <f>Saisie!AM209</f>
        <v>0</v>
      </c>
      <c r="AX209" s="68">
        <f>Saisie!AN209</f>
        <v>0</v>
      </c>
      <c r="AY209" s="20">
        <f>Saisie!AO209</f>
        <v>0</v>
      </c>
      <c r="AZ209" s="21">
        <f>Saisie!AP209</f>
        <v>0</v>
      </c>
      <c r="BA209" s="298">
        <f>Saisie!AQ209</f>
        <v>0</v>
      </c>
      <c r="BB209" s="170">
        <f>Saisie!AR209</f>
        <v>0</v>
      </c>
      <c r="BC209" s="174">
        <f>Saisie!AS209</f>
        <v>0</v>
      </c>
      <c r="BD209" s="61">
        <f>Saisie!AT209</f>
        <v>0</v>
      </c>
      <c r="BE209" s="175" t="e">
        <f t="array" ref="BE209">_xlfn.IFS(Saisie!AU209="OUI",1,Saisie!AU209="NON",0)</f>
        <v>#N/A</v>
      </c>
      <c r="BF209" s="267">
        <f>Saisie!AV209</f>
        <v>0</v>
      </c>
      <c r="BG209" s="55">
        <f>Saisie!AW209</f>
        <v>0</v>
      </c>
      <c r="BH209" s="55" t="e">
        <f t="array" ref="BH209">_xlfn.IFS(Saisie!AX209="OUI",1,Saisie!AX209="NON",0)</f>
        <v>#N/A</v>
      </c>
      <c r="BI209" s="62">
        <f>Saisie!AY209</f>
        <v>0</v>
      </c>
      <c r="BJ209" s="55" t="e">
        <f t="array" ref="BJ209">_xlfn.IFS(Saisie!AZ209="OUI",1,Saisie!AZ209="NON",0)</f>
        <v>#N/A</v>
      </c>
      <c r="BK209" s="55" t="e">
        <f t="array" ref="BK209">_xlfn.IFS(Saisie!BA209="OUI",1,Saisie!BA209="NON",0)</f>
        <v>#N/A</v>
      </c>
      <c r="BL209" s="55">
        <f>Saisie!BB209</f>
        <v>0</v>
      </c>
      <c r="BM209" s="49" t="e">
        <f>Saisie!BC209</f>
        <v>#REF!</v>
      </c>
      <c r="BN209" s="6"/>
    </row>
    <row r="210" spans="1:66" s="176" customFormat="1" x14ac:dyDescent="0.45">
      <c r="A210" s="13">
        <v>204</v>
      </c>
      <c r="B210" s="150">
        <f>Saisie!B210</f>
        <v>0</v>
      </c>
      <c r="C210" s="150">
        <f>Saisie!C210</f>
        <v>0</v>
      </c>
      <c r="D210" s="150">
        <f>Saisie!D210</f>
        <v>0</v>
      </c>
      <c r="E210" s="150">
        <f>Saisie!E210</f>
        <v>0</v>
      </c>
      <c r="F210" s="150">
        <f>Saisie!F210</f>
        <v>0</v>
      </c>
      <c r="G210" s="150">
        <f>Saisie!G210</f>
        <v>0</v>
      </c>
      <c r="H210" s="150">
        <f>Saisie!I210</f>
        <v>0</v>
      </c>
      <c r="I210" s="150">
        <f>Saisie!J210</f>
        <v>0</v>
      </c>
      <c r="J210" s="150">
        <f>Saisie!K210</f>
        <v>0</v>
      </c>
      <c r="K210" s="150">
        <f>Saisie!L210</f>
        <v>0</v>
      </c>
      <c r="L210" s="150" t="e">
        <f>Saisie!#REF!</f>
        <v>#REF!</v>
      </c>
      <c r="M210" s="55" t="e">
        <f t="array" ref="M210">_xlfn.IFS(Saisie!M210="OUI",1,Saisie!M210="NON",0)</f>
        <v>#N/A</v>
      </c>
      <c r="N210" s="64" t="e">
        <f>Saisie!#REF!</f>
        <v>#REF!</v>
      </c>
      <c r="O210" s="63" t="e">
        <f>Saisie!#REF!</f>
        <v>#REF!</v>
      </c>
      <c r="P210" s="63">
        <f>Saisie!N210</f>
        <v>0</v>
      </c>
      <c r="Q210" s="63" t="e">
        <f t="array" ref="Q210">_xlfn.IFS(Saisie!#REF!="OUI",1,Saisie!#REF!="NON",0)</f>
        <v>#REF!</v>
      </c>
      <c r="R210" s="63" t="e">
        <f>Saisie!#REF!</f>
        <v>#REF!</v>
      </c>
      <c r="S210" s="65" t="e">
        <f>Saisie!#REF!</f>
        <v>#REF!</v>
      </c>
      <c r="T210" s="63" t="e">
        <f>Saisie!#REF!</f>
        <v>#REF!</v>
      </c>
      <c r="U210" s="63" t="e">
        <f>Saisie!#REF!</f>
        <v>#REF!</v>
      </c>
      <c r="V210" s="63" t="e">
        <f t="array" ref="V210">_xlfn.IFS(Saisie!#REF!="OUI",1,Saisie!#REF!="NON",0)</f>
        <v>#REF!</v>
      </c>
      <c r="W210" s="63" t="e">
        <f t="array" ref="W210">_xlfn.IFS(Saisie!O210="OUI",1,Saisie!O210="NON",0)</f>
        <v>#N/A</v>
      </c>
      <c r="X210" s="63">
        <f>Saisie!P210</f>
        <v>0</v>
      </c>
      <c r="Y210" s="299">
        <f>Saisie!H210</f>
        <v>0</v>
      </c>
      <c r="Z210" s="58" t="e">
        <f>Saisie!#REF!</f>
        <v>#REF!</v>
      </c>
      <c r="AA210" s="299">
        <f>Saisie!Q210</f>
        <v>0</v>
      </c>
      <c r="AB210" s="63" t="e">
        <f t="array" ref="AB210">_xlfn.IFS(Saisie!R210="OUI",1,Saisie!R210="NON",0)</f>
        <v>#N/A</v>
      </c>
      <c r="AC210" s="63">
        <f>Saisie!S210</f>
        <v>0</v>
      </c>
      <c r="AD210" s="63" t="e">
        <f t="array" ref="AD210">_xlfn.IFS(Saisie!T210="OUI",1,Saisie!T210="NON",0)</f>
        <v>#N/A</v>
      </c>
      <c r="AE210" s="171">
        <f>Saisie!U210</f>
        <v>0</v>
      </c>
      <c r="AF210" s="262">
        <v>3</v>
      </c>
      <c r="AG210" s="129">
        <f>Saisie!W210</f>
        <v>0</v>
      </c>
      <c r="AH210" s="20">
        <f>Saisie!X210</f>
        <v>0</v>
      </c>
      <c r="AI210" s="21">
        <f>Saisie!Y210</f>
        <v>0</v>
      </c>
      <c r="AJ210" s="59">
        <f>Saisie!Z210</f>
        <v>0</v>
      </c>
      <c r="AK210" s="20">
        <f>Saisie!AA210</f>
        <v>0</v>
      </c>
      <c r="AL210" s="21">
        <f>Saisie!AB210</f>
        <v>0</v>
      </c>
      <c r="AM210" s="59">
        <f>Saisie!AC210</f>
        <v>0</v>
      </c>
      <c r="AN210" s="20">
        <f>Saisie!AD210</f>
        <v>0</v>
      </c>
      <c r="AO210" s="21">
        <f>Saisie!AE210</f>
        <v>0</v>
      </c>
      <c r="AP210" s="59">
        <f>Saisie!AF210</f>
        <v>0</v>
      </c>
      <c r="AQ210" s="129" t="e">
        <f t="array" ref="AQ210">_xlfn.IFS(Saisie!AG210="OUI",1,Saisie!AG210="NON",0)</f>
        <v>#N/A</v>
      </c>
      <c r="AR210" s="129" t="e">
        <f t="array" ref="AR210">_xlfn.IFS(Saisie!AH210="OUI",1,Saisie!AH210="NON",0)</f>
        <v>#N/A</v>
      </c>
      <c r="AS210" s="171">
        <f>Saisie!AI210</f>
        <v>0</v>
      </c>
      <c r="AT210" s="263" t="e">
        <f t="array" ref="AT210">_xlfn.IFS(Saisie!AJ210="OUI",1,Saisie!AJ210="NON",0)</f>
        <v>#N/A</v>
      </c>
      <c r="AU210" s="173">
        <f>Saisie!AK210</f>
        <v>0</v>
      </c>
      <c r="AV210" s="263" t="e">
        <f t="array" ref="AV210">_xlfn.IFS(Saisie!AL210="OUI",1,Saisie!AL210="NON",0)</f>
        <v>#N/A</v>
      </c>
      <c r="AW210" s="171">
        <f>Saisie!AM210</f>
        <v>0</v>
      </c>
      <c r="AX210" s="68">
        <f>Saisie!AN210</f>
        <v>0</v>
      </c>
      <c r="AY210" s="20">
        <f>Saisie!AO210</f>
        <v>0</v>
      </c>
      <c r="AZ210" s="21">
        <f>Saisie!AP210</f>
        <v>0</v>
      </c>
      <c r="BA210" s="298">
        <f>Saisie!AQ210</f>
        <v>0</v>
      </c>
      <c r="BB210" s="170">
        <f>Saisie!AR210</f>
        <v>0</v>
      </c>
      <c r="BC210" s="174">
        <f>Saisie!AS210</f>
        <v>0</v>
      </c>
      <c r="BD210" s="61">
        <f>Saisie!AT210</f>
        <v>0</v>
      </c>
      <c r="BE210" s="175" t="e">
        <f t="array" ref="BE210">_xlfn.IFS(Saisie!AU210="OUI",1,Saisie!AU210="NON",0)</f>
        <v>#N/A</v>
      </c>
      <c r="BF210" s="267">
        <f>Saisie!AV210</f>
        <v>0</v>
      </c>
      <c r="BG210" s="55">
        <f>Saisie!AW210</f>
        <v>0</v>
      </c>
      <c r="BH210" s="55" t="e">
        <f t="array" ref="BH210">_xlfn.IFS(Saisie!AX210="OUI",1,Saisie!AX210="NON",0)</f>
        <v>#N/A</v>
      </c>
      <c r="BI210" s="62">
        <f>Saisie!AY210</f>
        <v>0</v>
      </c>
      <c r="BJ210" s="55" t="e">
        <f t="array" ref="BJ210">_xlfn.IFS(Saisie!AZ210="OUI",1,Saisie!AZ210="NON",0)</f>
        <v>#N/A</v>
      </c>
      <c r="BK210" s="55" t="e">
        <f t="array" ref="BK210">_xlfn.IFS(Saisie!BA210="OUI",1,Saisie!BA210="NON",0)</f>
        <v>#N/A</v>
      </c>
      <c r="BL210" s="55">
        <f>Saisie!BB210</f>
        <v>0</v>
      </c>
      <c r="BM210" s="49" t="e">
        <f>Saisie!BC210</f>
        <v>#REF!</v>
      </c>
      <c r="BN210" s="175"/>
    </row>
    <row r="211" spans="1:66" s="176" customFormat="1" x14ac:dyDescent="0.45">
      <c r="A211" s="12">
        <v>205</v>
      </c>
      <c r="B211" s="150">
        <f>Saisie!B211</f>
        <v>0</v>
      </c>
      <c r="C211" s="150">
        <f>Saisie!C211</f>
        <v>0</v>
      </c>
      <c r="D211" s="150">
        <f>Saisie!D211</f>
        <v>0</v>
      </c>
      <c r="E211" s="150">
        <f>Saisie!E211</f>
        <v>0</v>
      </c>
      <c r="F211" s="150">
        <f>Saisie!F211</f>
        <v>0</v>
      </c>
      <c r="G211" s="150">
        <f>Saisie!G211</f>
        <v>0</v>
      </c>
      <c r="H211" s="150">
        <f>Saisie!I211</f>
        <v>0</v>
      </c>
      <c r="I211" s="150">
        <f>Saisie!J211</f>
        <v>0</v>
      </c>
      <c r="J211" s="150">
        <f>Saisie!K211</f>
        <v>0</v>
      </c>
      <c r="K211" s="150">
        <f>Saisie!L211</f>
        <v>0</v>
      </c>
      <c r="L211" s="150" t="e">
        <f>Saisie!#REF!</f>
        <v>#REF!</v>
      </c>
      <c r="M211" s="55" t="e">
        <f t="array" ref="M211">_xlfn.IFS(Saisie!M211="OUI",1,Saisie!M211="NON",0)</f>
        <v>#N/A</v>
      </c>
      <c r="N211" s="64" t="e">
        <f>Saisie!#REF!</f>
        <v>#REF!</v>
      </c>
      <c r="O211" s="63" t="e">
        <f>Saisie!#REF!</f>
        <v>#REF!</v>
      </c>
      <c r="P211" s="63">
        <f>Saisie!N211</f>
        <v>0</v>
      </c>
      <c r="Q211" s="63" t="e">
        <f t="array" ref="Q211">_xlfn.IFS(Saisie!#REF!="OUI",1,Saisie!#REF!="NON",0)</f>
        <v>#REF!</v>
      </c>
      <c r="R211" s="63" t="e">
        <f>Saisie!#REF!</f>
        <v>#REF!</v>
      </c>
      <c r="S211" s="65" t="e">
        <f>Saisie!#REF!</f>
        <v>#REF!</v>
      </c>
      <c r="T211" s="63" t="e">
        <f>Saisie!#REF!</f>
        <v>#REF!</v>
      </c>
      <c r="U211" s="63" t="e">
        <f>Saisie!#REF!</f>
        <v>#REF!</v>
      </c>
      <c r="V211" s="63" t="e">
        <f t="array" ref="V211">_xlfn.IFS(Saisie!#REF!="OUI",1,Saisie!#REF!="NON",0)</f>
        <v>#REF!</v>
      </c>
      <c r="W211" s="63" t="e">
        <f t="array" ref="W211">_xlfn.IFS(Saisie!O211="OUI",1,Saisie!O211="NON",0)</f>
        <v>#N/A</v>
      </c>
      <c r="X211" s="63">
        <f>Saisie!P211</f>
        <v>0</v>
      </c>
      <c r="Y211" s="299">
        <f>Saisie!H211</f>
        <v>0</v>
      </c>
      <c r="Z211" s="58" t="e">
        <f>Saisie!#REF!</f>
        <v>#REF!</v>
      </c>
      <c r="AA211" s="299">
        <f>Saisie!Q211</f>
        <v>0</v>
      </c>
      <c r="AB211" s="63" t="e">
        <f t="array" ref="AB211">_xlfn.IFS(Saisie!R211="OUI",1,Saisie!R211="NON",0)</f>
        <v>#N/A</v>
      </c>
      <c r="AC211" s="63">
        <f>Saisie!S211</f>
        <v>0</v>
      </c>
      <c r="AD211" s="63" t="e">
        <f t="array" ref="AD211">_xlfn.IFS(Saisie!T211="OUI",1,Saisie!T211="NON",0)</f>
        <v>#N/A</v>
      </c>
      <c r="AE211" s="171">
        <f>Saisie!U211</f>
        <v>0</v>
      </c>
      <c r="AF211" s="262">
        <v>3</v>
      </c>
      <c r="AG211" s="129">
        <f>Saisie!W211</f>
        <v>0</v>
      </c>
      <c r="AH211" s="20">
        <f>Saisie!X211</f>
        <v>0</v>
      </c>
      <c r="AI211" s="21">
        <f>Saisie!Y211</f>
        <v>0</v>
      </c>
      <c r="AJ211" s="59">
        <f>Saisie!Z211</f>
        <v>0</v>
      </c>
      <c r="AK211" s="20">
        <f>Saisie!AA211</f>
        <v>0</v>
      </c>
      <c r="AL211" s="21">
        <f>Saisie!AB211</f>
        <v>0</v>
      </c>
      <c r="AM211" s="59">
        <f>Saisie!AC211</f>
        <v>0</v>
      </c>
      <c r="AN211" s="20">
        <f>Saisie!AD211</f>
        <v>0</v>
      </c>
      <c r="AO211" s="21">
        <f>Saisie!AE211</f>
        <v>0</v>
      </c>
      <c r="AP211" s="59">
        <f>Saisie!AF211</f>
        <v>0</v>
      </c>
      <c r="AQ211" s="129" t="e">
        <f t="array" ref="AQ211">_xlfn.IFS(Saisie!AG211="OUI",1,Saisie!AG211="NON",0)</f>
        <v>#N/A</v>
      </c>
      <c r="AR211" s="129" t="e">
        <f t="array" ref="AR211">_xlfn.IFS(Saisie!AH211="OUI",1,Saisie!AH211="NON",0)</f>
        <v>#N/A</v>
      </c>
      <c r="AS211" s="171">
        <f>Saisie!AI211</f>
        <v>0</v>
      </c>
      <c r="AT211" s="263" t="e">
        <f t="array" ref="AT211">_xlfn.IFS(Saisie!AJ211="OUI",1,Saisie!AJ211="NON",0)</f>
        <v>#N/A</v>
      </c>
      <c r="AU211" s="173">
        <f>Saisie!AK211</f>
        <v>0</v>
      </c>
      <c r="AV211" s="263" t="e">
        <f t="array" ref="AV211">_xlfn.IFS(Saisie!AL211="OUI",1,Saisie!AL211="NON",0)</f>
        <v>#N/A</v>
      </c>
      <c r="AW211" s="171">
        <f>Saisie!AM211</f>
        <v>0</v>
      </c>
      <c r="AX211" s="68">
        <f>Saisie!AN211</f>
        <v>0</v>
      </c>
      <c r="AY211" s="20">
        <f>Saisie!AO211</f>
        <v>0</v>
      </c>
      <c r="AZ211" s="21">
        <f>Saisie!AP211</f>
        <v>0</v>
      </c>
      <c r="BA211" s="298">
        <f>Saisie!AQ211</f>
        <v>0</v>
      </c>
      <c r="BB211" s="170">
        <f>Saisie!AR211</f>
        <v>0</v>
      </c>
      <c r="BC211" s="174">
        <f>Saisie!AS211</f>
        <v>0</v>
      </c>
      <c r="BD211" s="61">
        <f>Saisie!AT211</f>
        <v>0</v>
      </c>
      <c r="BE211" s="175" t="e">
        <f t="array" ref="BE211">_xlfn.IFS(Saisie!AU211="OUI",1,Saisie!AU211="NON",0)</f>
        <v>#N/A</v>
      </c>
      <c r="BF211" s="267">
        <f>Saisie!AV211</f>
        <v>0</v>
      </c>
      <c r="BG211" s="55">
        <f>Saisie!AW211</f>
        <v>0</v>
      </c>
      <c r="BH211" s="55" t="e">
        <f t="array" ref="BH211">_xlfn.IFS(Saisie!AX211="OUI",1,Saisie!AX211="NON",0)</f>
        <v>#N/A</v>
      </c>
      <c r="BI211" s="62">
        <f>Saisie!AY211</f>
        <v>0</v>
      </c>
      <c r="BJ211" s="55" t="e">
        <f t="array" ref="BJ211">_xlfn.IFS(Saisie!AZ211="OUI",1,Saisie!AZ211="NON",0)</f>
        <v>#N/A</v>
      </c>
      <c r="BK211" s="55" t="e">
        <f t="array" ref="BK211">_xlfn.IFS(Saisie!BA211="OUI",1,Saisie!BA211="NON",0)</f>
        <v>#N/A</v>
      </c>
      <c r="BL211" s="55">
        <f>Saisie!BB211</f>
        <v>0</v>
      </c>
      <c r="BM211" s="49" t="e">
        <f>Saisie!BC211</f>
        <v>#REF!</v>
      </c>
      <c r="BN211" s="6"/>
    </row>
    <row r="212" spans="1:66" s="176" customFormat="1" x14ac:dyDescent="0.45">
      <c r="A212" s="13">
        <v>206</v>
      </c>
      <c r="B212" s="150">
        <f>Saisie!B212</f>
        <v>0</v>
      </c>
      <c r="C212" s="150">
        <f>Saisie!C212</f>
        <v>0</v>
      </c>
      <c r="D212" s="150">
        <f>Saisie!D212</f>
        <v>0</v>
      </c>
      <c r="E212" s="150">
        <f>Saisie!E212</f>
        <v>0</v>
      </c>
      <c r="F212" s="150">
        <f>Saisie!F212</f>
        <v>0</v>
      </c>
      <c r="G212" s="150">
        <f>Saisie!G212</f>
        <v>0</v>
      </c>
      <c r="H212" s="150">
        <f>Saisie!I212</f>
        <v>0</v>
      </c>
      <c r="I212" s="150">
        <f>Saisie!J212</f>
        <v>0</v>
      </c>
      <c r="J212" s="150">
        <f>Saisie!K212</f>
        <v>0</v>
      </c>
      <c r="K212" s="150">
        <f>Saisie!L212</f>
        <v>0</v>
      </c>
      <c r="L212" s="150" t="e">
        <f>Saisie!#REF!</f>
        <v>#REF!</v>
      </c>
      <c r="M212" s="55" t="e">
        <f t="array" ref="M212">_xlfn.IFS(Saisie!M212="OUI",1,Saisie!M212="NON",0)</f>
        <v>#N/A</v>
      </c>
      <c r="N212" s="64" t="e">
        <f>Saisie!#REF!</f>
        <v>#REF!</v>
      </c>
      <c r="O212" s="63" t="e">
        <f>Saisie!#REF!</f>
        <v>#REF!</v>
      </c>
      <c r="P212" s="63">
        <f>Saisie!N212</f>
        <v>0</v>
      </c>
      <c r="Q212" s="63" t="e">
        <f t="array" ref="Q212">_xlfn.IFS(Saisie!#REF!="OUI",1,Saisie!#REF!="NON",0)</f>
        <v>#REF!</v>
      </c>
      <c r="R212" s="63" t="e">
        <f>Saisie!#REF!</f>
        <v>#REF!</v>
      </c>
      <c r="S212" s="65" t="e">
        <f>Saisie!#REF!</f>
        <v>#REF!</v>
      </c>
      <c r="T212" s="63" t="e">
        <f>Saisie!#REF!</f>
        <v>#REF!</v>
      </c>
      <c r="U212" s="63" t="e">
        <f>Saisie!#REF!</f>
        <v>#REF!</v>
      </c>
      <c r="V212" s="63" t="e">
        <f t="array" ref="V212">_xlfn.IFS(Saisie!#REF!="OUI",1,Saisie!#REF!="NON",0)</f>
        <v>#REF!</v>
      </c>
      <c r="W212" s="63" t="e">
        <f t="array" ref="W212">_xlfn.IFS(Saisie!O212="OUI",1,Saisie!O212="NON",0)</f>
        <v>#N/A</v>
      </c>
      <c r="X212" s="63">
        <f>Saisie!P212</f>
        <v>0</v>
      </c>
      <c r="Y212" s="299">
        <f>Saisie!H212</f>
        <v>0</v>
      </c>
      <c r="Z212" s="58" t="e">
        <f>Saisie!#REF!</f>
        <v>#REF!</v>
      </c>
      <c r="AA212" s="299">
        <f>Saisie!Q212</f>
        <v>0</v>
      </c>
      <c r="AB212" s="63" t="e">
        <f t="array" ref="AB212">_xlfn.IFS(Saisie!R212="OUI",1,Saisie!R212="NON",0)</f>
        <v>#N/A</v>
      </c>
      <c r="AC212" s="63">
        <f>Saisie!S212</f>
        <v>0</v>
      </c>
      <c r="AD212" s="63" t="e">
        <f t="array" ref="AD212">_xlfn.IFS(Saisie!T212="OUI",1,Saisie!T212="NON",0)</f>
        <v>#N/A</v>
      </c>
      <c r="AE212" s="171">
        <f>Saisie!U212</f>
        <v>0</v>
      </c>
      <c r="AF212" s="262">
        <v>3</v>
      </c>
      <c r="AG212" s="129">
        <f>Saisie!W212</f>
        <v>0</v>
      </c>
      <c r="AH212" s="20">
        <f>Saisie!X212</f>
        <v>0</v>
      </c>
      <c r="AI212" s="21">
        <f>Saisie!Y212</f>
        <v>0</v>
      </c>
      <c r="AJ212" s="59">
        <f>Saisie!Z212</f>
        <v>0</v>
      </c>
      <c r="AK212" s="20">
        <f>Saisie!AA212</f>
        <v>0</v>
      </c>
      <c r="AL212" s="21">
        <f>Saisie!AB212</f>
        <v>0</v>
      </c>
      <c r="AM212" s="59">
        <f>Saisie!AC212</f>
        <v>0</v>
      </c>
      <c r="AN212" s="20">
        <f>Saisie!AD212</f>
        <v>0</v>
      </c>
      <c r="AO212" s="21">
        <f>Saisie!AE212</f>
        <v>0</v>
      </c>
      <c r="AP212" s="59">
        <f>Saisie!AF212</f>
        <v>0</v>
      </c>
      <c r="AQ212" s="129" t="e">
        <f t="array" ref="AQ212">_xlfn.IFS(Saisie!AG212="OUI",1,Saisie!AG212="NON",0)</f>
        <v>#N/A</v>
      </c>
      <c r="AR212" s="129" t="e">
        <f t="array" ref="AR212">_xlfn.IFS(Saisie!AH212="OUI",1,Saisie!AH212="NON",0)</f>
        <v>#N/A</v>
      </c>
      <c r="AS212" s="171">
        <f>Saisie!AI212</f>
        <v>0</v>
      </c>
      <c r="AT212" s="263" t="e">
        <f t="array" ref="AT212">_xlfn.IFS(Saisie!AJ212="OUI",1,Saisie!AJ212="NON",0)</f>
        <v>#N/A</v>
      </c>
      <c r="AU212" s="173">
        <f>Saisie!AK212</f>
        <v>0</v>
      </c>
      <c r="AV212" s="263" t="e">
        <f t="array" ref="AV212">_xlfn.IFS(Saisie!AL212="OUI",1,Saisie!AL212="NON",0)</f>
        <v>#N/A</v>
      </c>
      <c r="AW212" s="171">
        <f>Saisie!AM212</f>
        <v>0</v>
      </c>
      <c r="AX212" s="68">
        <f>Saisie!AN212</f>
        <v>0</v>
      </c>
      <c r="AY212" s="20">
        <f>Saisie!AO212</f>
        <v>0</v>
      </c>
      <c r="AZ212" s="21">
        <f>Saisie!AP212</f>
        <v>0</v>
      </c>
      <c r="BA212" s="298">
        <f>Saisie!AQ212</f>
        <v>0</v>
      </c>
      <c r="BB212" s="170">
        <f>Saisie!AR212</f>
        <v>0</v>
      </c>
      <c r="BC212" s="174">
        <f>Saisie!AS212</f>
        <v>0</v>
      </c>
      <c r="BD212" s="61">
        <f>Saisie!AT212</f>
        <v>0</v>
      </c>
      <c r="BE212" s="175" t="e">
        <f t="array" ref="BE212">_xlfn.IFS(Saisie!AU212="OUI",1,Saisie!AU212="NON",0)</f>
        <v>#N/A</v>
      </c>
      <c r="BF212" s="267">
        <f>Saisie!AV212</f>
        <v>0</v>
      </c>
      <c r="BG212" s="55">
        <f>Saisie!AW212</f>
        <v>0</v>
      </c>
      <c r="BH212" s="55" t="e">
        <f t="array" ref="BH212">_xlfn.IFS(Saisie!AX212="OUI",1,Saisie!AX212="NON",0)</f>
        <v>#N/A</v>
      </c>
      <c r="BI212" s="62">
        <f>Saisie!AY212</f>
        <v>0</v>
      </c>
      <c r="BJ212" s="55" t="e">
        <f t="array" ref="BJ212">_xlfn.IFS(Saisie!AZ212="OUI",1,Saisie!AZ212="NON",0)</f>
        <v>#N/A</v>
      </c>
      <c r="BK212" s="55" t="e">
        <f t="array" ref="BK212">_xlfn.IFS(Saisie!BA212="OUI",1,Saisie!BA212="NON",0)</f>
        <v>#N/A</v>
      </c>
      <c r="BL212" s="55">
        <f>Saisie!BB212</f>
        <v>0</v>
      </c>
      <c r="BM212" s="49" t="e">
        <f>Saisie!BC212</f>
        <v>#REF!</v>
      </c>
      <c r="BN212" s="175"/>
    </row>
    <row r="213" spans="1:66" s="176" customFormat="1" x14ac:dyDescent="0.45">
      <c r="A213" s="13">
        <v>207</v>
      </c>
      <c r="B213" s="150">
        <f>Saisie!B213</f>
        <v>0</v>
      </c>
      <c r="C213" s="150">
        <f>Saisie!C213</f>
        <v>0</v>
      </c>
      <c r="D213" s="150">
        <f>Saisie!D213</f>
        <v>0</v>
      </c>
      <c r="E213" s="150">
        <f>Saisie!E213</f>
        <v>0</v>
      </c>
      <c r="F213" s="150">
        <f>Saisie!F213</f>
        <v>0</v>
      </c>
      <c r="G213" s="150">
        <f>Saisie!G213</f>
        <v>0</v>
      </c>
      <c r="H213" s="150">
        <f>Saisie!I213</f>
        <v>0</v>
      </c>
      <c r="I213" s="150">
        <f>Saisie!J213</f>
        <v>0</v>
      </c>
      <c r="J213" s="150">
        <f>Saisie!K213</f>
        <v>0</v>
      </c>
      <c r="K213" s="150">
        <f>Saisie!L213</f>
        <v>0</v>
      </c>
      <c r="L213" s="150" t="e">
        <f>Saisie!#REF!</f>
        <v>#REF!</v>
      </c>
      <c r="M213" s="55" t="e">
        <f t="array" ref="M213">_xlfn.IFS(Saisie!M213="OUI",1,Saisie!M213="NON",0)</f>
        <v>#N/A</v>
      </c>
      <c r="N213" s="64" t="e">
        <f>Saisie!#REF!</f>
        <v>#REF!</v>
      </c>
      <c r="O213" s="63" t="e">
        <f>Saisie!#REF!</f>
        <v>#REF!</v>
      </c>
      <c r="P213" s="63">
        <f>Saisie!N213</f>
        <v>0</v>
      </c>
      <c r="Q213" s="63" t="e">
        <f t="array" ref="Q213">_xlfn.IFS(Saisie!#REF!="OUI",1,Saisie!#REF!="NON",0)</f>
        <v>#REF!</v>
      </c>
      <c r="R213" s="63" t="e">
        <f>Saisie!#REF!</f>
        <v>#REF!</v>
      </c>
      <c r="S213" s="65" t="e">
        <f>Saisie!#REF!</f>
        <v>#REF!</v>
      </c>
      <c r="T213" s="63" t="e">
        <f>Saisie!#REF!</f>
        <v>#REF!</v>
      </c>
      <c r="U213" s="63" t="e">
        <f>Saisie!#REF!</f>
        <v>#REF!</v>
      </c>
      <c r="V213" s="63" t="e">
        <f t="array" ref="V213">_xlfn.IFS(Saisie!#REF!="OUI",1,Saisie!#REF!="NON",0)</f>
        <v>#REF!</v>
      </c>
      <c r="W213" s="63" t="e">
        <f t="array" ref="W213">_xlfn.IFS(Saisie!O213="OUI",1,Saisie!O213="NON",0)</f>
        <v>#N/A</v>
      </c>
      <c r="X213" s="63">
        <f>Saisie!P213</f>
        <v>0</v>
      </c>
      <c r="Y213" s="299">
        <f>Saisie!H213</f>
        <v>0</v>
      </c>
      <c r="Z213" s="58" t="e">
        <f>Saisie!#REF!</f>
        <v>#REF!</v>
      </c>
      <c r="AA213" s="299">
        <f>Saisie!Q213</f>
        <v>0</v>
      </c>
      <c r="AB213" s="63" t="e">
        <f t="array" ref="AB213">_xlfn.IFS(Saisie!R213="OUI",1,Saisie!R213="NON",0)</f>
        <v>#N/A</v>
      </c>
      <c r="AC213" s="63">
        <f>Saisie!S213</f>
        <v>0</v>
      </c>
      <c r="AD213" s="63" t="e">
        <f t="array" ref="AD213">_xlfn.IFS(Saisie!T213="OUI",1,Saisie!T213="NON",0)</f>
        <v>#N/A</v>
      </c>
      <c r="AE213" s="171">
        <f>Saisie!U213</f>
        <v>0</v>
      </c>
      <c r="AF213" s="262">
        <v>3</v>
      </c>
      <c r="AG213" s="129">
        <f>Saisie!W213</f>
        <v>0</v>
      </c>
      <c r="AH213" s="20">
        <f>Saisie!X213</f>
        <v>0</v>
      </c>
      <c r="AI213" s="21">
        <f>Saisie!Y213</f>
        <v>0</v>
      </c>
      <c r="AJ213" s="59">
        <f>Saisie!Z213</f>
        <v>0</v>
      </c>
      <c r="AK213" s="20">
        <f>Saisie!AA213</f>
        <v>0</v>
      </c>
      <c r="AL213" s="21">
        <f>Saisie!AB213</f>
        <v>0</v>
      </c>
      <c r="AM213" s="59">
        <f>Saisie!AC213</f>
        <v>0</v>
      </c>
      <c r="AN213" s="20">
        <f>Saisie!AD213</f>
        <v>0</v>
      </c>
      <c r="AO213" s="21">
        <f>Saisie!AE213</f>
        <v>0</v>
      </c>
      <c r="AP213" s="59">
        <f>Saisie!AF213</f>
        <v>0</v>
      </c>
      <c r="AQ213" s="129" t="e">
        <f t="array" ref="AQ213">_xlfn.IFS(Saisie!AG213="OUI",1,Saisie!AG213="NON",0)</f>
        <v>#N/A</v>
      </c>
      <c r="AR213" s="129" t="e">
        <f t="array" ref="AR213">_xlfn.IFS(Saisie!AH213="OUI",1,Saisie!AH213="NON",0)</f>
        <v>#N/A</v>
      </c>
      <c r="AS213" s="171">
        <f>Saisie!AI213</f>
        <v>0</v>
      </c>
      <c r="AT213" s="263" t="e">
        <f t="array" ref="AT213">_xlfn.IFS(Saisie!AJ213="OUI",1,Saisie!AJ213="NON",0)</f>
        <v>#N/A</v>
      </c>
      <c r="AU213" s="173">
        <f>Saisie!AK213</f>
        <v>0</v>
      </c>
      <c r="AV213" s="263" t="e">
        <f t="array" ref="AV213">_xlfn.IFS(Saisie!AL213="OUI",1,Saisie!AL213="NON",0)</f>
        <v>#N/A</v>
      </c>
      <c r="AW213" s="171">
        <f>Saisie!AM213</f>
        <v>0</v>
      </c>
      <c r="AX213" s="68">
        <f>Saisie!AN213</f>
        <v>0</v>
      </c>
      <c r="AY213" s="20">
        <f>Saisie!AO213</f>
        <v>0</v>
      </c>
      <c r="AZ213" s="21">
        <f>Saisie!AP213</f>
        <v>0</v>
      </c>
      <c r="BA213" s="298">
        <f>Saisie!AQ213</f>
        <v>0</v>
      </c>
      <c r="BB213" s="170">
        <f>Saisie!AR213</f>
        <v>0</v>
      </c>
      <c r="BC213" s="174">
        <f>Saisie!AS213</f>
        <v>0</v>
      </c>
      <c r="BD213" s="61">
        <f>Saisie!AT213</f>
        <v>0</v>
      </c>
      <c r="BE213" s="175" t="e">
        <f t="array" ref="BE213">_xlfn.IFS(Saisie!AU213="OUI",1,Saisie!AU213="NON",0)</f>
        <v>#N/A</v>
      </c>
      <c r="BF213" s="267">
        <f>Saisie!AV213</f>
        <v>0</v>
      </c>
      <c r="BG213" s="55">
        <f>Saisie!AW213</f>
        <v>0</v>
      </c>
      <c r="BH213" s="55" t="e">
        <f t="array" ref="BH213">_xlfn.IFS(Saisie!AX213="OUI",1,Saisie!AX213="NON",0)</f>
        <v>#N/A</v>
      </c>
      <c r="BI213" s="62">
        <f>Saisie!AY213</f>
        <v>0</v>
      </c>
      <c r="BJ213" s="55" t="e">
        <f t="array" ref="BJ213">_xlfn.IFS(Saisie!AZ213="OUI",1,Saisie!AZ213="NON",0)</f>
        <v>#N/A</v>
      </c>
      <c r="BK213" s="55" t="e">
        <f t="array" ref="BK213">_xlfn.IFS(Saisie!BA213="OUI",1,Saisie!BA213="NON",0)</f>
        <v>#N/A</v>
      </c>
      <c r="BL213" s="55">
        <f>Saisie!BB213</f>
        <v>0</v>
      </c>
      <c r="BM213" s="49" t="e">
        <f>Saisie!BC213</f>
        <v>#REF!</v>
      </c>
      <c r="BN213" s="6"/>
    </row>
    <row r="214" spans="1:66" s="176" customFormat="1" x14ac:dyDescent="0.45">
      <c r="A214" s="12">
        <v>208</v>
      </c>
      <c r="B214" s="150">
        <f>Saisie!B214</f>
        <v>0</v>
      </c>
      <c r="C214" s="150">
        <f>Saisie!C214</f>
        <v>0</v>
      </c>
      <c r="D214" s="150">
        <f>Saisie!D214</f>
        <v>0</v>
      </c>
      <c r="E214" s="150">
        <f>Saisie!E214</f>
        <v>0</v>
      </c>
      <c r="F214" s="150">
        <f>Saisie!F214</f>
        <v>0</v>
      </c>
      <c r="G214" s="150">
        <f>Saisie!G214</f>
        <v>0</v>
      </c>
      <c r="H214" s="150">
        <f>Saisie!I214</f>
        <v>0</v>
      </c>
      <c r="I214" s="150">
        <f>Saisie!J214</f>
        <v>0</v>
      </c>
      <c r="J214" s="150">
        <f>Saisie!K214</f>
        <v>0</v>
      </c>
      <c r="K214" s="150">
        <f>Saisie!L214</f>
        <v>0</v>
      </c>
      <c r="L214" s="150" t="e">
        <f>Saisie!#REF!</f>
        <v>#REF!</v>
      </c>
      <c r="M214" s="55" t="e">
        <f t="array" ref="M214">_xlfn.IFS(Saisie!M214="OUI",1,Saisie!M214="NON",0)</f>
        <v>#N/A</v>
      </c>
      <c r="N214" s="64" t="e">
        <f>Saisie!#REF!</f>
        <v>#REF!</v>
      </c>
      <c r="O214" s="63" t="e">
        <f>Saisie!#REF!</f>
        <v>#REF!</v>
      </c>
      <c r="P214" s="63">
        <f>Saisie!N214</f>
        <v>0</v>
      </c>
      <c r="Q214" s="63" t="e">
        <f t="array" ref="Q214">_xlfn.IFS(Saisie!#REF!="OUI",1,Saisie!#REF!="NON",0)</f>
        <v>#REF!</v>
      </c>
      <c r="R214" s="63" t="e">
        <f>Saisie!#REF!</f>
        <v>#REF!</v>
      </c>
      <c r="S214" s="65" t="e">
        <f>Saisie!#REF!</f>
        <v>#REF!</v>
      </c>
      <c r="T214" s="63" t="e">
        <f>Saisie!#REF!</f>
        <v>#REF!</v>
      </c>
      <c r="U214" s="63" t="e">
        <f>Saisie!#REF!</f>
        <v>#REF!</v>
      </c>
      <c r="V214" s="63" t="e">
        <f t="array" ref="V214">_xlfn.IFS(Saisie!#REF!="OUI",1,Saisie!#REF!="NON",0)</f>
        <v>#REF!</v>
      </c>
      <c r="W214" s="63" t="e">
        <f t="array" ref="W214">_xlfn.IFS(Saisie!O214="OUI",1,Saisie!O214="NON",0)</f>
        <v>#N/A</v>
      </c>
      <c r="X214" s="63">
        <f>Saisie!P214</f>
        <v>0</v>
      </c>
      <c r="Y214" s="299">
        <f>Saisie!H214</f>
        <v>0</v>
      </c>
      <c r="Z214" s="58" t="e">
        <f>Saisie!#REF!</f>
        <v>#REF!</v>
      </c>
      <c r="AA214" s="299">
        <f>Saisie!Q214</f>
        <v>0</v>
      </c>
      <c r="AB214" s="63" t="e">
        <f t="array" ref="AB214">_xlfn.IFS(Saisie!R214="OUI",1,Saisie!R214="NON",0)</f>
        <v>#N/A</v>
      </c>
      <c r="AC214" s="63">
        <f>Saisie!S214</f>
        <v>0</v>
      </c>
      <c r="AD214" s="63" t="e">
        <f t="array" ref="AD214">_xlfn.IFS(Saisie!T214="OUI",1,Saisie!T214="NON",0)</f>
        <v>#N/A</v>
      </c>
      <c r="AE214" s="171">
        <f>Saisie!U214</f>
        <v>0</v>
      </c>
      <c r="AF214" s="262">
        <v>3</v>
      </c>
      <c r="AG214" s="129">
        <f>Saisie!W214</f>
        <v>0</v>
      </c>
      <c r="AH214" s="20">
        <f>Saisie!X214</f>
        <v>0</v>
      </c>
      <c r="AI214" s="21">
        <f>Saisie!Y214</f>
        <v>0</v>
      </c>
      <c r="AJ214" s="59">
        <f>Saisie!Z214</f>
        <v>0</v>
      </c>
      <c r="AK214" s="20">
        <f>Saisie!AA214</f>
        <v>0</v>
      </c>
      <c r="AL214" s="21">
        <f>Saisie!AB214</f>
        <v>0</v>
      </c>
      <c r="AM214" s="59">
        <f>Saisie!AC214</f>
        <v>0</v>
      </c>
      <c r="AN214" s="20">
        <f>Saisie!AD214</f>
        <v>0</v>
      </c>
      <c r="AO214" s="21">
        <f>Saisie!AE214</f>
        <v>0</v>
      </c>
      <c r="AP214" s="59">
        <f>Saisie!AF214</f>
        <v>0</v>
      </c>
      <c r="AQ214" s="129" t="e">
        <f t="array" ref="AQ214">_xlfn.IFS(Saisie!AG214="OUI",1,Saisie!AG214="NON",0)</f>
        <v>#N/A</v>
      </c>
      <c r="AR214" s="129" t="e">
        <f t="array" ref="AR214">_xlfn.IFS(Saisie!AH214="OUI",1,Saisie!AH214="NON",0)</f>
        <v>#N/A</v>
      </c>
      <c r="AS214" s="171">
        <f>Saisie!AI214</f>
        <v>0</v>
      </c>
      <c r="AT214" s="263" t="e">
        <f t="array" ref="AT214">_xlfn.IFS(Saisie!AJ214="OUI",1,Saisie!AJ214="NON",0)</f>
        <v>#N/A</v>
      </c>
      <c r="AU214" s="173">
        <f>Saisie!AK214</f>
        <v>0</v>
      </c>
      <c r="AV214" s="263" t="e">
        <f t="array" ref="AV214">_xlfn.IFS(Saisie!AL214="OUI",1,Saisie!AL214="NON",0)</f>
        <v>#N/A</v>
      </c>
      <c r="AW214" s="171">
        <f>Saisie!AM214</f>
        <v>0</v>
      </c>
      <c r="AX214" s="68">
        <f>Saisie!AN214</f>
        <v>0</v>
      </c>
      <c r="AY214" s="20">
        <f>Saisie!AO214</f>
        <v>0</v>
      </c>
      <c r="AZ214" s="21">
        <f>Saisie!AP214</f>
        <v>0</v>
      </c>
      <c r="BA214" s="298">
        <f>Saisie!AQ214</f>
        <v>0</v>
      </c>
      <c r="BB214" s="170">
        <f>Saisie!AR214</f>
        <v>0</v>
      </c>
      <c r="BC214" s="174">
        <f>Saisie!AS214</f>
        <v>0</v>
      </c>
      <c r="BD214" s="61">
        <f>Saisie!AT214</f>
        <v>0</v>
      </c>
      <c r="BE214" s="175" t="e">
        <f t="array" ref="BE214">_xlfn.IFS(Saisie!AU214="OUI",1,Saisie!AU214="NON",0)</f>
        <v>#N/A</v>
      </c>
      <c r="BF214" s="267">
        <f>Saisie!AV214</f>
        <v>0</v>
      </c>
      <c r="BG214" s="55">
        <f>Saisie!AW214</f>
        <v>0</v>
      </c>
      <c r="BH214" s="55" t="e">
        <f t="array" ref="BH214">_xlfn.IFS(Saisie!AX214="OUI",1,Saisie!AX214="NON",0)</f>
        <v>#N/A</v>
      </c>
      <c r="BI214" s="62">
        <f>Saisie!AY214</f>
        <v>0</v>
      </c>
      <c r="BJ214" s="55" t="e">
        <f t="array" ref="BJ214">_xlfn.IFS(Saisie!AZ214="OUI",1,Saisie!AZ214="NON",0)</f>
        <v>#N/A</v>
      </c>
      <c r="BK214" s="55" t="e">
        <f t="array" ref="BK214">_xlfn.IFS(Saisie!BA214="OUI",1,Saisie!BA214="NON",0)</f>
        <v>#N/A</v>
      </c>
      <c r="BL214" s="55">
        <f>Saisie!BB214</f>
        <v>0</v>
      </c>
      <c r="BM214" s="49" t="e">
        <f>Saisie!BC214</f>
        <v>#REF!</v>
      </c>
      <c r="BN214" s="6"/>
    </row>
    <row r="215" spans="1:66" s="176" customFormat="1" x14ac:dyDescent="0.45">
      <c r="A215" s="13">
        <v>209</v>
      </c>
      <c r="B215" s="150">
        <f>Saisie!B215</f>
        <v>0</v>
      </c>
      <c r="C215" s="150">
        <f>Saisie!C215</f>
        <v>0</v>
      </c>
      <c r="D215" s="150">
        <f>Saisie!D215</f>
        <v>0</v>
      </c>
      <c r="E215" s="150">
        <f>Saisie!E215</f>
        <v>0</v>
      </c>
      <c r="F215" s="150">
        <f>Saisie!F215</f>
        <v>0</v>
      </c>
      <c r="G215" s="150">
        <f>Saisie!G215</f>
        <v>0</v>
      </c>
      <c r="H215" s="150">
        <f>Saisie!I215</f>
        <v>0</v>
      </c>
      <c r="I215" s="150">
        <f>Saisie!J215</f>
        <v>0</v>
      </c>
      <c r="J215" s="150">
        <f>Saisie!K215</f>
        <v>0</v>
      </c>
      <c r="K215" s="150">
        <f>Saisie!L215</f>
        <v>0</v>
      </c>
      <c r="L215" s="150" t="e">
        <f>Saisie!#REF!</f>
        <v>#REF!</v>
      </c>
      <c r="M215" s="55" t="e">
        <f t="array" ref="M215">_xlfn.IFS(Saisie!M215="OUI",1,Saisie!M215="NON",0)</f>
        <v>#N/A</v>
      </c>
      <c r="N215" s="64" t="e">
        <f>Saisie!#REF!</f>
        <v>#REF!</v>
      </c>
      <c r="O215" s="63" t="e">
        <f>Saisie!#REF!</f>
        <v>#REF!</v>
      </c>
      <c r="P215" s="63">
        <f>Saisie!N215</f>
        <v>0</v>
      </c>
      <c r="Q215" s="63" t="e">
        <f t="array" ref="Q215">_xlfn.IFS(Saisie!#REF!="OUI",1,Saisie!#REF!="NON",0)</f>
        <v>#REF!</v>
      </c>
      <c r="R215" s="63" t="e">
        <f>Saisie!#REF!</f>
        <v>#REF!</v>
      </c>
      <c r="S215" s="65" t="e">
        <f>Saisie!#REF!</f>
        <v>#REF!</v>
      </c>
      <c r="T215" s="63" t="e">
        <f>Saisie!#REF!</f>
        <v>#REF!</v>
      </c>
      <c r="U215" s="63" t="e">
        <f>Saisie!#REF!</f>
        <v>#REF!</v>
      </c>
      <c r="V215" s="63" t="e">
        <f t="array" ref="V215">_xlfn.IFS(Saisie!#REF!="OUI",1,Saisie!#REF!="NON",0)</f>
        <v>#REF!</v>
      </c>
      <c r="W215" s="63" t="e">
        <f t="array" ref="W215">_xlfn.IFS(Saisie!O215="OUI",1,Saisie!O215="NON",0)</f>
        <v>#N/A</v>
      </c>
      <c r="X215" s="63">
        <f>Saisie!P215</f>
        <v>0</v>
      </c>
      <c r="Y215" s="299">
        <f>Saisie!H215</f>
        <v>0</v>
      </c>
      <c r="Z215" s="58" t="e">
        <f>Saisie!#REF!</f>
        <v>#REF!</v>
      </c>
      <c r="AA215" s="299">
        <f>Saisie!Q215</f>
        <v>0</v>
      </c>
      <c r="AB215" s="63" t="e">
        <f t="array" ref="AB215">_xlfn.IFS(Saisie!R215="OUI",1,Saisie!R215="NON",0)</f>
        <v>#N/A</v>
      </c>
      <c r="AC215" s="63">
        <f>Saisie!S215</f>
        <v>0</v>
      </c>
      <c r="AD215" s="63" t="e">
        <f t="array" ref="AD215">_xlfn.IFS(Saisie!T215="OUI",1,Saisie!T215="NON",0)</f>
        <v>#N/A</v>
      </c>
      <c r="AE215" s="171">
        <f>Saisie!U215</f>
        <v>0</v>
      </c>
      <c r="AF215" s="262">
        <v>3</v>
      </c>
      <c r="AG215" s="129">
        <f>Saisie!W215</f>
        <v>0</v>
      </c>
      <c r="AH215" s="20">
        <f>Saisie!X215</f>
        <v>0</v>
      </c>
      <c r="AI215" s="21">
        <f>Saisie!Y215</f>
        <v>0</v>
      </c>
      <c r="AJ215" s="59">
        <f>Saisie!Z215</f>
        <v>0</v>
      </c>
      <c r="AK215" s="20">
        <f>Saisie!AA215</f>
        <v>0</v>
      </c>
      <c r="AL215" s="21">
        <f>Saisie!AB215</f>
        <v>0</v>
      </c>
      <c r="AM215" s="59">
        <f>Saisie!AC215</f>
        <v>0</v>
      </c>
      <c r="AN215" s="20">
        <f>Saisie!AD215</f>
        <v>0</v>
      </c>
      <c r="AO215" s="21">
        <f>Saisie!AE215</f>
        <v>0</v>
      </c>
      <c r="AP215" s="59">
        <f>Saisie!AF215</f>
        <v>0</v>
      </c>
      <c r="AQ215" s="129" t="e">
        <f t="array" ref="AQ215">_xlfn.IFS(Saisie!AG215="OUI",1,Saisie!AG215="NON",0)</f>
        <v>#N/A</v>
      </c>
      <c r="AR215" s="129" t="e">
        <f t="array" ref="AR215">_xlfn.IFS(Saisie!AH215="OUI",1,Saisie!AH215="NON",0)</f>
        <v>#N/A</v>
      </c>
      <c r="AS215" s="171">
        <f>Saisie!AI215</f>
        <v>0</v>
      </c>
      <c r="AT215" s="263" t="e">
        <f t="array" ref="AT215">_xlfn.IFS(Saisie!AJ215="OUI",1,Saisie!AJ215="NON",0)</f>
        <v>#N/A</v>
      </c>
      <c r="AU215" s="173">
        <f>Saisie!AK215</f>
        <v>0</v>
      </c>
      <c r="AV215" s="263" t="e">
        <f t="array" ref="AV215">_xlfn.IFS(Saisie!AL215="OUI",1,Saisie!AL215="NON",0)</f>
        <v>#N/A</v>
      </c>
      <c r="AW215" s="171">
        <f>Saisie!AM215</f>
        <v>0</v>
      </c>
      <c r="AX215" s="68">
        <f>Saisie!AN215</f>
        <v>0</v>
      </c>
      <c r="AY215" s="20">
        <f>Saisie!AO215</f>
        <v>0</v>
      </c>
      <c r="AZ215" s="21">
        <f>Saisie!AP215</f>
        <v>0</v>
      </c>
      <c r="BA215" s="298">
        <f>Saisie!AQ215</f>
        <v>0</v>
      </c>
      <c r="BB215" s="170">
        <f>Saisie!AR215</f>
        <v>0</v>
      </c>
      <c r="BC215" s="174">
        <f>Saisie!AS215</f>
        <v>0</v>
      </c>
      <c r="BD215" s="61">
        <f>Saisie!AT215</f>
        <v>0</v>
      </c>
      <c r="BE215" s="175" t="e">
        <f t="array" ref="BE215">_xlfn.IFS(Saisie!AU215="OUI",1,Saisie!AU215="NON",0)</f>
        <v>#N/A</v>
      </c>
      <c r="BF215" s="267">
        <f>Saisie!AV215</f>
        <v>0</v>
      </c>
      <c r="BG215" s="55">
        <f>Saisie!AW215</f>
        <v>0</v>
      </c>
      <c r="BH215" s="55" t="e">
        <f t="array" ref="BH215">_xlfn.IFS(Saisie!AX215="OUI",1,Saisie!AX215="NON",0)</f>
        <v>#N/A</v>
      </c>
      <c r="BI215" s="62">
        <f>Saisie!AY215</f>
        <v>0</v>
      </c>
      <c r="BJ215" s="55" t="e">
        <f t="array" ref="BJ215">_xlfn.IFS(Saisie!AZ215="OUI",1,Saisie!AZ215="NON",0)</f>
        <v>#N/A</v>
      </c>
      <c r="BK215" s="55" t="e">
        <f t="array" ref="BK215">_xlfn.IFS(Saisie!BA215="OUI",1,Saisie!BA215="NON",0)</f>
        <v>#N/A</v>
      </c>
      <c r="BL215" s="55">
        <f>Saisie!BB215</f>
        <v>0</v>
      </c>
      <c r="BM215" s="49" t="e">
        <f>Saisie!BC215</f>
        <v>#REF!</v>
      </c>
      <c r="BN215" s="6"/>
    </row>
    <row r="216" spans="1:66" s="176" customFormat="1" x14ac:dyDescent="0.45">
      <c r="A216" s="13">
        <v>210</v>
      </c>
      <c r="B216" s="150">
        <f>Saisie!B216</f>
        <v>0</v>
      </c>
      <c r="C216" s="150">
        <f>Saisie!C216</f>
        <v>0</v>
      </c>
      <c r="D216" s="150">
        <f>Saisie!D216</f>
        <v>0</v>
      </c>
      <c r="E216" s="150">
        <f>Saisie!E216</f>
        <v>0</v>
      </c>
      <c r="F216" s="150">
        <f>Saisie!F216</f>
        <v>0</v>
      </c>
      <c r="G216" s="150">
        <f>Saisie!G216</f>
        <v>0</v>
      </c>
      <c r="H216" s="150">
        <f>Saisie!I216</f>
        <v>0</v>
      </c>
      <c r="I216" s="150">
        <f>Saisie!J216</f>
        <v>0</v>
      </c>
      <c r="J216" s="150">
        <f>Saisie!K216</f>
        <v>0</v>
      </c>
      <c r="K216" s="150">
        <f>Saisie!L216</f>
        <v>0</v>
      </c>
      <c r="L216" s="150" t="e">
        <f>Saisie!#REF!</f>
        <v>#REF!</v>
      </c>
      <c r="M216" s="55" t="e">
        <f t="array" ref="M216">_xlfn.IFS(Saisie!M216="OUI",1,Saisie!M216="NON",0)</f>
        <v>#N/A</v>
      </c>
      <c r="N216" s="64" t="e">
        <f>Saisie!#REF!</f>
        <v>#REF!</v>
      </c>
      <c r="O216" s="63" t="e">
        <f>Saisie!#REF!</f>
        <v>#REF!</v>
      </c>
      <c r="P216" s="63">
        <f>Saisie!N216</f>
        <v>0</v>
      </c>
      <c r="Q216" s="63" t="e">
        <f t="array" ref="Q216">_xlfn.IFS(Saisie!#REF!="OUI",1,Saisie!#REF!="NON",0)</f>
        <v>#REF!</v>
      </c>
      <c r="R216" s="63" t="e">
        <f>Saisie!#REF!</f>
        <v>#REF!</v>
      </c>
      <c r="S216" s="65" t="e">
        <f>Saisie!#REF!</f>
        <v>#REF!</v>
      </c>
      <c r="T216" s="63" t="e">
        <f>Saisie!#REF!</f>
        <v>#REF!</v>
      </c>
      <c r="U216" s="63" t="e">
        <f>Saisie!#REF!</f>
        <v>#REF!</v>
      </c>
      <c r="V216" s="63" t="e">
        <f t="array" ref="V216">_xlfn.IFS(Saisie!#REF!="OUI",1,Saisie!#REF!="NON",0)</f>
        <v>#REF!</v>
      </c>
      <c r="W216" s="63" t="e">
        <f t="array" ref="W216">_xlfn.IFS(Saisie!O216="OUI",1,Saisie!O216="NON",0)</f>
        <v>#N/A</v>
      </c>
      <c r="X216" s="63">
        <f>Saisie!P216</f>
        <v>0</v>
      </c>
      <c r="Y216" s="299">
        <f>Saisie!H216</f>
        <v>0</v>
      </c>
      <c r="Z216" s="58" t="e">
        <f>Saisie!#REF!</f>
        <v>#REF!</v>
      </c>
      <c r="AA216" s="299">
        <f>Saisie!Q216</f>
        <v>0</v>
      </c>
      <c r="AB216" s="63" t="e">
        <f t="array" ref="AB216">_xlfn.IFS(Saisie!R216="OUI",1,Saisie!R216="NON",0)</f>
        <v>#N/A</v>
      </c>
      <c r="AC216" s="63">
        <f>Saisie!S216</f>
        <v>0</v>
      </c>
      <c r="AD216" s="63" t="e">
        <f t="array" ref="AD216">_xlfn.IFS(Saisie!T216="OUI",1,Saisie!T216="NON",0)</f>
        <v>#N/A</v>
      </c>
      <c r="AE216" s="171">
        <f>Saisie!U216</f>
        <v>0</v>
      </c>
      <c r="AF216" s="262">
        <v>3</v>
      </c>
      <c r="AG216" s="129">
        <f>Saisie!W216</f>
        <v>0</v>
      </c>
      <c r="AH216" s="20">
        <f>Saisie!X216</f>
        <v>0</v>
      </c>
      <c r="AI216" s="21">
        <f>Saisie!Y216</f>
        <v>0</v>
      </c>
      <c r="AJ216" s="59">
        <f>Saisie!Z216</f>
        <v>0</v>
      </c>
      <c r="AK216" s="20">
        <f>Saisie!AA216</f>
        <v>0</v>
      </c>
      <c r="AL216" s="21">
        <f>Saisie!AB216</f>
        <v>0</v>
      </c>
      <c r="AM216" s="59">
        <f>Saisie!AC216</f>
        <v>0</v>
      </c>
      <c r="AN216" s="20">
        <f>Saisie!AD216</f>
        <v>0</v>
      </c>
      <c r="AO216" s="21">
        <f>Saisie!AE216</f>
        <v>0</v>
      </c>
      <c r="AP216" s="59">
        <f>Saisie!AF216</f>
        <v>0</v>
      </c>
      <c r="AQ216" s="129" t="e">
        <f t="array" ref="AQ216">_xlfn.IFS(Saisie!AG216="OUI",1,Saisie!AG216="NON",0)</f>
        <v>#N/A</v>
      </c>
      <c r="AR216" s="129" t="e">
        <f t="array" ref="AR216">_xlfn.IFS(Saisie!AH216="OUI",1,Saisie!AH216="NON",0)</f>
        <v>#N/A</v>
      </c>
      <c r="AS216" s="171">
        <f>Saisie!AI216</f>
        <v>0</v>
      </c>
      <c r="AT216" s="263" t="e">
        <f t="array" ref="AT216">_xlfn.IFS(Saisie!AJ216="OUI",1,Saisie!AJ216="NON",0)</f>
        <v>#N/A</v>
      </c>
      <c r="AU216" s="173">
        <f>Saisie!AK216</f>
        <v>0</v>
      </c>
      <c r="AV216" s="263" t="e">
        <f t="array" ref="AV216">_xlfn.IFS(Saisie!AL216="OUI",1,Saisie!AL216="NON",0)</f>
        <v>#N/A</v>
      </c>
      <c r="AW216" s="171">
        <f>Saisie!AM216</f>
        <v>0</v>
      </c>
      <c r="AX216" s="68">
        <f>Saisie!AN216</f>
        <v>0</v>
      </c>
      <c r="AY216" s="20">
        <f>Saisie!AO216</f>
        <v>0</v>
      </c>
      <c r="AZ216" s="21">
        <f>Saisie!AP216</f>
        <v>0</v>
      </c>
      <c r="BA216" s="298">
        <f>Saisie!AQ216</f>
        <v>0</v>
      </c>
      <c r="BB216" s="170">
        <f>Saisie!AR216</f>
        <v>0</v>
      </c>
      <c r="BC216" s="174">
        <f>Saisie!AS216</f>
        <v>0</v>
      </c>
      <c r="BD216" s="61">
        <f>Saisie!AT216</f>
        <v>0</v>
      </c>
      <c r="BE216" s="175" t="e">
        <f t="array" ref="BE216">_xlfn.IFS(Saisie!AU216="OUI",1,Saisie!AU216="NON",0)</f>
        <v>#N/A</v>
      </c>
      <c r="BF216" s="267">
        <f>Saisie!AV216</f>
        <v>0</v>
      </c>
      <c r="BG216" s="55">
        <f>Saisie!AW216</f>
        <v>0</v>
      </c>
      <c r="BH216" s="55" t="e">
        <f t="array" ref="BH216">_xlfn.IFS(Saisie!AX216="OUI",1,Saisie!AX216="NON",0)</f>
        <v>#N/A</v>
      </c>
      <c r="BI216" s="62">
        <f>Saisie!AY216</f>
        <v>0</v>
      </c>
      <c r="BJ216" s="55" t="e">
        <f t="array" ref="BJ216">_xlfn.IFS(Saisie!AZ216="OUI",1,Saisie!AZ216="NON",0)</f>
        <v>#N/A</v>
      </c>
      <c r="BK216" s="55" t="e">
        <f t="array" ref="BK216">_xlfn.IFS(Saisie!BA216="OUI",1,Saisie!BA216="NON",0)</f>
        <v>#N/A</v>
      </c>
      <c r="BL216" s="55">
        <f>Saisie!BB216</f>
        <v>0</v>
      </c>
      <c r="BM216" s="49" t="e">
        <f>Saisie!BC216</f>
        <v>#REF!</v>
      </c>
      <c r="BN216" s="6"/>
    </row>
    <row r="217" spans="1:66" s="176" customFormat="1" x14ac:dyDescent="0.45">
      <c r="A217" s="12">
        <v>211</v>
      </c>
      <c r="B217" s="150">
        <f>Saisie!B217</f>
        <v>0</v>
      </c>
      <c r="C217" s="150">
        <f>Saisie!C217</f>
        <v>0</v>
      </c>
      <c r="D217" s="150">
        <f>Saisie!D217</f>
        <v>0</v>
      </c>
      <c r="E217" s="150">
        <f>Saisie!E217</f>
        <v>0</v>
      </c>
      <c r="F217" s="150">
        <f>Saisie!F217</f>
        <v>0</v>
      </c>
      <c r="G217" s="150">
        <f>Saisie!G217</f>
        <v>0</v>
      </c>
      <c r="H217" s="150">
        <f>Saisie!I217</f>
        <v>0</v>
      </c>
      <c r="I217" s="150">
        <f>Saisie!J217</f>
        <v>0</v>
      </c>
      <c r="J217" s="150">
        <f>Saisie!K217</f>
        <v>0</v>
      </c>
      <c r="K217" s="150">
        <f>Saisie!L217</f>
        <v>0</v>
      </c>
      <c r="L217" s="150" t="e">
        <f>Saisie!#REF!</f>
        <v>#REF!</v>
      </c>
      <c r="M217" s="55" t="e">
        <f t="array" ref="M217">_xlfn.IFS(Saisie!M217="OUI",1,Saisie!M217="NON",0)</f>
        <v>#N/A</v>
      </c>
      <c r="N217" s="64" t="e">
        <f>Saisie!#REF!</f>
        <v>#REF!</v>
      </c>
      <c r="O217" s="63" t="e">
        <f>Saisie!#REF!</f>
        <v>#REF!</v>
      </c>
      <c r="P217" s="63">
        <f>Saisie!N217</f>
        <v>0</v>
      </c>
      <c r="Q217" s="63" t="e">
        <f t="array" ref="Q217">_xlfn.IFS(Saisie!#REF!="OUI",1,Saisie!#REF!="NON",0)</f>
        <v>#REF!</v>
      </c>
      <c r="R217" s="63" t="e">
        <f>Saisie!#REF!</f>
        <v>#REF!</v>
      </c>
      <c r="S217" s="65" t="e">
        <f>Saisie!#REF!</f>
        <v>#REF!</v>
      </c>
      <c r="T217" s="63" t="e">
        <f>Saisie!#REF!</f>
        <v>#REF!</v>
      </c>
      <c r="U217" s="63" t="e">
        <f>Saisie!#REF!</f>
        <v>#REF!</v>
      </c>
      <c r="V217" s="63" t="e">
        <f t="array" ref="V217">_xlfn.IFS(Saisie!#REF!="OUI",1,Saisie!#REF!="NON",0)</f>
        <v>#REF!</v>
      </c>
      <c r="W217" s="63" t="e">
        <f t="array" ref="W217">_xlfn.IFS(Saisie!O217="OUI",1,Saisie!O217="NON",0)</f>
        <v>#N/A</v>
      </c>
      <c r="X217" s="63">
        <f>Saisie!P217</f>
        <v>0</v>
      </c>
      <c r="Y217" s="299">
        <f>Saisie!H217</f>
        <v>0</v>
      </c>
      <c r="Z217" s="58" t="e">
        <f>Saisie!#REF!</f>
        <v>#REF!</v>
      </c>
      <c r="AA217" s="299">
        <f>Saisie!Q217</f>
        <v>0</v>
      </c>
      <c r="AB217" s="63" t="e">
        <f t="array" ref="AB217">_xlfn.IFS(Saisie!R217="OUI",1,Saisie!R217="NON",0)</f>
        <v>#N/A</v>
      </c>
      <c r="AC217" s="63">
        <f>Saisie!S217</f>
        <v>0</v>
      </c>
      <c r="AD217" s="63" t="e">
        <f t="array" ref="AD217">_xlfn.IFS(Saisie!T217="OUI",1,Saisie!T217="NON",0)</f>
        <v>#N/A</v>
      </c>
      <c r="AE217" s="171">
        <f>Saisie!U217</f>
        <v>0</v>
      </c>
      <c r="AF217" s="262">
        <v>3</v>
      </c>
      <c r="AG217" s="129">
        <f>Saisie!W217</f>
        <v>0</v>
      </c>
      <c r="AH217" s="20">
        <f>Saisie!X217</f>
        <v>0</v>
      </c>
      <c r="AI217" s="21">
        <f>Saisie!Y217</f>
        <v>0</v>
      </c>
      <c r="AJ217" s="59">
        <f>Saisie!Z217</f>
        <v>0</v>
      </c>
      <c r="AK217" s="20">
        <f>Saisie!AA217</f>
        <v>0</v>
      </c>
      <c r="AL217" s="21">
        <f>Saisie!AB217</f>
        <v>0</v>
      </c>
      <c r="AM217" s="59">
        <f>Saisie!AC217</f>
        <v>0</v>
      </c>
      <c r="AN217" s="20">
        <f>Saisie!AD217</f>
        <v>0</v>
      </c>
      <c r="AO217" s="21">
        <f>Saisie!AE217</f>
        <v>0</v>
      </c>
      <c r="AP217" s="59">
        <f>Saisie!AF217</f>
        <v>0</v>
      </c>
      <c r="AQ217" s="129" t="e">
        <f t="array" ref="AQ217">_xlfn.IFS(Saisie!AG217="OUI",1,Saisie!AG217="NON",0)</f>
        <v>#N/A</v>
      </c>
      <c r="AR217" s="129" t="e">
        <f t="array" ref="AR217">_xlfn.IFS(Saisie!AH217="OUI",1,Saisie!AH217="NON",0)</f>
        <v>#N/A</v>
      </c>
      <c r="AS217" s="171">
        <f>Saisie!AI217</f>
        <v>0</v>
      </c>
      <c r="AT217" s="263" t="e">
        <f t="array" ref="AT217">_xlfn.IFS(Saisie!AJ217="OUI",1,Saisie!AJ217="NON",0)</f>
        <v>#N/A</v>
      </c>
      <c r="AU217" s="173">
        <f>Saisie!AK217</f>
        <v>0</v>
      </c>
      <c r="AV217" s="263" t="e">
        <f t="array" ref="AV217">_xlfn.IFS(Saisie!AL217="OUI",1,Saisie!AL217="NON",0)</f>
        <v>#N/A</v>
      </c>
      <c r="AW217" s="171">
        <f>Saisie!AM217</f>
        <v>0</v>
      </c>
      <c r="AX217" s="68">
        <f>Saisie!AN217</f>
        <v>0</v>
      </c>
      <c r="AY217" s="20">
        <f>Saisie!AO217</f>
        <v>0</v>
      </c>
      <c r="AZ217" s="21">
        <f>Saisie!AP217</f>
        <v>0</v>
      </c>
      <c r="BA217" s="298">
        <f>Saisie!AQ217</f>
        <v>0</v>
      </c>
      <c r="BB217" s="170">
        <f>Saisie!AR217</f>
        <v>0</v>
      </c>
      <c r="BC217" s="174">
        <f>Saisie!AS217</f>
        <v>0</v>
      </c>
      <c r="BD217" s="61">
        <f>Saisie!AT217</f>
        <v>0</v>
      </c>
      <c r="BE217" s="175" t="e">
        <f t="array" ref="BE217">_xlfn.IFS(Saisie!AU217="OUI",1,Saisie!AU217="NON",0)</f>
        <v>#N/A</v>
      </c>
      <c r="BF217" s="267">
        <f>Saisie!AV217</f>
        <v>0</v>
      </c>
      <c r="BG217" s="55">
        <f>Saisie!AW217</f>
        <v>0</v>
      </c>
      <c r="BH217" s="55" t="e">
        <f t="array" ref="BH217">_xlfn.IFS(Saisie!AX217="OUI",1,Saisie!AX217="NON",0)</f>
        <v>#N/A</v>
      </c>
      <c r="BI217" s="62">
        <f>Saisie!AY217</f>
        <v>0</v>
      </c>
      <c r="BJ217" s="55" t="e">
        <f t="array" ref="BJ217">_xlfn.IFS(Saisie!AZ217="OUI",1,Saisie!AZ217="NON",0)</f>
        <v>#N/A</v>
      </c>
      <c r="BK217" s="55" t="e">
        <f t="array" ref="BK217">_xlfn.IFS(Saisie!BA217="OUI",1,Saisie!BA217="NON",0)</f>
        <v>#N/A</v>
      </c>
      <c r="BL217" s="55">
        <f>Saisie!BB217</f>
        <v>0</v>
      </c>
      <c r="BM217" s="49" t="e">
        <f>Saisie!BC217</f>
        <v>#REF!</v>
      </c>
      <c r="BN217" s="6"/>
    </row>
    <row r="218" spans="1:66" s="176" customFormat="1" x14ac:dyDescent="0.45">
      <c r="A218" s="13">
        <v>212</v>
      </c>
      <c r="B218" s="150">
        <f>Saisie!B218</f>
        <v>0</v>
      </c>
      <c r="C218" s="150">
        <f>Saisie!C218</f>
        <v>0</v>
      </c>
      <c r="D218" s="150">
        <f>Saisie!D218</f>
        <v>0</v>
      </c>
      <c r="E218" s="150">
        <f>Saisie!E218</f>
        <v>0</v>
      </c>
      <c r="F218" s="150">
        <f>Saisie!F218</f>
        <v>0</v>
      </c>
      <c r="G218" s="150">
        <f>Saisie!G218</f>
        <v>0</v>
      </c>
      <c r="H218" s="150">
        <f>Saisie!I218</f>
        <v>0</v>
      </c>
      <c r="I218" s="150">
        <f>Saisie!J218</f>
        <v>0</v>
      </c>
      <c r="J218" s="150">
        <f>Saisie!K218</f>
        <v>0</v>
      </c>
      <c r="K218" s="150">
        <f>Saisie!L218</f>
        <v>0</v>
      </c>
      <c r="L218" s="150" t="e">
        <f>Saisie!#REF!</f>
        <v>#REF!</v>
      </c>
      <c r="M218" s="55" t="e">
        <f t="array" ref="M218">_xlfn.IFS(Saisie!M218="OUI",1,Saisie!M218="NON",0)</f>
        <v>#N/A</v>
      </c>
      <c r="N218" s="64" t="e">
        <f>Saisie!#REF!</f>
        <v>#REF!</v>
      </c>
      <c r="O218" s="63" t="e">
        <f>Saisie!#REF!</f>
        <v>#REF!</v>
      </c>
      <c r="P218" s="63">
        <f>Saisie!N218</f>
        <v>0</v>
      </c>
      <c r="Q218" s="63" t="e">
        <f t="array" ref="Q218">_xlfn.IFS(Saisie!#REF!="OUI",1,Saisie!#REF!="NON",0)</f>
        <v>#REF!</v>
      </c>
      <c r="R218" s="63" t="e">
        <f>Saisie!#REF!</f>
        <v>#REF!</v>
      </c>
      <c r="S218" s="65" t="e">
        <f>Saisie!#REF!</f>
        <v>#REF!</v>
      </c>
      <c r="T218" s="63" t="e">
        <f>Saisie!#REF!</f>
        <v>#REF!</v>
      </c>
      <c r="U218" s="63" t="e">
        <f>Saisie!#REF!</f>
        <v>#REF!</v>
      </c>
      <c r="V218" s="63" t="e">
        <f t="array" ref="V218">_xlfn.IFS(Saisie!#REF!="OUI",1,Saisie!#REF!="NON",0)</f>
        <v>#REF!</v>
      </c>
      <c r="W218" s="63" t="e">
        <f t="array" ref="W218">_xlfn.IFS(Saisie!O218="OUI",1,Saisie!O218="NON",0)</f>
        <v>#N/A</v>
      </c>
      <c r="X218" s="63">
        <f>Saisie!P218</f>
        <v>0</v>
      </c>
      <c r="Y218" s="299">
        <f>Saisie!H218</f>
        <v>0</v>
      </c>
      <c r="Z218" s="58" t="e">
        <f>Saisie!#REF!</f>
        <v>#REF!</v>
      </c>
      <c r="AA218" s="299">
        <f>Saisie!Q218</f>
        <v>0</v>
      </c>
      <c r="AB218" s="63" t="e">
        <f t="array" ref="AB218">_xlfn.IFS(Saisie!R218="OUI",1,Saisie!R218="NON",0)</f>
        <v>#N/A</v>
      </c>
      <c r="AC218" s="63">
        <f>Saisie!S218</f>
        <v>0</v>
      </c>
      <c r="AD218" s="63" t="e">
        <f t="array" ref="AD218">_xlfn.IFS(Saisie!T218="OUI",1,Saisie!T218="NON",0)</f>
        <v>#N/A</v>
      </c>
      <c r="AE218" s="171">
        <f>Saisie!U218</f>
        <v>0</v>
      </c>
      <c r="AF218" s="262">
        <v>3</v>
      </c>
      <c r="AG218" s="129">
        <f>Saisie!W218</f>
        <v>0</v>
      </c>
      <c r="AH218" s="20">
        <f>Saisie!X218</f>
        <v>0</v>
      </c>
      <c r="AI218" s="21">
        <f>Saisie!Y218</f>
        <v>0</v>
      </c>
      <c r="AJ218" s="59">
        <f>Saisie!Z218</f>
        <v>0</v>
      </c>
      <c r="AK218" s="20">
        <f>Saisie!AA218</f>
        <v>0</v>
      </c>
      <c r="AL218" s="21">
        <f>Saisie!AB218</f>
        <v>0</v>
      </c>
      <c r="AM218" s="59">
        <f>Saisie!AC218</f>
        <v>0</v>
      </c>
      <c r="AN218" s="20">
        <f>Saisie!AD218</f>
        <v>0</v>
      </c>
      <c r="AO218" s="21">
        <f>Saisie!AE218</f>
        <v>0</v>
      </c>
      <c r="AP218" s="59">
        <f>Saisie!AF218</f>
        <v>0</v>
      </c>
      <c r="AQ218" s="129" t="e">
        <f t="array" ref="AQ218">_xlfn.IFS(Saisie!AG218="OUI",1,Saisie!AG218="NON",0)</f>
        <v>#N/A</v>
      </c>
      <c r="AR218" s="129" t="e">
        <f t="array" ref="AR218">_xlfn.IFS(Saisie!AH218="OUI",1,Saisie!AH218="NON",0)</f>
        <v>#N/A</v>
      </c>
      <c r="AS218" s="171">
        <f>Saisie!AI218</f>
        <v>0</v>
      </c>
      <c r="AT218" s="263" t="e">
        <f t="array" ref="AT218">_xlfn.IFS(Saisie!AJ218="OUI",1,Saisie!AJ218="NON",0)</f>
        <v>#N/A</v>
      </c>
      <c r="AU218" s="173">
        <f>Saisie!AK218</f>
        <v>0</v>
      </c>
      <c r="AV218" s="263" t="e">
        <f t="array" ref="AV218">_xlfn.IFS(Saisie!AL218="OUI",1,Saisie!AL218="NON",0)</f>
        <v>#N/A</v>
      </c>
      <c r="AW218" s="171">
        <f>Saisie!AM218</f>
        <v>0</v>
      </c>
      <c r="AX218" s="68">
        <f>Saisie!AN218</f>
        <v>0</v>
      </c>
      <c r="AY218" s="20">
        <f>Saisie!AO218</f>
        <v>0</v>
      </c>
      <c r="AZ218" s="21">
        <f>Saisie!AP218</f>
        <v>0</v>
      </c>
      <c r="BA218" s="298">
        <f>Saisie!AQ218</f>
        <v>0</v>
      </c>
      <c r="BB218" s="170">
        <f>Saisie!AR218</f>
        <v>0</v>
      </c>
      <c r="BC218" s="174">
        <f>Saisie!AS218</f>
        <v>0</v>
      </c>
      <c r="BD218" s="61">
        <f>Saisie!AT218</f>
        <v>0</v>
      </c>
      <c r="BE218" s="175" t="e">
        <f t="array" ref="BE218">_xlfn.IFS(Saisie!AU218="OUI",1,Saisie!AU218="NON",0)</f>
        <v>#N/A</v>
      </c>
      <c r="BF218" s="267">
        <f>Saisie!AV218</f>
        <v>0</v>
      </c>
      <c r="BG218" s="55">
        <f>Saisie!AW218</f>
        <v>0</v>
      </c>
      <c r="BH218" s="55" t="e">
        <f t="array" ref="BH218">_xlfn.IFS(Saisie!AX218="OUI",1,Saisie!AX218="NON",0)</f>
        <v>#N/A</v>
      </c>
      <c r="BI218" s="62">
        <f>Saisie!AY218</f>
        <v>0</v>
      </c>
      <c r="BJ218" s="55" t="e">
        <f t="array" ref="BJ218">_xlfn.IFS(Saisie!AZ218="OUI",1,Saisie!AZ218="NON",0)</f>
        <v>#N/A</v>
      </c>
      <c r="BK218" s="55" t="e">
        <f t="array" ref="BK218">_xlfn.IFS(Saisie!BA218="OUI",1,Saisie!BA218="NON",0)</f>
        <v>#N/A</v>
      </c>
      <c r="BL218" s="55">
        <f>Saisie!BB218</f>
        <v>0</v>
      </c>
      <c r="BM218" s="49" t="e">
        <f>Saisie!BC218</f>
        <v>#REF!</v>
      </c>
      <c r="BN218" s="6"/>
    </row>
    <row r="219" spans="1:66" s="176" customFormat="1" x14ac:dyDescent="0.45">
      <c r="A219" s="13">
        <v>213</v>
      </c>
      <c r="B219" s="150">
        <f>Saisie!B219</f>
        <v>0</v>
      </c>
      <c r="C219" s="150">
        <f>Saisie!C219</f>
        <v>0</v>
      </c>
      <c r="D219" s="150">
        <f>Saisie!D219</f>
        <v>0</v>
      </c>
      <c r="E219" s="150">
        <f>Saisie!E219</f>
        <v>0</v>
      </c>
      <c r="F219" s="150">
        <f>Saisie!F219</f>
        <v>0</v>
      </c>
      <c r="G219" s="150">
        <f>Saisie!G219</f>
        <v>0</v>
      </c>
      <c r="H219" s="150">
        <f>Saisie!I219</f>
        <v>0</v>
      </c>
      <c r="I219" s="150">
        <f>Saisie!J219</f>
        <v>0</v>
      </c>
      <c r="J219" s="150">
        <f>Saisie!K219</f>
        <v>0</v>
      </c>
      <c r="K219" s="150">
        <f>Saisie!L219</f>
        <v>0</v>
      </c>
      <c r="L219" s="150" t="e">
        <f>Saisie!#REF!</f>
        <v>#REF!</v>
      </c>
      <c r="M219" s="55" t="e">
        <f t="array" ref="M219">_xlfn.IFS(Saisie!M219="OUI",1,Saisie!M219="NON",0)</f>
        <v>#N/A</v>
      </c>
      <c r="N219" s="64" t="e">
        <f>Saisie!#REF!</f>
        <v>#REF!</v>
      </c>
      <c r="O219" s="63" t="e">
        <f>Saisie!#REF!</f>
        <v>#REF!</v>
      </c>
      <c r="P219" s="63">
        <f>Saisie!N219</f>
        <v>0</v>
      </c>
      <c r="Q219" s="63" t="e">
        <f t="array" ref="Q219">_xlfn.IFS(Saisie!#REF!="OUI",1,Saisie!#REF!="NON",0)</f>
        <v>#REF!</v>
      </c>
      <c r="R219" s="63" t="e">
        <f>Saisie!#REF!</f>
        <v>#REF!</v>
      </c>
      <c r="S219" s="65" t="e">
        <f>Saisie!#REF!</f>
        <v>#REF!</v>
      </c>
      <c r="T219" s="63" t="e">
        <f>Saisie!#REF!</f>
        <v>#REF!</v>
      </c>
      <c r="U219" s="63" t="e">
        <f>Saisie!#REF!</f>
        <v>#REF!</v>
      </c>
      <c r="V219" s="63" t="e">
        <f t="array" ref="V219">_xlfn.IFS(Saisie!#REF!="OUI",1,Saisie!#REF!="NON",0)</f>
        <v>#REF!</v>
      </c>
      <c r="W219" s="63" t="e">
        <f t="array" ref="W219">_xlfn.IFS(Saisie!O219="OUI",1,Saisie!O219="NON",0)</f>
        <v>#N/A</v>
      </c>
      <c r="X219" s="63">
        <f>Saisie!P219</f>
        <v>0</v>
      </c>
      <c r="Y219" s="299">
        <f>Saisie!H219</f>
        <v>0</v>
      </c>
      <c r="Z219" s="58" t="e">
        <f>Saisie!#REF!</f>
        <v>#REF!</v>
      </c>
      <c r="AA219" s="299">
        <f>Saisie!Q219</f>
        <v>0</v>
      </c>
      <c r="AB219" s="63" t="e">
        <f t="array" ref="AB219">_xlfn.IFS(Saisie!R219="OUI",1,Saisie!R219="NON",0)</f>
        <v>#N/A</v>
      </c>
      <c r="AC219" s="63">
        <f>Saisie!S219</f>
        <v>0</v>
      </c>
      <c r="AD219" s="63" t="e">
        <f t="array" ref="AD219">_xlfn.IFS(Saisie!T219="OUI",1,Saisie!T219="NON",0)</f>
        <v>#N/A</v>
      </c>
      <c r="AE219" s="171">
        <f>Saisie!U219</f>
        <v>0</v>
      </c>
      <c r="AF219" s="262">
        <v>3</v>
      </c>
      <c r="AG219" s="129">
        <f>Saisie!W219</f>
        <v>0</v>
      </c>
      <c r="AH219" s="20">
        <f>Saisie!X219</f>
        <v>0</v>
      </c>
      <c r="AI219" s="21">
        <f>Saisie!Y219</f>
        <v>0</v>
      </c>
      <c r="AJ219" s="59">
        <f>Saisie!Z219</f>
        <v>0</v>
      </c>
      <c r="AK219" s="20">
        <f>Saisie!AA219</f>
        <v>0</v>
      </c>
      <c r="AL219" s="21">
        <f>Saisie!AB219</f>
        <v>0</v>
      </c>
      <c r="AM219" s="59">
        <f>Saisie!AC219</f>
        <v>0</v>
      </c>
      <c r="AN219" s="20">
        <f>Saisie!AD219</f>
        <v>0</v>
      </c>
      <c r="AO219" s="21">
        <f>Saisie!AE219</f>
        <v>0</v>
      </c>
      <c r="AP219" s="59">
        <f>Saisie!AF219</f>
        <v>0</v>
      </c>
      <c r="AQ219" s="129" t="e">
        <f t="array" ref="AQ219">_xlfn.IFS(Saisie!AG219="OUI",1,Saisie!AG219="NON",0)</f>
        <v>#N/A</v>
      </c>
      <c r="AR219" s="129" t="e">
        <f t="array" ref="AR219">_xlfn.IFS(Saisie!AH219="OUI",1,Saisie!AH219="NON",0)</f>
        <v>#N/A</v>
      </c>
      <c r="AS219" s="171">
        <f>Saisie!AI219</f>
        <v>0</v>
      </c>
      <c r="AT219" s="263" t="e">
        <f t="array" ref="AT219">_xlfn.IFS(Saisie!AJ219="OUI",1,Saisie!AJ219="NON",0)</f>
        <v>#N/A</v>
      </c>
      <c r="AU219" s="173">
        <f>Saisie!AK219</f>
        <v>0</v>
      </c>
      <c r="AV219" s="263" t="e">
        <f t="array" ref="AV219">_xlfn.IFS(Saisie!AL219="OUI",1,Saisie!AL219="NON",0)</f>
        <v>#N/A</v>
      </c>
      <c r="AW219" s="171">
        <f>Saisie!AM219</f>
        <v>0</v>
      </c>
      <c r="AX219" s="68">
        <f>Saisie!AN219</f>
        <v>0</v>
      </c>
      <c r="AY219" s="20">
        <f>Saisie!AO219</f>
        <v>0</v>
      </c>
      <c r="AZ219" s="21">
        <f>Saisie!AP219</f>
        <v>0</v>
      </c>
      <c r="BA219" s="298">
        <f>Saisie!AQ219</f>
        <v>0</v>
      </c>
      <c r="BB219" s="170">
        <f>Saisie!AR219</f>
        <v>0</v>
      </c>
      <c r="BC219" s="174">
        <f>Saisie!AS219</f>
        <v>0</v>
      </c>
      <c r="BD219" s="61">
        <f>Saisie!AT219</f>
        <v>0</v>
      </c>
      <c r="BE219" s="175" t="e">
        <f t="array" ref="BE219">_xlfn.IFS(Saisie!AU219="OUI",1,Saisie!AU219="NON",0)</f>
        <v>#N/A</v>
      </c>
      <c r="BF219" s="267">
        <f>Saisie!AV219</f>
        <v>0</v>
      </c>
      <c r="BG219" s="55">
        <f>Saisie!AW219</f>
        <v>0</v>
      </c>
      <c r="BH219" s="55" t="e">
        <f t="array" ref="BH219">_xlfn.IFS(Saisie!AX219="OUI",1,Saisie!AX219="NON",0)</f>
        <v>#N/A</v>
      </c>
      <c r="BI219" s="62">
        <f>Saisie!AY219</f>
        <v>0</v>
      </c>
      <c r="BJ219" s="55" t="e">
        <f t="array" ref="BJ219">_xlfn.IFS(Saisie!AZ219="OUI",1,Saisie!AZ219="NON",0)</f>
        <v>#N/A</v>
      </c>
      <c r="BK219" s="55" t="e">
        <f t="array" ref="BK219">_xlfn.IFS(Saisie!BA219="OUI",1,Saisie!BA219="NON",0)</f>
        <v>#N/A</v>
      </c>
      <c r="BL219" s="55">
        <f>Saisie!BB219</f>
        <v>0</v>
      </c>
      <c r="BM219" s="49" t="e">
        <f>Saisie!BC219</f>
        <v>#REF!</v>
      </c>
      <c r="BN219" s="6"/>
    </row>
    <row r="220" spans="1:66" s="176" customFormat="1" x14ac:dyDescent="0.45">
      <c r="A220" s="12">
        <v>214</v>
      </c>
      <c r="B220" s="150">
        <f>Saisie!B220</f>
        <v>0</v>
      </c>
      <c r="C220" s="150">
        <f>Saisie!C220</f>
        <v>0</v>
      </c>
      <c r="D220" s="150">
        <f>Saisie!D220</f>
        <v>0</v>
      </c>
      <c r="E220" s="150">
        <f>Saisie!E220</f>
        <v>0</v>
      </c>
      <c r="F220" s="150">
        <f>Saisie!F220</f>
        <v>0</v>
      </c>
      <c r="G220" s="150">
        <f>Saisie!G220</f>
        <v>0</v>
      </c>
      <c r="H220" s="150">
        <f>Saisie!I220</f>
        <v>0</v>
      </c>
      <c r="I220" s="150">
        <f>Saisie!J220</f>
        <v>0</v>
      </c>
      <c r="J220" s="150">
        <f>Saisie!K220</f>
        <v>0</v>
      </c>
      <c r="K220" s="150">
        <f>Saisie!L220</f>
        <v>0</v>
      </c>
      <c r="L220" s="150" t="e">
        <f>Saisie!#REF!</f>
        <v>#REF!</v>
      </c>
      <c r="M220" s="55" t="e">
        <f t="array" ref="M220">_xlfn.IFS(Saisie!M220="OUI",1,Saisie!M220="NON",0)</f>
        <v>#N/A</v>
      </c>
      <c r="N220" s="64" t="e">
        <f>Saisie!#REF!</f>
        <v>#REF!</v>
      </c>
      <c r="O220" s="63" t="e">
        <f>Saisie!#REF!</f>
        <v>#REF!</v>
      </c>
      <c r="P220" s="63">
        <f>Saisie!N220</f>
        <v>0</v>
      </c>
      <c r="Q220" s="63" t="e">
        <f t="array" ref="Q220">_xlfn.IFS(Saisie!#REF!="OUI",1,Saisie!#REF!="NON",0)</f>
        <v>#REF!</v>
      </c>
      <c r="R220" s="63" t="e">
        <f>Saisie!#REF!</f>
        <v>#REF!</v>
      </c>
      <c r="S220" s="65" t="e">
        <f>Saisie!#REF!</f>
        <v>#REF!</v>
      </c>
      <c r="T220" s="63" t="e">
        <f>Saisie!#REF!</f>
        <v>#REF!</v>
      </c>
      <c r="U220" s="63" t="e">
        <f>Saisie!#REF!</f>
        <v>#REF!</v>
      </c>
      <c r="V220" s="63" t="e">
        <f t="array" ref="V220">_xlfn.IFS(Saisie!#REF!="OUI",1,Saisie!#REF!="NON",0)</f>
        <v>#REF!</v>
      </c>
      <c r="W220" s="63" t="e">
        <f t="array" ref="W220">_xlfn.IFS(Saisie!O220="OUI",1,Saisie!O220="NON",0)</f>
        <v>#N/A</v>
      </c>
      <c r="X220" s="63">
        <f>Saisie!P220</f>
        <v>0</v>
      </c>
      <c r="Y220" s="299">
        <f>Saisie!H220</f>
        <v>0</v>
      </c>
      <c r="Z220" s="58" t="e">
        <f>Saisie!#REF!</f>
        <v>#REF!</v>
      </c>
      <c r="AA220" s="299">
        <f>Saisie!Q220</f>
        <v>0</v>
      </c>
      <c r="AB220" s="63" t="e">
        <f t="array" ref="AB220">_xlfn.IFS(Saisie!R220="OUI",1,Saisie!R220="NON",0)</f>
        <v>#N/A</v>
      </c>
      <c r="AC220" s="63">
        <f>Saisie!S220</f>
        <v>0</v>
      </c>
      <c r="AD220" s="63" t="e">
        <f t="array" ref="AD220">_xlfn.IFS(Saisie!T220="OUI",1,Saisie!T220="NON",0)</f>
        <v>#N/A</v>
      </c>
      <c r="AE220" s="171">
        <f>Saisie!U220</f>
        <v>0</v>
      </c>
      <c r="AF220" s="262">
        <v>3</v>
      </c>
      <c r="AG220" s="129">
        <f>Saisie!W220</f>
        <v>0</v>
      </c>
      <c r="AH220" s="20">
        <f>Saisie!X220</f>
        <v>0</v>
      </c>
      <c r="AI220" s="21">
        <f>Saisie!Y220</f>
        <v>0</v>
      </c>
      <c r="AJ220" s="59">
        <f>Saisie!Z220</f>
        <v>0</v>
      </c>
      <c r="AK220" s="20">
        <f>Saisie!AA220</f>
        <v>0</v>
      </c>
      <c r="AL220" s="21">
        <f>Saisie!AB220</f>
        <v>0</v>
      </c>
      <c r="AM220" s="59">
        <f>Saisie!AC220</f>
        <v>0</v>
      </c>
      <c r="AN220" s="20">
        <f>Saisie!AD220</f>
        <v>0</v>
      </c>
      <c r="AO220" s="21">
        <f>Saisie!AE220</f>
        <v>0</v>
      </c>
      <c r="AP220" s="59">
        <f>Saisie!AF220</f>
        <v>0</v>
      </c>
      <c r="AQ220" s="129" t="e">
        <f t="array" ref="AQ220">_xlfn.IFS(Saisie!AG220="OUI",1,Saisie!AG220="NON",0)</f>
        <v>#N/A</v>
      </c>
      <c r="AR220" s="129" t="e">
        <f t="array" ref="AR220">_xlfn.IFS(Saisie!AH220="OUI",1,Saisie!AH220="NON",0)</f>
        <v>#N/A</v>
      </c>
      <c r="AS220" s="171">
        <f>Saisie!AI220</f>
        <v>0</v>
      </c>
      <c r="AT220" s="263" t="e">
        <f t="array" ref="AT220">_xlfn.IFS(Saisie!AJ220="OUI",1,Saisie!AJ220="NON",0)</f>
        <v>#N/A</v>
      </c>
      <c r="AU220" s="173">
        <f>Saisie!AK220</f>
        <v>0</v>
      </c>
      <c r="AV220" s="263" t="e">
        <f t="array" ref="AV220">_xlfn.IFS(Saisie!AL220="OUI",1,Saisie!AL220="NON",0)</f>
        <v>#N/A</v>
      </c>
      <c r="AW220" s="171">
        <f>Saisie!AM220</f>
        <v>0</v>
      </c>
      <c r="AX220" s="68">
        <f>Saisie!AN220</f>
        <v>0</v>
      </c>
      <c r="AY220" s="20">
        <f>Saisie!AO220</f>
        <v>0</v>
      </c>
      <c r="AZ220" s="21">
        <f>Saisie!AP220</f>
        <v>0</v>
      </c>
      <c r="BA220" s="298">
        <f>Saisie!AQ220</f>
        <v>0</v>
      </c>
      <c r="BB220" s="170">
        <f>Saisie!AR220</f>
        <v>0</v>
      </c>
      <c r="BC220" s="174">
        <f>Saisie!AS220</f>
        <v>0</v>
      </c>
      <c r="BD220" s="61">
        <f>Saisie!AT220</f>
        <v>0</v>
      </c>
      <c r="BE220" s="175" t="e">
        <f t="array" ref="BE220">_xlfn.IFS(Saisie!AU220="OUI",1,Saisie!AU220="NON",0)</f>
        <v>#N/A</v>
      </c>
      <c r="BF220" s="267">
        <f>Saisie!AV220</f>
        <v>0</v>
      </c>
      <c r="BG220" s="55">
        <f>Saisie!AW220</f>
        <v>0</v>
      </c>
      <c r="BH220" s="55" t="e">
        <f t="array" ref="BH220">_xlfn.IFS(Saisie!AX220="OUI",1,Saisie!AX220="NON",0)</f>
        <v>#N/A</v>
      </c>
      <c r="BI220" s="62">
        <f>Saisie!AY220</f>
        <v>0</v>
      </c>
      <c r="BJ220" s="55" t="e">
        <f t="array" ref="BJ220">_xlfn.IFS(Saisie!AZ220="OUI",1,Saisie!AZ220="NON",0)</f>
        <v>#N/A</v>
      </c>
      <c r="BK220" s="55" t="e">
        <f t="array" ref="BK220">_xlfn.IFS(Saisie!BA220="OUI",1,Saisie!BA220="NON",0)</f>
        <v>#N/A</v>
      </c>
      <c r="BL220" s="55">
        <f>Saisie!BB220</f>
        <v>0</v>
      </c>
      <c r="BM220" s="49" t="e">
        <f>Saisie!BC220</f>
        <v>#REF!</v>
      </c>
      <c r="BN220" s="6"/>
    </row>
    <row r="221" spans="1:66" s="176" customFormat="1" x14ac:dyDescent="0.45">
      <c r="A221" s="13">
        <v>215</v>
      </c>
      <c r="B221" s="150">
        <f>Saisie!B221</f>
        <v>0</v>
      </c>
      <c r="C221" s="150">
        <f>Saisie!C221</f>
        <v>0</v>
      </c>
      <c r="D221" s="150">
        <f>Saisie!D221</f>
        <v>0</v>
      </c>
      <c r="E221" s="150">
        <f>Saisie!E221</f>
        <v>0</v>
      </c>
      <c r="F221" s="150">
        <f>Saisie!F221</f>
        <v>0</v>
      </c>
      <c r="G221" s="150">
        <f>Saisie!G221</f>
        <v>0</v>
      </c>
      <c r="H221" s="150">
        <f>Saisie!I221</f>
        <v>0</v>
      </c>
      <c r="I221" s="150">
        <f>Saisie!J221</f>
        <v>0</v>
      </c>
      <c r="J221" s="150">
        <f>Saisie!K221</f>
        <v>0</v>
      </c>
      <c r="K221" s="150">
        <f>Saisie!L221</f>
        <v>0</v>
      </c>
      <c r="L221" s="150" t="e">
        <f>Saisie!#REF!</f>
        <v>#REF!</v>
      </c>
      <c r="M221" s="55" t="e">
        <f t="array" ref="M221">_xlfn.IFS(Saisie!M221="OUI",1,Saisie!M221="NON",0)</f>
        <v>#N/A</v>
      </c>
      <c r="N221" s="64" t="e">
        <f>Saisie!#REF!</f>
        <v>#REF!</v>
      </c>
      <c r="O221" s="63" t="e">
        <f>Saisie!#REF!</f>
        <v>#REF!</v>
      </c>
      <c r="P221" s="63">
        <f>Saisie!N221</f>
        <v>0</v>
      </c>
      <c r="Q221" s="63" t="e">
        <f t="array" ref="Q221">_xlfn.IFS(Saisie!#REF!="OUI",1,Saisie!#REF!="NON",0)</f>
        <v>#REF!</v>
      </c>
      <c r="R221" s="63" t="e">
        <f>Saisie!#REF!</f>
        <v>#REF!</v>
      </c>
      <c r="S221" s="65" t="e">
        <f>Saisie!#REF!</f>
        <v>#REF!</v>
      </c>
      <c r="T221" s="63" t="e">
        <f>Saisie!#REF!</f>
        <v>#REF!</v>
      </c>
      <c r="U221" s="63" t="e">
        <f>Saisie!#REF!</f>
        <v>#REF!</v>
      </c>
      <c r="V221" s="63" t="e">
        <f t="array" ref="V221">_xlfn.IFS(Saisie!#REF!="OUI",1,Saisie!#REF!="NON",0)</f>
        <v>#REF!</v>
      </c>
      <c r="W221" s="63" t="e">
        <f t="array" ref="W221">_xlfn.IFS(Saisie!O221="OUI",1,Saisie!O221="NON",0)</f>
        <v>#N/A</v>
      </c>
      <c r="X221" s="63">
        <f>Saisie!P221</f>
        <v>0</v>
      </c>
      <c r="Y221" s="299">
        <f>Saisie!H221</f>
        <v>0</v>
      </c>
      <c r="Z221" s="58" t="e">
        <f>Saisie!#REF!</f>
        <v>#REF!</v>
      </c>
      <c r="AA221" s="299">
        <f>Saisie!Q221</f>
        <v>0</v>
      </c>
      <c r="AB221" s="63" t="e">
        <f t="array" ref="AB221">_xlfn.IFS(Saisie!R221="OUI",1,Saisie!R221="NON",0)</f>
        <v>#N/A</v>
      </c>
      <c r="AC221" s="63">
        <f>Saisie!S221</f>
        <v>0</v>
      </c>
      <c r="AD221" s="63" t="e">
        <f t="array" ref="AD221">_xlfn.IFS(Saisie!T221="OUI",1,Saisie!T221="NON",0)</f>
        <v>#N/A</v>
      </c>
      <c r="AE221" s="171">
        <f>Saisie!U221</f>
        <v>0</v>
      </c>
      <c r="AF221" s="262">
        <v>3</v>
      </c>
      <c r="AG221" s="129">
        <f>Saisie!W221</f>
        <v>0</v>
      </c>
      <c r="AH221" s="20">
        <f>Saisie!X221</f>
        <v>0</v>
      </c>
      <c r="AI221" s="21">
        <f>Saisie!Y221</f>
        <v>0</v>
      </c>
      <c r="AJ221" s="59">
        <f>Saisie!Z221</f>
        <v>0</v>
      </c>
      <c r="AK221" s="20">
        <f>Saisie!AA221</f>
        <v>0</v>
      </c>
      <c r="AL221" s="21">
        <f>Saisie!AB221</f>
        <v>0</v>
      </c>
      <c r="AM221" s="59">
        <f>Saisie!AC221</f>
        <v>0</v>
      </c>
      <c r="AN221" s="20">
        <f>Saisie!AD221</f>
        <v>0</v>
      </c>
      <c r="AO221" s="21">
        <f>Saisie!AE221</f>
        <v>0</v>
      </c>
      <c r="AP221" s="59">
        <f>Saisie!AF221</f>
        <v>0</v>
      </c>
      <c r="AQ221" s="129" t="e">
        <f t="array" ref="AQ221">_xlfn.IFS(Saisie!AG221="OUI",1,Saisie!AG221="NON",0)</f>
        <v>#N/A</v>
      </c>
      <c r="AR221" s="129" t="e">
        <f t="array" ref="AR221">_xlfn.IFS(Saisie!AH221="OUI",1,Saisie!AH221="NON",0)</f>
        <v>#N/A</v>
      </c>
      <c r="AS221" s="171">
        <f>Saisie!AI221</f>
        <v>0</v>
      </c>
      <c r="AT221" s="263" t="e">
        <f t="array" ref="AT221">_xlfn.IFS(Saisie!AJ221="OUI",1,Saisie!AJ221="NON",0)</f>
        <v>#N/A</v>
      </c>
      <c r="AU221" s="173">
        <f>Saisie!AK221</f>
        <v>0</v>
      </c>
      <c r="AV221" s="263" t="e">
        <f t="array" ref="AV221">_xlfn.IFS(Saisie!AL221="OUI",1,Saisie!AL221="NON",0)</f>
        <v>#N/A</v>
      </c>
      <c r="AW221" s="171">
        <f>Saisie!AM221</f>
        <v>0</v>
      </c>
      <c r="AX221" s="68">
        <f>Saisie!AN221</f>
        <v>0</v>
      </c>
      <c r="AY221" s="20">
        <f>Saisie!AO221</f>
        <v>0</v>
      </c>
      <c r="AZ221" s="21">
        <f>Saisie!AP221</f>
        <v>0</v>
      </c>
      <c r="BA221" s="298">
        <f>Saisie!AQ221</f>
        <v>0</v>
      </c>
      <c r="BB221" s="170">
        <f>Saisie!AR221</f>
        <v>0</v>
      </c>
      <c r="BC221" s="174">
        <f>Saisie!AS221</f>
        <v>0</v>
      </c>
      <c r="BD221" s="61">
        <f>Saisie!AT221</f>
        <v>0</v>
      </c>
      <c r="BE221" s="175" t="e">
        <f t="array" ref="BE221">_xlfn.IFS(Saisie!AU221="OUI",1,Saisie!AU221="NON",0)</f>
        <v>#N/A</v>
      </c>
      <c r="BF221" s="267">
        <f>Saisie!AV221</f>
        <v>0</v>
      </c>
      <c r="BG221" s="55">
        <f>Saisie!AW221</f>
        <v>0</v>
      </c>
      <c r="BH221" s="55" t="e">
        <f t="array" ref="BH221">_xlfn.IFS(Saisie!AX221="OUI",1,Saisie!AX221="NON",0)</f>
        <v>#N/A</v>
      </c>
      <c r="BI221" s="62">
        <f>Saisie!AY221</f>
        <v>0</v>
      </c>
      <c r="BJ221" s="55" t="e">
        <f t="array" ref="BJ221">_xlfn.IFS(Saisie!AZ221="OUI",1,Saisie!AZ221="NON",0)</f>
        <v>#N/A</v>
      </c>
      <c r="BK221" s="55" t="e">
        <f t="array" ref="BK221">_xlfn.IFS(Saisie!BA221="OUI",1,Saisie!BA221="NON",0)</f>
        <v>#N/A</v>
      </c>
      <c r="BL221" s="55">
        <f>Saisie!BB221</f>
        <v>0</v>
      </c>
      <c r="BM221" s="49" t="e">
        <f>Saisie!BC221</f>
        <v>#REF!</v>
      </c>
      <c r="BN221" s="175"/>
    </row>
    <row r="222" spans="1:66" s="176" customFormat="1" x14ac:dyDescent="0.45">
      <c r="A222" s="13">
        <v>216</v>
      </c>
      <c r="B222" s="150">
        <f>Saisie!B222</f>
        <v>0</v>
      </c>
      <c r="C222" s="150">
        <f>Saisie!C222</f>
        <v>0</v>
      </c>
      <c r="D222" s="150">
        <f>Saisie!D222</f>
        <v>0</v>
      </c>
      <c r="E222" s="150">
        <f>Saisie!E222</f>
        <v>0</v>
      </c>
      <c r="F222" s="150">
        <f>Saisie!F222</f>
        <v>0</v>
      </c>
      <c r="G222" s="150">
        <f>Saisie!G222</f>
        <v>0</v>
      </c>
      <c r="H222" s="150">
        <f>Saisie!I222</f>
        <v>0</v>
      </c>
      <c r="I222" s="150">
        <f>Saisie!J222</f>
        <v>0</v>
      </c>
      <c r="J222" s="150">
        <f>Saisie!K222</f>
        <v>0</v>
      </c>
      <c r="K222" s="150">
        <f>Saisie!L222</f>
        <v>0</v>
      </c>
      <c r="L222" s="150" t="e">
        <f>Saisie!#REF!</f>
        <v>#REF!</v>
      </c>
      <c r="M222" s="55" t="e">
        <f t="array" ref="M222">_xlfn.IFS(Saisie!M222="OUI",1,Saisie!M222="NON",0)</f>
        <v>#N/A</v>
      </c>
      <c r="N222" s="64" t="e">
        <f>Saisie!#REF!</f>
        <v>#REF!</v>
      </c>
      <c r="O222" s="63" t="e">
        <f>Saisie!#REF!</f>
        <v>#REF!</v>
      </c>
      <c r="P222" s="63">
        <f>Saisie!N222</f>
        <v>0</v>
      </c>
      <c r="Q222" s="63" t="e">
        <f t="array" ref="Q222">_xlfn.IFS(Saisie!#REF!="OUI",1,Saisie!#REF!="NON",0)</f>
        <v>#REF!</v>
      </c>
      <c r="R222" s="63" t="e">
        <f>Saisie!#REF!</f>
        <v>#REF!</v>
      </c>
      <c r="S222" s="65" t="e">
        <f>Saisie!#REF!</f>
        <v>#REF!</v>
      </c>
      <c r="T222" s="63" t="e">
        <f>Saisie!#REF!</f>
        <v>#REF!</v>
      </c>
      <c r="U222" s="63" t="e">
        <f>Saisie!#REF!</f>
        <v>#REF!</v>
      </c>
      <c r="V222" s="63" t="e">
        <f t="array" ref="V222">_xlfn.IFS(Saisie!#REF!="OUI",1,Saisie!#REF!="NON",0)</f>
        <v>#REF!</v>
      </c>
      <c r="W222" s="63" t="e">
        <f t="array" ref="W222">_xlfn.IFS(Saisie!O222="OUI",1,Saisie!O222="NON",0)</f>
        <v>#N/A</v>
      </c>
      <c r="X222" s="63">
        <f>Saisie!P222</f>
        <v>0</v>
      </c>
      <c r="Y222" s="299">
        <f>Saisie!H222</f>
        <v>0</v>
      </c>
      <c r="Z222" s="58" t="e">
        <f>Saisie!#REF!</f>
        <v>#REF!</v>
      </c>
      <c r="AA222" s="299">
        <f>Saisie!Q222</f>
        <v>0</v>
      </c>
      <c r="AB222" s="63" t="e">
        <f t="array" ref="AB222">_xlfn.IFS(Saisie!R222="OUI",1,Saisie!R222="NON",0)</f>
        <v>#N/A</v>
      </c>
      <c r="AC222" s="63">
        <f>Saisie!S222</f>
        <v>0</v>
      </c>
      <c r="AD222" s="63" t="e">
        <f t="array" ref="AD222">_xlfn.IFS(Saisie!T222="OUI",1,Saisie!T222="NON",0)</f>
        <v>#N/A</v>
      </c>
      <c r="AE222" s="171">
        <f>Saisie!U222</f>
        <v>0</v>
      </c>
      <c r="AF222" s="262">
        <v>3</v>
      </c>
      <c r="AG222" s="129">
        <f>Saisie!W222</f>
        <v>0</v>
      </c>
      <c r="AH222" s="20">
        <f>Saisie!X222</f>
        <v>0</v>
      </c>
      <c r="AI222" s="21">
        <f>Saisie!Y222</f>
        <v>0</v>
      </c>
      <c r="AJ222" s="59">
        <f>Saisie!Z222</f>
        <v>0</v>
      </c>
      <c r="AK222" s="20">
        <f>Saisie!AA222</f>
        <v>0</v>
      </c>
      <c r="AL222" s="21">
        <f>Saisie!AB222</f>
        <v>0</v>
      </c>
      <c r="AM222" s="59">
        <f>Saisie!AC222</f>
        <v>0</v>
      </c>
      <c r="AN222" s="20">
        <f>Saisie!AD222</f>
        <v>0</v>
      </c>
      <c r="AO222" s="21">
        <f>Saisie!AE222</f>
        <v>0</v>
      </c>
      <c r="AP222" s="59">
        <f>Saisie!AF222</f>
        <v>0</v>
      </c>
      <c r="AQ222" s="129" t="e">
        <f t="array" ref="AQ222">_xlfn.IFS(Saisie!AG222="OUI",1,Saisie!AG222="NON",0)</f>
        <v>#N/A</v>
      </c>
      <c r="AR222" s="129" t="e">
        <f t="array" ref="AR222">_xlfn.IFS(Saisie!AH222="OUI",1,Saisie!AH222="NON",0)</f>
        <v>#N/A</v>
      </c>
      <c r="AS222" s="171">
        <f>Saisie!AI222</f>
        <v>0</v>
      </c>
      <c r="AT222" s="263" t="e">
        <f t="array" ref="AT222">_xlfn.IFS(Saisie!AJ222="OUI",1,Saisie!AJ222="NON",0)</f>
        <v>#N/A</v>
      </c>
      <c r="AU222" s="173">
        <f>Saisie!AK222</f>
        <v>0</v>
      </c>
      <c r="AV222" s="263" t="e">
        <f t="array" ref="AV222">_xlfn.IFS(Saisie!AL222="OUI",1,Saisie!AL222="NON",0)</f>
        <v>#N/A</v>
      </c>
      <c r="AW222" s="171">
        <f>Saisie!AM222</f>
        <v>0</v>
      </c>
      <c r="AX222" s="68">
        <f>Saisie!AN222</f>
        <v>0</v>
      </c>
      <c r="AY222" s="20">
        <f>Saisie!AO222</f>
        <v>0</v>
      </c>
      <c r="AZ222" s="21">
        <f>Saisie!AP222</f>
        <v>0</v>
      </c>
      <c r="BA222" s="298">
        <f>Saisie!AQ222</f>
        <v>0</v>
      </c>
      <c r="BB222" s="170">
        <f>Saisie!AR222</f>
        <v>0</v>
      </c>
      <c r="BC222" s="174">
        <f>Saisie!AS222</f>
        <v>0</v>
      </c>
      <c r="BD222" s="61">
        <f>Saisie!AT222</f>
        <v>0</v>
      </c>
      <c r="BE222" s="175" t="e">
        <f t="array" ref="BE222">_xlfn.IFS(Saisie!AU222="OUI",1,Saisie!AU222="NON",0)</f>
        <v>#N/A</v>
      </c>
      <c r="BF222" s="267">
        <f>Saisie!AV222</f>
        <v>0</v>
      </c>
      <c r="BG222" s="55">
        <f>Saisie!AW222</f>
        <v>0</v>
      </c>
      <c r="BH222" s="55" t="e">
        <f t="array" ref="BH222">_xlfn.IFS(Saisie!AX222="OUI",1,Saisie!AX222="NON",0)</f>
        <v>#N/A</v>
      </c>
      <c r="BI222" s="62">
        <f>Saisie!AY222</f>
        <v>0</v>
      </c>
      <c r="BJ222" s="55" t="e">
        <f t="array" ref="BJ222">_xlfn.IFS(Saisie!AZ222="OUI",1,Saisie!AZ222="NON",0)</f>
        <v>#N/A</v>
      </c>
      <c r="BK222" s="55" t="e">
        <f t="array" ref="BK222">_xlfn.IFS(Saisie!BA222="OUI",1,Saisie!BA222="NON",0)</f>
        <v>#N/A</v>
      </c>
      <c r="BL222" s="55">
        <f>Saisie!BB222</f>
        <v>0</v>
      </c>
      <c r="BM222" s="49" t="e">
        <f>Saisie!BC222</f>
        <v>#REF!</v>
      </c>
      <c r="BN222" s="175"/>
    </row>
    <row r="223" spans="1:66" s="176" customFormat="1" x14ac:dyDescent="0.45">
      <c r="A223" s="12">
        <v>217</v>
      </c>
      <c r="B223" s="150">
        <f>Saisie!B223</f>
        <v>0</v>
      </c>
      <c r="C223" s="150">
        <f>Saisie!C223</f>
        <v>0</v>
      </c>
      <c r="D223" s="150">
        <f>Saisie!D223</f>
        <v>0</v>
      </c>
      <c r="E223" s="150">
        <f>Saisie!E223</f>
        <v>0</v>
      </c>
      <c r="F223" s="150">
        <f>Saisie!F223</f>
        <v>0</v>
      </c>
      <c r="G223" s="150">
        <f>Saisie!G223</f>
        <v>0</v>
      </c>
      <c r="H223" s="150">
        <f>Saisie!I223</f>
        <v>0</v>
      </c>
      <c r="I223" s="150">
        <f>Saisie!J223</f>
        <v>0</v>
      </c>
      <c r="J223" s="150">
        <f>Saisie!K223</f>
        <v>0</v>
      </c>
      <c r="K223" s="150">
        <f>Saisie!L223</f>
        <v>0</v>
      </c>
      <c r="L223" s="150" t="e">
        <f>Saisie!#REF!</f>
        <v>#REF!</v>
      </c>
      <c r="M223" s="55" t="e">
        <f t="array" ref="M223">_xlfn.IFS(Saisie!M223="OUI",1,Saisie!M223="NON",0)</f>
        <v>#N/A</v>
      </c>
      <c r="N223" s="64" t="e">
        <f>Saisie!#REF!</f>
        <v>#REF!</v>
      </c>
      <c r="O223" s="63" t="e">
        <f>Saisie!#REF!</f>
        <v>#REF!</v>
      </c>
      <c r="P223" s="63">
        <f>Saisie!N223</f>
        <v>0</v>
      </c>
      <c r="Q223" s="63" t="e">
        <f t="array" ref="Q223">_xlfn.IFS(Saisie!#REF!="OUI",1,Saisie!#REF!="NON",0)</f>
        <v>#REF!</v>
      </c>
      <c r="R223" s="63" t="e">
        <f>Saisie!#REF!</f>
        <v>#REF!</v>
      </c>
      <c r="S223" s="65" t="e">
        <f>Saisie!#REF!</f>
        <v>#REF!</v>
      </c>
      <c r="T223" s="63" t="e">
        <f>Saisie!#REF!</f>
        <v>#REF!</v>
      </c>
      <c r="U223" s="63" t="e">
        <f>Saisie!#REF!</f>
        <v>#REF!</v>
      </c>
      <c r="V223" s="63" t="e">
        <f t="array" ref="V223">_xlfn.IFS(Saisie!#REF!="OUI",1,Saisie!#REF!="NON",0)</f>
        <v>#REF!</v>
      </c>
      <c r="W223" s="63" t="e">
        <f t="array" ref="W223">_xlfn.IFS(Saisie!O223="OUI",1,Saisie!O223="NON",0)</f>
        <v>#N/A</v>
      </c>
      <c r="X223" s="63">
        <f>Saisie!P223</f>
        <v>0</v>
      </c>
      <c r="Y223" s="299">
        <f>Saisie!H223</f>
        <v>0</v>
      </c>
      <c r="Z223" s="58" t="e">
        <f>Saisie!#REF!</f>
        <v>#REF!</v>
      </c>
      <c r="AA223" s="299">
        <f>Saisie!Q223</f>
        <v>0</v>
      </c>
      <c r="AB223" s="63" t="e">
        <f t="array" ref="AB223">_xlfn.IFS(Saisie!R223="OUI",1,Saisie!R223="NON",0)</f>
        <v>#N/A</v>
      </c>
      <c r="AC223" s="63">
        <f>Saisie!S223</f>
        <v>0</v>
      </c>
      <c r="AD223" s="63" t="e">
        <f t="array" ref="AD223">_xlfn.IFS(Saisie!T223="OUI",1,Saisie!T223="NON",0)</f>
        <v>#N/A</v>
      </c>
      <c r="AE223" s="171">
        <f>Saisie!U223</f>
        <v>0</v>
      </c>
      <c r="AF223" s="262">
        <v>3</v>
      </c>
      <c r="AG223" s="129">
        <f>Saisie!W223</f>
        <v>0</v>
      </c>
      <c r="AH223" s="20">
        <f>Saisie!X223</f>
        <v>0</v>
      </c>
      <c r="AI223" s="21">
        <f>Saisie!Y223</f>
        <v>0</v>
      </c>
      <c r="AJ223" s="59">
        <f>Saisie!Z223</f>
        <v>0</v>
      </c>
      <c r="AK223" s="20">
        <f>Saisie!AA223</f>
        <v>0</v>
      </c>
      <c r="AL223" s="21">
        <f>Saisie!AB223</f>
        <v>0</v>
      </c>
      <c r="AM223" s="59">
        <f>Saisie!AC223</f>
        <v>0</v>
      </c>
      <c r="AN223" s="20">
        <f>Saisie!AD223</f>
        <v>0</v>
      </c>
      <c r="AO223" s="21">
        <f>Saisie!AE223</f>
        <v>0</v>
      </c>
      <c r="AP223" s="59">
        <f>Saisie!AF223</f>
        <v>0</v>
      </c>
      <c r="AQ223" s="129" t="e">
        <f t="array" ref="AQ223">_xlfn.IFS(Saisie!AG223="OUI",1,Saisie!AG223="NON",0)</f>
        <v>#N/A</v>
      </c>
      <c r="AR223" s="129" t="e">
        <f t="array" ref="AR223">_xlfn.IFS(Saisie!AH223="OUI",1,Saisie!AH223="NON",0)</f>
        <v>#N/A</v>
      </c>
      <c r="AS223" s="171">
        <f>Saisie!AI223</f>
        <v>0</v>
      </c>
      <c r="AT223" s="263" t="e">
        <f t="array" ref="AT223">_xlfn.IFS(Saisie!AJ223="OUI",1,Saisie!AJ223="NON",0)</f>
        <v>#N/A</v>
      </c>
      <c r="AU223" s="173">
        <f>Saisie!AK223</f>
        <v>0</v>
      </c>
      <c r="AV223" s="263" t="e">
        <f t="array" ref="AV223">_xlfn.IFS(Saisie!AL223="OUI",1,Saisie!AL223="NON",0)</f>
        <v>#N/A</v>
      </c>
      <c r="AW223" s="171">
        <f>Saisie!AM223</f>
        <v>0</v>
      </c>
      <c r="AX223" s="68">
        <f>Saisie!AN223</f>
        <v>0</v>
      </c>
      <c r="AY223" s="20">
        <f>Saisie!AO223</f>
        <v>0</v>
      </c>
      <c r="AZ223" s="21">
        <f>Saisie!AP223</f>
        <v>0</v>
      </c>
      <c r="BA223" s="298">
        <f>Saisie!AQ223</f>
        <v>0</v>
      </c>
      <c r="BB223" s="170">
        <f>Saisie!AR223</f>
        <v>0</v>
      </c>
      <c r="BC223" s="174">
        <f>Saisie!AS223</f>
        <v>0</v>
      </c>
      <c r="BD223" s="61">
        <f>Saisie!AT223</f>
        <v>0</v>
      </c>
      <c r="BE223" s="175" t="e">
        <f t="array" ref="BE223">_xlfn.IFS(Saisie!AU223="OUI",1,Saisie!AU223="NON",0)</f>
        <v>#N/A</v>
      </c>
      <c r="BF223" s="267">
        <f>Saisie!AV223</f>
        <v>0</v>
      </c>
      <c r="BG223" s="55">
        <f>Saisie!AW223</f>
        <v>0</v>
      </c>
      <c r="BH223" s="55" t="e">
        <f t="array" ref="BH223">_xlfn.IFS(Saisie!AX223="OUI",1,Saisie!AX223="NON",0)</f>
        <v>#N/A</v>
      </c>
      <c r="BI223" s="62">
        <f>Saisie!AY223</f>
        <v>0</v>
      </c>
      <c r="BJ223" s="55" t="e">
        <f t="array" ref="BJ223">_xlfn.IFS(Saisie!AZ223="OUI",1,Saisie!AZ223="NON",0)</f>
        <v>#N/A</v>
      </c>
      <c r="BK223" s="55" t="e">
        <f t="array" ref="BK223">_xlfn.IFS(Saisie!BA223="OUI",1,Saisie!BA223="NON",0)</f>
        <v>#N/A</v>
      </c>
      <c r="BL223" s="55">
        <f>Saisie!BB223</f>
        <v>0</v>
      </c>
      <c r="BM223" s="49" t="e">
        <f>Saisie!BC223</f>
        <v>#REF!</v>
      </c>
      <c r="BN223" s="175"/>
    </row>
    <row r="224" spans="1:66" s="176" customFormat="1" x14ac:dyDescent="0.45">
      <c r="A224" s="13">
        <v>218</v>
      </c>
      <c r="B224" s="150">
        <f>Saisie!B224</f>
        <v>0</v>
      </c>
      <c r="C224" s="150">
        <f>Saisie!C224</f>
        <v>0</v>
      </c>
      <c r="D224" s="150">
        <f>Saisie!D224</f>
        <v>0</v>
      </c>
      <c r="E224" s="150">
        <f>Saisie!E224</f>
        <v>0</v>
      </c>
      <c r="F224" s="150">
        <f>Saisie!F224</f>
        <v>0</v>
      </c>
      <c r="G224" s="150">
        <f>Saisie!G224</f>
        <v>0</v>
      </c>
      <c r="H224" s="150">
        <f>Saisie!I224</f>
        <v>0</v>
      </c>
      <c r="I224" s="150">
        <f>Saisie!J224</f>
        <v>0</v>
      </c>
      <c r="J224" s="150">
        <f>Saisie!K224</f>
        <v>0</v>
      </c>
      <c r="K224" s="150">
        <f>Saisie!L224</f>
        <v>0</v>
      </c>
      <c r="L224" s="150" t="e">
        <f>Saisie!#REF!</f>
        <v>#REF!</v>
      </c>
      <c r="M224" s="55" t="e">
        <f t="array" ref="M224">_xlfn.IFS(Saisie!M224="OUI",1,Saisie!M224="NON",0)</f>
        <v>#N/A</v>
      </c>
      <c r="N224" s="64" t="e">
        <f>Saisie!#REF!</f>
        <v>#REF!</v>
      </c>
      <c r="O224" s="63" t="e">
        <f>Saisie!#REF!</f>
        <v>#REF!</v>
      </c>
      <c r="P224" s="63">
        <f>Saisie!N224</f>
        <v>0</v>
      </c>
      <c r="Q224" s="63" t="e">
        <f t="array" ref="Q224">_xlfn.IFS(Saisie!#REF!="OUI",1,Saisie!#REF!="NON",0)</f>
        <v>#REF!</v>
      </c>
      <c r="R224" s="63" t="e">
        <f>Saisie!#REF!</f>
        <v>#REF!</v>
      </c>
      <c r="S224" s="65" t="e">
        <f>Saisie!#REF!</f>
        <v>#REF!</v>
      </c>
      <c r="T224" s="63" t="e">
        <f>Saisie!#REF!</f>
        <v>#REF!</v>
      </c>
      <c r="U224" s="63" t="e">
        <f>Saisie!#REF!</f>
        <v>#REF!</v>
      </c>
      <c r="V224" s="63" t="e">
        <f t="array" ref="V224">_xlfn.IFS(Saisie!#REF!="OUI",1,Saisie!#REF!="NON",0)</f>
        <v>#REF!</v>
      </c>
      <c r="W224" s="63" t="e">
        <f t="array" ref="W224">_xlfn.IFS(Saisie!O224="OUI",1,Saisie!O224="NON",0)</f>
        <v>#N/A</v>
      </c>
      <c r="X224" s="63">
        <f>Saisie!P224</f>
        <v>0</v>
      </c>
      <c r="Y224" s="299">
        <f>Saisie!H224</f>
        <v>0</v>
      </c>
      <c r="Z224" s="58" t="e">
        <f>Saisie!#REF!</f>
        <v>#REF!</v>
      </c>
      <c r="AA224" s="299">
        <f>Saisie!Q224</f>
        <v>0</v>
      </c>
      <c r="AB224" s="63" t="e">
        <f t="array" ref="AB224">_xlfn.IFS(Saisie!R224="OUI",1,Saisie!R224="NON",0)</f>
        <v>#N/A</v>
      </c>
      <c r="AC224" s="63">
        <f>Saisie!S224</f>
        <v>0</v>
      </c>
      <c r="AD224" s="63" t="e">
        <f t="array" ref="AD224">_xlfn.IFS(Saisie!T224="OUI",1,Saisie!T224="NON",0)</f>
        <v>#N/A</v>
      </c>
      <c r="AE224" s="171">
        <f>Saisie!U224</f>
        <v>0</v>
      </c>
      <c r="AF224" s="262">
        <v>3</v>
      </c>
      <c r="AG224" s="129">
        <f>Saisie!W224</f>
        <v>0</v>
      </c>
      <c r="AH224" s="20">
        <f>Saisie!X224</f>
        <v>0</v>
      </c>
      <c r="AI224" s="21">
        <f>Saisie!Y224</f>
        <v>0</v>
      </c>
      <c r="AJ224" s="59">
        <f>Saisie!Z224</f>
        <v>0</v>
      </c>
      <c r="AK224" s="20">
        <f>Saisie!AA224</f>
        <v>0</v>
      </c>
      <c r="AL224" s="21">
        <f>Saisie!AB224</f>
        <v>0</v>
      </c>
      <c r="AM224" s="59">
        <f>Saisie!AC224</f>
        <v>0</v>
      </c>
      <c r="AN224" s="20">
        <f>Saisie!AD224</f>
        <v>0</v>
      </c>
      <c r="AO224" s="21">
        <f>Saisie!AE224</f>
        <v>0</v>
      </c>
      <c r="AP224" s="59">
        <f>Saisie!AF224</f>
        <v>0</v>
      </c>
      <c r="AQ224" s="129" t="e">
        <f t="array" ref="AQ224">_xlfn.IFS(Saisie!AG224="OUI",1,Saisie!AG224="NON",0)</f>
        <v>#N/A</v>
      </c>
      <c r="AR224" s="129" t="e">
        <f t="array" ref="AR224">_xlfn.IFS(Saisie!AH224="OUI",1,Saisie!AH224="NON",0)</f>
        <v>#N/A</v>
      </c>
      <c r="AS224" s="171">
        <f>Saisie!AI224</f>
        <v>0</v>
      </c>
      <c r="AT224" s="263" t="e">
        <f t="array" ref="AT224">_xlfn.IFS(Saisie!AJ224="OUI",1,Saisie!AJ224="NON",0)</f>
        <v>#N/A</v>
      </c>
      <c r="AU224" s="173">
        <f>Saisie!AK224</f>
        <v>0</v>
      </c>
      <c r="AV224" s="263" t="e">
        <f t="array" ref="AV224">_xlfn.IFS(Saisie!AL224="OUI",1,Saisie!AL224="NON",0)</f>
        <v>#N/A</v>
      </c>
      <c r="AW224" s="171">
        <f>Saisie!AM224</f>
        <v>0</v>
      </c>
      <c r="AX224" s="68">
        <f>Saisie!AN224</f>
        <v>0</v>
      </c>
      <c r="AY224" s="20">
        <f>Saisie!AO224</f>
        <v>0</v>
      </c>
      <c r="AZ224" s="21">
        <f>Saisie!AP224</f>
        <v>0</v>
      </c>
      <c r="BA224" s="298">
        <f>Saisie!AQ224</f>
        <v>0</v>
      </c>
      <c r="BB224" s="170">
        <f>Saisie!AR224</f>
        <v>0</v>
      </c>
      <c r="BC224" s="174">
        <f>Saisie!AS224</f>
        <v>0</v>
      </c>
      <c r="BD224" s="61">
        <f>Saisie!AT224</f>
        <v>0</v>
      </c>
      <c r="BE224" s="175" t="e">
        <f t="array" ref="BE224">_xlfn.IFS(Saisie!AU224="OUI",1,Saisie!AU224="NON",0)</f>
        <v>#N/A</v>
      </c>
      <c r="BF224" s="267">
        <f>Saisie!AV224</f>
        <v>0</v>
      </c>
      <c r="BG224" s="55">
        <f>Saisie!AW224</f>
        <v>0</v>
      </c>
      <c r="BH224" s="55" t="e">
        <f t="array" ref="BH224">_xlfn.IFS(Saisie!AX224="OUI",1,Saisie!AX224="NON",0)</f>
        <v>#N/A</v>
      </c>
      <c r="BI224" s="62">
        <f>Saisie!AY224</f>
        <v>0</v>
      </c>
      <c r="BJ224" s="55" t="e">
        <f t="array" ref="BJ224">_xlfn.IFS(Saisie!AZ224="OUI",1,Saisie!AZ224="NON",0)</f>
        <v>#N/A</v>
      </c>
      <c r="BK224" s="55" t="e">
        <f t="array" ref="BK224">_xlfn.IFS(Saisie!BA224="OUI",1,Saisie!BA224="NON",0)</f>
        <v>#N/A</v>
      </c>
      <c r="BL224" s="55">
        <f>Saisie!BB224</f>
        <v>0</v>
      </c>
      <c r="BM224" s="49" t="e">
        <f>Saisie!BC224</f>
        <v>#REF!</v>
      </c>
      <c r="BN224" s="175"/>
    </row>
    <row r="225" spans="1:66" s="176" customFormat="1" x14ac:dyDescent="0.45">
      <c r="A225" s="13">
        <v>219</v>
      </c>
      <c r="B225" s="150">
        <f>Saisie!B225</f>
        <v>0</v>
      </c>
      <c r="C225" s="150">
        <f>Saisie!C225</f>
        <v>0</v>
      </c>
      <c r="D225" s="150">
        <f>Saisie!D225</f>
        <v>0</v>
      </c>
      <c r="E225" s="150">
        <f>Saisie!E225</f>
        <v>0</v>
      </c>
      <c r="F225" s="150">
        <f>Saisie!F225</f>
        <v>0</v>
      </c>
      <c r="G225" s="150">
        <f>Saisie!G225</f>
        <v>0</v>
      </c>
      <c r="H225" s="150">
        <f>Saisie!I225</f>
        <v>0</v>
      </c>
      <c r="I225" s="150">
        <f>Saisie!J225</f>
        <v>0</v>
      </c>
      <c r="J225" s="150">
        <f>Saisie!K225</f>
        <v>0</v>
      </c>
      <c r="K225" s="150">
        <f>Saisie!L225</f>
        <v>0</v>
      </c>
      <c r="L225" s="150" t="e">
        <f>Saisie!#REF!</f>
        <v>#REF!</v>
      </c>
      <c r="M225" s="55" t="e">
        <f t="array" ref="M225">_xlfn.IFS(Saisie!M225="OUI",1,Saisie!M225="NON",0)</f>
        <v>#N/A</v>
      </c>
      <c r="N225" s="64" t="e">
        <f>Saisie!#REF!</f>
        <v>#REF!</v>
      </c>
      <c r="O225" s="63" t="e">
        <f>Saisie!#REF!</f>
        <v>#REF!</v>
      </c>
      <c r="P225" s="63">
        <f>Saisie!N225</f>
        <v>0</v>
      </c>
      <c r="Q225" s="63" t="e">
        <f t="array" ref="Q225">_xlfn.IFS(Saisie!#REF!="OUI",1,Saisie!#REF!="NON",0)</f>
        <v>#REF!</v>
      </c>
      <c r="R225" s="63" t="e">
        <f>Saisie!#REF!</f>
        <v>#REF!</v>
      </c>
      <c r="S225" s="65" t="e">
        <f>Saisie!#REF!</f>
        <v>#REF!</v>
      </c>
      <c r="T225" s="63" t="e">
        <f>Saisie!#REF!</f>
        <v>#REF!</v>
      </c>
      <c r="U225" s="63" t="e">
        <f>Saisie!#REF!</f>
        <v>#REF!</v>
      </c>
      <c r="V225" s="63" t="e">
        <f t="array" ref="V225">_xlfn.IFS(Saisie!#REF!="OUI",1,Saisie!#REF!="NON",0)</f>
        <v>#REF!</v>
      </c>
      <c r="W225" s="63" t="e">
        <f t="array" ref="W225">_xlfn.IFS(Saisie!O225="OUI",1,Saisie!O225="NON",0)</f>
        <v>#N/A</v>
      </c>
      <c r="X225" s="63">
        <f>Saisie!P225</f>
        <v>0</v>
      </c>
      <c r="Y225" s="299">
        <f>Saisie!H225</f>
        <v>0</v>
      </c>
      <c r="Z225" s="58" t="e">
        <f>Saisie!#REF!</f>
        <v>#REF!</v>
      </c>
      <c r="AA225" s="299">
        <f>Saisie!Q225</f>
        <v>0</v>
      </c>
      <c r="AB225" s="63" t="e">
        <f t="array" ref="AB225">_xlfn.IFS(Saisie!R225="OUI",1,Saisie!R225="NON",0)</f>
        <v>#N/A</v>
      </c>
      <c r="AC225" s="63">
        <f>Saisie!S225</f>
        <v>0</v>
      </c>
      <c r="AD225" s="63" t="e">
        <f t="array" ref="AD225">_xlfn.IFS(Saisie!T225="OUI",1,Saisie!T225="NON",0)</f>
        <v>#N/A</v>
      </c>
      <c r="AE225" s="171">
        <f>Saisie!U225</f>
        <v>0</v>
      </c>
      <c r="AF225" s="262">
        <v>3</v>
      </c>
      <c r="AG225" s="129">
        <f>Saisie!W225</f>
        <v>0</v>
      </c>
      <c r="AH225" s="20">
        <f>Saisie!X225</f>
        <v>0</v>
      </c>
      <c r="AI225" s="21">
        <f>Saisie!Y225</f>
        <v>0</v>
      </c>
      <c r="AJ225" s="59">
        <f>Saisie!Z225</f>
        <v>0</v>
      </c>
      <c r="AK225" s="20">
        <f>Saisie!AA225</f>
        <v>0</v>
      </c>
      <c r="AL225" s="21">
        <f>Saisie!AB225</f>
        <v>0</v>
      </c>
      <c r="AM225" s="59">
        <f>Saisie!AC225</f>
        <v>0</v>
      </c>
      <c r="AN225" s="20">
        <f>Saisie!AD225</f>
        <v>0</v>
      </c>
      <c r="AO225" s="21">
        <f>Saisie!AE225</f>
        <v>0</v>
      </c>
      <c r="AP225" s="59">
        <f>Saisie!AF225</f>
        <v>0</v>
      </c>
      <c r="AQ225" s="129" t="e">
        <f t="array" ref="AQ225">_xlfn.IFS(Saisie!AG225="OUI",1,Saisie!AG225="NON",0)</f>
        <v>#N/A</v>
      </c>
      <c r="AR225" s="129" t="e">
        <f t="array" ref="AR225">_xlfn.IFS(Saisie!AH225="OUI",1,Saisie!AH225="NON",0)</f>
        <v>#N/A</v>
      </c>
      <c r="AS225" s="171">
        <f>Saisie!AI225</f>
        <v>0</v>
      </c>
      <c r="AT225" s="263" t="e">
        <f t="array" ref="AT225">_xlfn.IFS(Saisie!AJ225="OUI",1,Saisie!AJ225="NON",0)</f>
        <v>#N/A</v>
      </c>
      <c r="AU225" s="173">
        <f>Saisie!AK225</f>
        <v>0</v>
      </c>
      <c r="AV225" s="263" t="e">
        <f t="array" ref="AV225">_xlfn.IFS(Saisie!AL225="OUI",1,Saisie!AL225="NON",0)</f>
        <v>#N/A</v>
      </c>
      <c r="AW225" s="171">
        <f>Saisie!AM225</f>
        <v>0</v>
      </c>
      <c r="AX225" s="68">
        <f>Saisie!AN225</f>
        <v>0</v>
      </c>
      <c r="AY225" s="20">
        <f>Saisie!AO225</f>
        <v>0</v>
      </c>
      <c r="AZ225" s="21">
        <f>Saisie!AP225</f>
        <v>0</v>
      </c>
      <c r="BA225" s="298">
        <f>Saisie!AQ225</f>
        <v>0</v>
      </c>
      <c r="BB225" s="170">
        <f>Saisie!AR225</f>
        <v>0</v>
      </c>
      <c r="BC225" s="174">
        <f>Saisie!AS225</f>
        <v>0</v>
      </c>
      <c r="BD225" s="61">
        <f>Saisie!AT225</f>
        <v>0</v>
      </c>
      <c r="BE225" s="175" t="e">
        <f t="array" ref="BE225">_xlfn.IFS(Saisie!AU225="OUI",1,Saisie!AU225="NON",0)</f>
        <v>#N/A</v>
      </c>
      <c r="BF225" s="267">
        <f>Saisie!AV225</f>
        <v>0</v>
      </c>
      <c r="BG225" s="55">
        <f>Saisie!AW225</f>
        <v>0</v>
      </c>
      <c r="BH225" s="55" t="e">
        <f t="array" ref="BH225">_xlfn.IFS(Saisie!AX225="OUI",1,Saisie!AX225="NON",0)</f>
        <v>#N/A</v>
      </c>
      <c r="BI225" s="62">
        <f>Saisie!AY225</f>
        <v>0</v>
      </c>
      <c r="BJ225" s="55" t="e">
        <f t="array" ref="BJ225">_xlfn.IFS(Saisie!AZ225="OUI",1,Saisie!AZ225="NON",0)</f>
        <v>#N/A</v>
      </c>
      <c r="BK225" s="55" t="e">
        <f t="array" ref="BK225">_xlfn.IFS(Saisie!BA225="OUI",1,Saisie!BA225="NON",0)</f>
        <v>#N/A</v>
      </c>
      <c r="BL225" s="55">
        <f>Saisie!BB225</f>
        <v>0</v>
      </c>
      <c r="BM225" s="49" t="e">
        <f>Saisie!BC225</f>
        <v>#REF!</v>
      </c>
      <c r="BN225" s="175"/>
    </row>
    <row r="226" spans="1:66" s="176" customFormat="1" x14ac:dyDescent="0.45">
      <c r="A226" s="12">
        <v>220</v>
      </c>
      <c r="B226" s="150">
        <f>Saisie!B226</f>
        <v>0</v>
      </c>
      <c r="C226" s="150">
        <f>Saisie!C226</f>
        <v>0</v>
      </c>
      <c r="D226" s="150">
        <f>Saisie!D226</f>
        <v>0</v>
      </c>
      <c r="E226" s="150">
        <f>Saisie!E226</f>
        <v>0</v>
      </c>
      <c r="F226" s="150">
        <f>Saisie!F226</f>
        <v>0</v>
      </c>
      <c r="G226" s="150">
        <f>Saisie!G226</f>
        <v>0</v>
      </c>
      <c r="H226" s="150">
        <f>Saisie!I226</f>
        <v>0</v>
      </c>
      <c r="I226" s="150">
        <f>Saisie!J226</f>
        <v>0</v>
      </c>
      <c r="J226" s="150">
        <f>Saisie!K226</f>
        <v>0</v>
      </c>
      <c r="K226" s="150">
        <f>Saisie!L226</f>
        <v>0</v>
      </c>
      <c r="L226" s="150" t="e">
        <f>Saisie!#REF!</f>
        <v>#REF!</v>
      </c>
      <c r="M226" s="55" t="e">
        <f t="array" ref="M226">_xlfn.IFS(Saisie!M226="OUI",1,Saisie!M226="NON",0)</f>
        <v>#N/A</v>
      </c>
      <c r="N226" s="64" t="e">
        <f>Saisie!#REF!</f>
        <v>#REF!</v>
      </c>
      <c r="O226" s="63" t="e">
        <f>Saisie!#REF!</f>
        <v>#REF!</v>
      </c>
      <c r="P226" s="63">
        <f>Saisie!N226</f>
        <v>0</v>
      </c>
      <c r="Q226" s="63" t="e">
        <f t="array" ref="Q226">_xlfn.IFS(Saisie!#REF!="OUI",1,Saisie!#REF!="NON",0)</f>
        <v>#REF!</v>
      </c>
      <c r="R226" s="63" t="e">
        <f>Saisie!#REF!</f>
        <v>#REF!</v>
      </c>
      <c r="S226" s="65" t="e">
        <f>Saisie!#REF!</f>
        <v>#REF!</v>
      </c>
      <c r="T226" s="63" t="e">
        <f>Saisie!#REF!</f>
        <v>#REF!</v>
      </c>
      <c r="U226" s="63" t="e">
        <f>Saisie!#REF!</f>
        <v>#REF!</v>
      </c>
      <c r="V226" s="63" t="e">
        <f t="array" ref="V226">_xlfn.IFS(Saisie!#REF!="OUI",1,Saisie!#REF!="NON",0)</f>
        <v>#REF!</v>
      </c>
      <c r="W226" s="63" t="e">
        <f t="array" ref="W226">_xlfn.IFS(Saisie!O226="OUI",1,Saisie!O226="NON",0)</f>
        <v>#N/A</v>
      </c>
      <c r="X226" s="63">
        <f>Saisie!P226</f>
        <v>0</v>
      </c>
      <c r="Y226" s="299">
        <f>Saisie!H226</f>
        <v>0</v>
      </c>
      <c r="Z226" s="58" t="e">
        <f>Saisie!#REF!</f>
        <v>#REF!</v>
      </c>
      <c r="AA226" s="299">
        <f>Saisie!Q226</f>
        <v>0</v>
      </c>
      <c r="AB226" s="63" t="e">
        <f t="array" ref="AB226">_xlfn.IFS(Saisie!R226="OUI",1,Saisie!R226="NON",0)</f>
        <v>#N/A</v>
      </c>
      <c r="AC226" s="63">
        <f>Saisie!S226</f>
        <v>0</v>
      </c>
      <c r="AD226" s="63" t="e">
        <f t="array" ref="AD226">_xlfn.IFS(Saisie!T226="OUI",1,Saisie!T226="NON",0)</f>
        <v>#N/A</v>
      </c>
      <c r="AE226" s="171">
        <f>Saisie!U226</f>
        <v>0</v>
      </c>
      <c r="AF226" s="262">
        <v>3</v>
      </c>
      <c r="AG226" s="129">
        <f>Saisie!W226</f>
        <v>0</v>
      </c>
      <c r="AH226" s="20">
        <f>Saisie!X226</f>
        <v>0</v>
      </c>
      <c r="AI226" s="21">
        <f>Saisie!Y226</f>
        <v>0</v>
      </c>
      <c r="AJ226" s="59">
        <f>Saisie!Z226</f>
        <v>0</v>
      </c>
      <c r="AK226" s="20">
        <f>Saisie!AA226</f>
        <v>0</v>
      </c>
      <c r="AL226" s="21">
        <f>Saisie!AB226</f>
        <v>0</v>
      </c>
      <c r="AM226" s="59">
        <f>Saisie!AC226</f>
        <v>0</v>
      </c>
      <c r="AN226" s="20">
        <f>Saisie!AD226</f>
        <v>0</v>
      </c>
      <c r="AO226" s="21">
        <f>Saisie!AE226</f>
        <v>0</v>
      </c>
      <c r="AP226" s="59">
        <f>Saisie!AF226</f>
        <v>0</v>
      </c>
      <c r="AQ226" s="129" t="e">
        <f t="array" ref="AQ226">_xlfn.IFS(Saisie!AG226="OUI",1,Saisie!AG226="NON",0)</f>
        <v>#N/A</v>
      </c>
      <c r="AR226" s="129" t="e">
        <f t="array" ref="AR226">_xlfn.IFS(Saisie!AH226="OUI",1,Saisie!AH226="NON",0)</f>
        <v>#N/A</v>
      </c>
      <c r="AS226" s="171">
        <f>Saisie!AI226</f>
        <v>0</v>
      </c>
      <c r="AT226" s="263" t="e">
        <f t="array" ref="AT226">_xlfn.IFS(Saisie!AJ226="OUI",1,Saisie!AJ226="NON",0)</f>
        <v>#N/A</v>
      </c>
      <c r="AU226" s="173">
        <f>Saisie!AK226</f>
        <v>0</v>
      </c>
      <c r="AV226" s="263" t="e">
        <f t="array" ref="AV226">_xlfn.IFS(Saisie!AL226="OUI",1,Saisie!AL226="NON",0)</f>
        <v>#N/A</v>
      </c>
      <c r="AW226" s="171">
        <f>Saisie!AM226</f>
        <v>0</v>
      </c>
      <c r="AX226" s="68">
        <f>Saisie!AN226</f>
        <v>0</v>
      </c>
      <c r="AY226" s="20">
        <f>Saisie!AO226</f>
        <v>0</v>
      </c>
      <c r="AZ226" s="21">
        <f>Saisie!AP226</f>
        <v>0</v>
      </c>
      <c r="BA226" s="298">
        <f>Saisie!AQ226</f>
        <v>0</v>
      </c>
      <c r="BB226" s="170">
        <f>Saisie!AR226</f>
        <v>0</v>
      </c>
      <c r="BC226" s="174">
        <f>Saisie!AS226</f>
        <v>0</v>
      </c>
      <c r="BD226" s="61">
        <f>Saisie!AT226</f>
        <v>0</v>
      </c>
      <c r="BE226" s="175" t="e">
        <f t="array" ref="BE226">_xlfn.IFS(Saisie!AU226="OUI",1,Saisie!AU226="NON",0)</f>
        <v>#N/A</v>
      </c>
      <c r="BF226" s="267">
        <f>Saisie!AV226</f>
        <v>0</v>
      </c>
      <c r="BG226" s="55">
        <f>Saisie!AW226</f>
        <v>0</v>
      </c>
      <c r="BH226" s="55" t="e">
        <f t="array" ref="BH226">_xlfn.IFS(Saisie!AX226="OUI",1,Saisie!AX226="NON",0)</f>
        <v>#N/A</v>
      </c>
      <c r="BI226" s="62">
        <f>Saisie!AY226</f>
        <v>0</v>
      </c>
      <c r="BJ226" s="55" t="e">
        <f t="array" ref="BJ226">_xlfn.IFS(Saisie!AZ226="OUI",1,Saisie!AZ226="NON",0)</f>
        <v>#N/A</v>
      </c>
      <c r="BK226" s="55" t="e">
        <f t="array" ref="BK226">_xlfn.IFS(Saisie!BA226="OUI",1,Saisie!BA226="NON",0)</f>
        <v>#N/A</v>
      </c>
      <c r="BL226" s="55">
        <f>Saisie!BB226</f>
        <v>0</v>
      </c>
      <c r="BM226" s="49" t="e">
        <f>Saisie!BC226</f>
        <v>#REF!</v>
      </c>
      <c r="BN226" s="175"/>
    </row>
    <row r="227" spans="1:66" s="176" customFormat="1" x14ac:dyDescent="0.45">
      <c r="A227" s="13">
        <v>221</v>
      </c>
      <c r="B227" s="150">
        <f>Saisie!B227</f>
        <v>0</v>
      </c>
      <c r="C227" s="150">
        <f>Saisie!C227</f>
        <v>0</v>
      </c>
      <c r="D227" s="150">
        <f>Saisie!D227</f>
        <v>0</v>
      </c>
      <c r="E227" s="150">
        <f>Saisie!E227</f>
        <v>0</v>
      </c>
      <c r="F227" s="150">
        <f>Saisie!F227</f>
        <v>0</v>
      </c>
      <c r="G227" s="150">
        <f>Saisie!G227</f>
        <v>0</v>
      </c>
      <c r="H227" s="150">
        <f>Saisie!I227</f>
        <v>0</v>
      </c>
      <c r="I227" s="150">
        <f>Saisie!J227</f>
        <v>0</v>
      </c>
      <c r="J227" s="150">
        <f>Saisie!K227</f>
        <v>0</v>
      </c>
      <c r="K227" s="150">
        <f>Saisie!L227</f>
        <v>0</v>
      </c>
      <c r="L227" s="150" t="e">
        <f>Saisie!#REF!</f>
        <v>#REF!</v>
      </c>
      <c r="M227" s="55" t="e">
        <f t="array" ref="M227">_xlfn.IFS(Saisie!M227="OUI",1,Saisie!M227="NON",0)</f>
        <v>#N/A</v>
      </c>
      <c r="N227" s="64" t="e">
        <f>Saisie!#REF!</f>
        <v>#REF!</v>
      </c>
      <c r="O227" s="63" t="e">
        <f>Saisie!#REF!</f>
        <v>#REF!</v>
      </c>
      <c r="P227" s="63">
        <f>Saisie!N227</f>
        <v>0</v>
      </c>
      <c r="Q227" s="63" t="e">
        <f t="array" ref="Q227">_xlfn.IFS(Saisie!#REF!="OUI",1,Saisie!#REF!="NON",0)</f>
        <v>#REF!</v>
      </c>
      <c r="R227" s="63" t="e">
        <f>Saisie!#REF!</f>
        <v>#REF!</v>
      </c>
      <c r="S227" s="65" t="e">
        <f>Saisie!#REF!</f>
        <v>#REF!</v>
      </c>
      <c r="T227" s="63" t="e">
        <f>Saisie!#REF!</f>
        <v>#REF!</v>
      </c>
      <c r="U227" s="63" t="e">
        <f>Saisie!#REF!</f>
        <v>#REF!</v>
      </c>
      <c r="V227" s="63" t="e">
        <f t="array" ref="V227">_xlfn.IFS(Saisie!#REF!="OUI",1,Saisie!#REF!="NON",0)</f>
        <v>#REF!</v>
      </c>
      <c r="W227" s="63" t="e">
        <f t="array" ref="W227">_xlfn.IFS(Saisie!O227="OUI",1,Saisie!O227="NON",0)</f>
        <v>#N/A</v>
      </c>
      <c r="X227" s="63">
        <f>Saisie!P227</f>
        <v>0</v>
      </c>
      <c r="Y227" s="299">
        <f>Saisie!H227</f>
        <v>0</v>
      </c>
      <c r="Z227" s="58" t="e">
        <f>Saisie!#REF!</f>
        <v>#REF!</v>
      </c>
      <c r="AA227" s="299">
        <f>Saisie!Q227</f>
        <v>0</v>
      </c>
      <c r="AB227" s="63" t="e">
        <f t="array" ref="AB227">_xlfn.IFS(Saisie!R227="OUI",1,Saisie!R227="NON",0)</f>
        <v>#N/A</v>
      </c>
      <c r="AC227" s="63">
        <f>Saisie!S227</f>
        <v>0</v>
      </c>
      <c r="AD227" s="63" t="e">
        <f t="array" ref="AD227">_xlfn.IFS(Saisie!T227="OUI",1,Saisie!T227="NON",0)</f>
        <v>#N/A</v>
      </c>
      <c r="AE227" s="171">
        <f>Saisie!U227</f>
        <v>0</v>
      </c>
      <c r="AF227" s="262">
        <v>3</v>
      </c>
      <c r="AG227" s="129">
        <f>Saisie!W227</f>
        <v>0</v>
      </c>
      <c r="AH227" s="20">
        <f>Saisie!X227</f>
        <v>0</v>
      </c>
      <c r="AI227" s="21">
        <f>Saisie!Y227</f>
        <v>0</v>
      </c>
      <c r="AJ227" s="59">
        <f>Saisie!Z227</f>
        <v>0</v>
      </c>
      <c r="AK227" s="20">
        <f>Saisie!AA227</f>
        <v>0</v>
      </c>
      <c r="AL227" s="21">
        <f>Saisie!AB227</f>
        <v>0</v>
      </c>
      <c r="AM227" s="59">
        <f>Saisie!AC227</f>
        <v>0</v>
      </c>
      <c r="AN227" s="20">
        <f>Saisie!AD227</f>
        <v>0</v>
      </c>
      <c r="AO227" s="21">
        <f>Saisie!AE227</f>
        <v>0</v>
      </c>
      <c r="AP227" s="59">
        <f>Saisie!AF227</f>
        <v>0</v>
      </c>
      <c r="AQ227" s="129" t="e">
        <f t="array" ref="AQ227">_xlfn.IFS(Saisie!AG227="OUI",1,Saisie!AG227="NON",0)</f>
        <v>#N/A</v>
      </c>
      <c r="AR227" s="129" t="e">
        <f t="array" ref="AR227">_xlfn.IFS(Saisie!AH227="OUI",1,Saisie!AH227="NON",0)</f>
        <v>#N/A</v>
      </c>
      <c r="AS227" s="171">
        <f>Saisie!AI227</f>
        <v>0</v>
      </c>
      <c r="AT227" s="263" t="e">
        <f t="array" ref="AT227">_xlfn.IFS(Saisie!AJ227="OUI",1,Saisie!AJ227="NON",0)</f>
        <v>#N/A</v>
      </c>
      <c r="AU227" s="173">
        <f>Saisie!AK227</f>
        <v>0</v>
      </c>
      <c r="AV227" s="263" t="e">
        <f t="array" ref="AV227">_xlfn.IFS(Saisie!AL227="OUI",1,Saisie!AL227="NON",0)</f>
        <v>#N/A</v>
      </c>
      <c r="AW227" s="171">
        <f>Saisie!AM227</f>
        <v>0</v>
      </c>
      <c r="AX227" s="68">
        <f>Saisie!AN227</f>
        <v>0</v>
      </c>
      <c r="AY227" s="20">
        <f>Saisie!AO227</f>
        <v>0</v>
      </c>
      <c r="AZ227" s="21">
        <f>Saisie!AP227</f>
        <v>0</v>
      </c>
      <c r="BA227" s="298">
        <f>Saisie!AQ227</f>
        <v>0</v>
      </c>
      <c r="BB227" s="170">
        <f>Saisie!AR227</f>
        <v>0</v>
      </c>
      <c r="BC227" s="174">
        <f>Saisie!AS227</f>
        <v>0</v>
      </c>
      <c r="BD227" s="61">
        <f>Saisie!AT227</f>
        <v>0</v>
      </c>
      <c r="BE227" s="175" t="e">
        <f t="array" ref="BE227">_xlfn.IFS(Saisie!AU227="OUI",1,Saisie!AU227="NON",0)</f>
        <v>#N/A</v>
      </c>
      <c r="BF227" s="267">
        <f>Saisie!AV227</f>
        <v>0</v>
      </c>
      <c r="BG227" s="55">
        <f>Saisie!AW227</f>
        <v>0</v>
      </c>
      <c r="BH227" s="55" t="e">
        <f t="array" ref="BH227">_xlfn.IFS(Saisie!AX227="OUI",1,Saisie!AX227="NON",0)</f>
        <v>#N/A</v>
      </c>
      <c r="BI227" s="62">
        <f>Saisie!AY227</f>
        <v>0</v>
      </c>
      <c r="BJ227" s="55" t="e">
        <f t="array" ref="BJ227">_xlfn.IFS(Saisie!AZ227="OUI",1,Saisie!AZ227="NON",0)</f>
        <v>#N/A</v>
      </c>
      <c r="BK227" s="55" t="e">
        <f t="array" ref="BK227">_xlfn.IFS(Saisie!BA227="OUI",1,Saisie!BA227="NON",0)</f>
        <v>#N/A</v>
      </c>
      <c r="BL227" s="55">
        <f>Saisie!BB227</f>
        <v>0</v>
      </c>
      <c r="BM227" s="49" t="e">
        <f>Saisie!BC227</f>
        <v>#REF!</v>
      </c>
      <c r="BN227" s="175"/>
    </row>
    <row r="228" spans="1:66" s="176" customFormat="1" x14ac:dyDescent="0.45">
      <c r="A228" s="13">
        <v>222</v>
      </c>
      <c r="B228" s="150">
        <f>Saisie!B228</f>
        <v>0</v>
      </c>
      <c r="C228" s="150">
        <f>Saisie!C228</f>
        <v>0</v>
      </c>
      <c r="D228" s="150">
        <f>Saisie!D228</f>
        <v>0</v>
      </c>
      <c r="E228" s="150">
        <f>Saisie!E228</f>
        <v>0</v>
      </c>
      <c r="F228" s="150">
        <f>Saisie!F228</f>
        <v>0</v>
      </c>
      <c r="G228" s="150">
        <f>Saisie!G228</f>
        <v>0</v>
      </c>
      <c r="H228" s="150">
        <f>Saisie!I228</f>
        <v>0</v>
      </c>
      <c r="I228" s="150">
        <f>Saisie!J228</f>
        <v>0</v>
      </c>
      <c r="J228" s="150">
        <f>Saisie!K228</f>
        <v>0</v>
      </c>
      <c r="K228" s="150">
        <f>Saisie!L228</f>
        <v>0</v>
      </c>
      <c r="L228" s="150" t="e">
        <f>Saisie!#REF!</f>
        <v>#REF!</v>
      </c>
      <c r="M228" s="55" t="e">
        <f t="array" ref="M228">_xlfn.IFS(Saisie!M228="OUI",1,Saisie!M228="NON",0)</f>
        <v>#N/A</v>
      </c>
      <c r="N228" s="64" t="e">
        <f>Saisie!#REF!</f>
        <v>#REF!</v>
      </c>
      <c r="O228" s="63" t="e">
        <f>Saisie!#REF!</f>
        <v>#REF!</v>
      </c>
      <c r="P228" s="63">
        <f>Saisie!N228</f>
        <v>0</v>
      </c>
      <c r="Q228" s="63" t="e">
        <f t="array" ref="Q228">_xlfn.IFS(Saisie!#REF!="OUI",1,Saisie!#REF!="NON",0)</f>
        <v>#REF!</v>
      </c>
      <c r="R228" s="63" t="e">
        <f>Saisie!#REF!</f>
        <v>#REF!</v>
      </c>
      <c r="S228" s="65" t="e">
        <f>Saisie!#REF!</f>
        <v>#REF!</v>
      </c>
      <c r="T228" s="63" t="e">
        <f>Saisie!#REF!</f>
        <v>#REF!</v>
      </c>
      <c r="U228" s="63" t="e">
        <f>Saisie!#REF!</f>
        <v>#REF!</v>
      </c>
      <c r="V228" s="63" t="e">
        <f t="array" ref="V228">_xlfn.IFS(Saisie!#REF!="OUI",1,Saisie!#REF!="NON",0)</f>
        <v>#REF!</v>
      </c>
      <c r="W228" s="63" t="e">
        <f t="array" ref="W228">_xlfn.IFS(Saisie!O228="OUI",1,Saisie!O228="NON",0)</f>
        <v>#N/A</v>
      </c>
      <c r="X228" s="63">
        <f>Saisie!P228</f>
        <v>0</v>
      </c>
      <c r="Y228" s="299">
        <f>Saisie!H228</f>
        <v>0</v>
      </c>
      <c r="Z228" s="58" t="e">
        <f>Saisie!#REF!</f>
        <v>#REF!</v>
      </c>
      <c r="AA228" s="299">
        <f>Saisie!Q228</f>
        <v>0</v>
      </c>
      <c r="AB228" s="63" t="e">
        <f t="array" ref="AB228">_xlfn.IFS(Saisie!R228="OUI",1,Saisie!R228="NON",0)</f>
        <v>#N/A</v>
      </c>
      <c r="AC228" s="63">
        <f>Saisie!S228</f>
        <v>0</v>
      </c>
      <c r="AD228" s="63" t="e">
        <f t="array" ref="AD228">_xlfn.IFS(Saisie!T228="OUI",1,Saisie!T228="NON",0)</f>
        <v>#N/A</v>
      </c>
      <c r="AE228" s="171">
        <f>Saisie!U228</f>
        <v>0</v>
      </c>
      <c r="AF228" s="262">
        <v>3</v>
      </c>
      <c r="AG228" s="129">
        <f>Saisie!W228</f>
        <v>0</v>
      </c>
      <c r="AH228" s="20">
        <f>Saisie!X228</f>
        <v>0</v>
      </c>
      <c r="AI228" s="21">
        <f>Saisie!Y228</f>
        <v>0</v>
      </c>
      <c r="AJ228" s="59">
        <f>Saisie!Z228</f>
        <v>0</v>
      </c>
      <c r="AK228" s="20">
        <f>Saisie!AA228</f>
        <v>0</v>
      </c>
      <c r="AL228" s="21">
        <f>Saisie!AB228</f>
        <v>0</v>
      </c>
      <c r="AM228" s="59">
        <f>Saisie!AC228</f>
        <v>0</v>
      </c>
      <c r="AN228" s="20">
        <f>Saisie!AD228</f>
        <v>0</v>
      </c>
      <c r="AO228" s="21">
        <f>Saisie!AE228</f>
        <v>0</v>
      </c>
      <c r="AP228" s="59">
        <f>Saisie!AF228</f>
        <v>0</v>
      </c>
      <c r="AQ228" s="129" t="e">
        <f t="array" ref="AQ228">_xlfn.IFS(Saisie!AG228="OUI",1,Saisie!AG228="NON",0)</f>
        <v>#N/A</v>
      </c>
      <c r="AR228" s="129" t="e">
        <f t="array" ref="AR228">_xlfn.IFS(Saisie!AH228="OUI",1,Saisie!AH228="NON",0)</f>
        <v>#N/A</v>
      </c>
      <c r="AS228" s="171">
        <f>Saisie!AI228</f>
        <v>0</v>
      </c>
      <c r="AT228" s="263" t="e">
        <f t="array" ref="AT228">_xlfn.IFS(Saisie!AJ228="OUI",1,Saisie!AJ228="NON",0)</f>
        <v>#N/A</v>
      </c>
      <c r="AU228" s="173">
        <f>Saisie!AK228</f>
        <v>0</v>
      </c>
      <c r="AV228" s="263" t="e">
        <f t="array" ref="AV228">_xlfn.IFS(Saisie!AL228="OUI",1,Saisie!AL228="NON",0)</f>
        <v>#N/A</v>
      </c>
      <c r="AW228" s="171">
        <f>Saisie!AM228</f>
        <v>0</v>
      </c>
      <c r="AX228" s="68">
        <f>Saisie!AN228</f>
        <v>0</v>
      </c>
      <c r="AY228" s="20">
        <f>Saisie!AO228</f>
        <v>0</v>
      </c>
      <c r="AZ228" s="21">
        <f>Saisie!AP228</f>
        <v>0</v>
      </c>
      <c r="BA228" s="298">
        <f>Saisie!AQ228</f>
        <v>0</v>
      </c>
      <c r="BB228" s="170">
        <f>Saisie!AR228</f>
        <v>0</v>
      </c>
      <c r="BC228" s="174">
        <f>Saisie!AS228</f>
        <v>0</v>
      </c>
      <c r="BD228" s="61">
        <f>Saisie!AT228</f>
        <v>0</v>
      </c>
      <c r="BE228" s="175" t="e">
        <f t="array" ref="BE228">_xlfn.IFS(Saisie!AU228="OUI",1,Saisie!AU228="NON",0)</f>
        <v>#N/A</v>
      </c>
      <c r="BF228" s="267">
        <f>Saisie!AV228</f>
        <v>0</v>
      </c>
      <c r="BG228" s="55">
        <f>Saisie!AW228</f>
        <v>0</v>
      </c>
      <c r="BH228" s="55" t="e">
        <f t="array" ref="BH228">_xlfn.IFS(Saisie!AX228="OUI",1,Saisie!AX228="NON",0)</f>
        <v>#N/A</v>
      </c>
      <c r="BI228" s="62">
        <f>Saisie!AY228</f>
        <v>0</v>
      </c>
      <c r="BJ228" s="55" t="e">
        <f t="array" ref="BJ228">_xlfn.IFS(Saisie!AZ228="OUI",1,Saisie!AZ228="NON",0)</f>
        <v>#N/A</v>
      </c>
      <c r="BK228" s="55" t="e">
        <f t="array" ref="BK228">_xlfn.IFS(Saisie!BA228="OUI",1,Saisie!BA228="NON",0)</f>
        <v>#N/A</v>
      </c>
      <c r="BL228" s="55">
        <f>Saisie!BB228</f>
        <v>0</v>
      </c>
      <c r="BM228" s="49" t="e">
        <f>Saisie!BC228</f>
        <v>#REF!</v>
      </c>
      <c r="BN228" s="175"/>
    </row>
    <row r="229" spans="1:66" s="176" customFormat="1" x14ac:dyDescent="0.45">
      <c r="A229" s="12">
        <v>223</v>
      </c>
      <c r="B229" s="150">
        <f>Saisie!B229</f>
        <v>0</v>
      </c>
      <c r="C229" s="150">
        <f>Saisie!C229</f>
        <v>0</v>
      </c>
      <c r="D229" s="150">
        <f>Saisie!D229</f>
        <v>0</v>
      </c>
      <c r="E229" s="150">
        <f>Saisie!E229</f>
        <v>0</v>
      </c>
      <c r="F229" s="150">
        <f>Saisie!F229</f>
        <v>0</v>
      </c>
      <c r="G229" s="150">
        <f>Saisie!G229</f>
        <v>0</v>
      </c>
      <c r="H229" s="150">
        <f>Saisie!I229</f>
        <v>0</v>
      </c>
      <c r="I229" s="150">
        <f>Saisie!J229</f>
        <v>0</v>
      </c>
      <c r="J229" s="150">
        <f>Saisie!K229</f>
        <v>0</v>
      </c>
      <c r="K229" s="150">
        <f>Saisie!L229</f>
        <v>0</v>
      </c>
      <c r="L229" s="150" t="e">
        <f>Saisie!#REF!</f>
        <v>#REF!</v>
      </c>
      <c r="M229" s="55" t="e">
        <f t="array" ref="M229">_xlfn.IFS(Saisie!M229="OUI",1,Saisie!M229="NON",0)</f>
        <v>#N/A</v>
      </c>
      <c r="N229" s="64" t="e">
        <f>Saisie!#REF!</f>
        <v>#REF!</v>
      </c>
      <c r="O229" s="63" t="e">
        <f>Saisie!#REF!</f>
        <v>#REF!</v>
      </c>
      <c r="P229" s="63">
        <f>Saisie!N229</f>
        <v>0</v>
      </c>
      <c r="Q229" s="63" t="e">
        <f t="array" ref="Q229">_xlfn.IFS(Saisie!#REF!="OUI",1,Saisie!#REF!="NON",0)</f>
        <v>#REF!</v>
      </c>
      <c r="R229" s="63" t="e">
        <f>Saisie!#REF!</f>
        <v>#REF!</v>
      </c>
      <c r="S229" s="65" t="e">
        <f>Saisie!#REF!</f>
        <v>#REF!</v>
      </c>
      <c r="T229" s="63" t="e">
        <f>Saisie!#REF!</f>
        <v>#REF!</v>
      </c>
      <c r="U229" s="63" t="e">
        <f>Saisie!#REF!</f>
        <v>#REF!</v>
      </c>
      <c r="V229" s="63" t="e">
        <f t="array" ref="V229">_xlfn.IFS(Saisie!#REF!="OUI",1,Saisie!#REF!="NON",0)</f>
        <v>#REF!</v>
      </c>
      <c r="W229" s="63" t="e">
        <f t="array" ref="W229">_xlfn.IFS(Saisie!O229="OUI",1,Saisie!O229="NON",0)</f>
        <v>#N/A</v>
      </c>
      <c r="X229" s="63">
        <f>Saisie!P229</f>
        <v>0</v>
      </c>
      <c r="Y229" s="299">
        <f>Saisie!H229</f>
        <v>0</v>
      </c>
      <c r="Z229" s="58" t="e">
        <f>Saisie!#REF!</f>
        <v>#REF!</v>
      </c>
      <c r="AA229" s="299">
        <f>Saisie!Q229</f>
        <v>0</v>
      </c>
      <c r="AB229" s="63" t="e">
        <f t="array" ref="AB229">_xlfn.IFS(Saisie!R229="OUI",1,Saisie!R229="NON",0)</f>
        <v>#N/A</v>
      </c>
      <c r="AC229" s="63">
        <f>Saisie!S229</f>
        <v>0</v>
      </c>
      <c r="AD229" s="63" t="e">
        <f t="array" ref="AD229">_xlfn.IFS(Saisie!T229="OUI",1,Saisie!T229="NON",0)</f>
        <v>#N/A</v>
      </c>
      <c r="AE229" s="171">
        <f>Saisie!U229</f>
        <v>0</v>
      </c>
      <c r="AF229" s="262">
        <v>3</v>
      </c>
      <c r="AG229" s="129">
        <f>Saisie!W229</f>
        <v>0</v>
      </c>
      <c r="AH229" s="20">
        <f>Saisie!X229</f>
        <v>0</v>
      </c>
      <c r="AI229" s="21">
        <f>Saisie!Y229</f>
        <v>0</v>
      </c>
      <c r="AJ229" s="59">
        <f>Saisie!Z229</f>
        <v>0</v>
      </c>
      <c r="AK229" s="20">
        <f>Saisie!AA229</f>
        <v>0</v>
      </c>
      <c r="AL229" s="21">
        <f>Saisie!AB229</f>
        <v>0</v>
      </c>
      <c r="AM229" s="59">
        <f>Saisie!AC229</f>
        <v>0</v>
      </c>
      <c r="AN229" s="20">
        <f>Saisie!AD229</f>
        <v>0</v>
      </c>
      <c r="AO229" s="21">
        <f>Saisie!AE229</f>
        <v>0</v>
      </c>
      <c r="AP229" s="59">
        <f>Saisie!AF229</f>
        <v>0</v>
      </c>
      <c r="AQ229" s="129" t="e">
        <f t="array" ref="AQ229">_xlfn.IFS(Saisie!AG229="OUI",1,Saisie!AG229="NON",0)</f>
        <v>#N/A</v>
      </c>
      <c r="AR229" s="129" t="e">
        <f t="array" ref="AR229">_xlfn.IFS(Saisie!AH229="OUI",1,Saisie!AH229="NON",0)</f>
        <v>#N/A</v>
      </c>
      <c r="AS229" s="171">
        <f>Saisie!AI229</f>
        <v>0</v>
      </c>
      <c r="AT229" s="263" t="e">
        <f t="array" ref="AT229">_xlfn.IFS(Saisie!AJ229="OUI",1,Saisie!AJ229="NON",0)</f>
        <v>#N/A</v>
      </c>
      <c r="AU229" s="173">
        <f>Saisie!AK229</f>
        <v>0</v>
      </c>
      <c r="AV229" s="263" t="e">
        <f t="array" ref="AV229">_xlfn.IFS(Saisie!AL229="OUI",1,Saisie!AL229="NON",0)</f>
        <v>#N/A</v>
      </c>
      <c r="AW229" s="171">
        <f>Saisie!AM229</f>
        <v>0</v>
      </c>
      <c r="AX229" s="68">
        <f>Saisie!AN229</f>
        <v>0</v>
      </c>
      <c r="AY229" s="20">
        <f>Saisie!AO229</f>
        <v>0</v>
      </c>
      <c r="AZ229" s="21">
        <f>Saisie!AP229</f>
        <v>0</v>
      </c>
      <c r="BA229" s="298">
        <f>Saisie!AQ229</f>
        <v>0</v>
      </c>
      <c r="BB229" s="170">
        <f>Saisie!AR229</f>
        <v>0</v>
      </c>
      <c r="BC229" s="174">
        <f>Saisie!AS229</f>
        <v>0</v>
      </c>
      <c r="BD229" s="61">
        <f>Saisie!AT229</f>
        <v>0</v>
      </c>
      <c r="BE229" s="175" t="e">
        <f t="array" ref="BE229">_xlfn.IFS(Saisie!AU229="OUI",1,Saisie!AU229="NON",0)</f>
        <v>#N/A</v>
      </c>
      <c r="BF229" s="267">
        <f>Saisie!AV229</f>
        <v>0</v>
      </c>
      <c r="BG229" s="55">
        <f>Saisie!AW229</f>
        <v>0</v>
      </c>
      <c r="BH229" s="55" t="e">
        <f t="array" ref="BH229">_xlfn.IFS(Saisie!AX229="OUI",1,Saisie!AX229="NON",0)</f>
        <v>#N/A</v>
      </c>
      <c r="BI229" s="62">
        <f>Saisie!AY229</f>
        <v>0</v>
      </c>
      <c r="BJ229" s="55" t="e">
        <f t="array" ref="BJ229">_xlfn.IFS(Saisie!AZ229="OUI",1,Saisie!AZ229="NON",0)</f>
        <v>#N/A</v>
      </c>
      <c r="BK229" s="55" t="e">
        <f t="array" ref="BK229">_xlfn.IFS(Saisie!BA229="OUI",1,Saisie!BA229="NON",0)</f>
        <v>#N/A</v>
      </c>
      <c r="BL229" s="55">
        <f>Saisie!BB229</f>
        <v>0</v>
      </c>
      <c r="BM229" s="49" t="e">
        <f>Saisie!BC229</f>
        <v>#REF!</v>
      </c>
      <c r="BN229" s="175"/>
    </row>
    <row r="230" spans="1:66" s="176" customFormat="1" x14ac:dyDescent="0.45">
      <c r="A230" s="13">
        <v>224</v>
      </c>
      <c r="B230" s="150">
        <f>Saisie!B230</f>
        <v>0</v>
      </c>
      <c r="C230" s="150">
        <f>Saisie!C230</f>
        <v>0</v>
      </c>
      <c r="D230" s="150">
        <f>Saisie!D230</f>
        <v>0</v>
      </c>
      <c r="E230" s="150">
        <f>Saisie!E230</f>
        <v>0</v>
      </c>
      <c r="F230" s="150">
        <f>Saisie!F230</f>
        <v>0</v>
      </c>
      <c r="G230" s="150">
        <f>Saisie!G230</f>
        <v>0</v>
      </c>
      <c r="H230" s="150">
        <f>Saisie!I230</f>
        <v>0</v>
      </c>
      <c r="I230" s="150">
        <f>Saisie!J230</f>
        <v>0</v>
      </c>
      <c r="J230" s="150">
        <f>Saisie!K230</f>
        <v>0</v>
      </c>
      <c r="K230" s="150">
        <f>Saisie!L230</f>
        <v>0</v>
      </c>
      <c r="L230" s="150" t="e">
        <f>Saisie!#REF!</f>
        <v>#REF!</v>
      </c>
      <c r="M230" s="55" t="e">
        <f t="array" ref="M230">_xlfn.IFS(Saisie!M230="OUI",1,Saisie!M230="NON",0)</f>
        <v>#N/A</v>
      </c>
      <c r="N230" s="64" t="e">
        <f>Saisie!#REF!</f>
        <v>#REF!</v>
      </c>
      <c r="O230" s="63" t="e">
        <f>Saisie!#REF!</f>
        <v>#REF!</v>
      </c>
      <c r="P230" s="63">
        <f>Saisie!N230</f>
        <v>0</v>
      </c>
      <c r="Q230" s="63" t="e">
        <f t="array" ref="Q230">_xlfn.IFS(Saisie!#REF!="OUI",1,Saisie!#REF!="NON",0)</f>
        <v>#REF!</v>
      </c>
      <c r="R230" s="63" t="e">
        <f>Saisie!#REF!</f>
        <v>#REF!</v>
      </c>
      <c r="S230" s="65" t="e">
        <f>Saisie!#REF!</f>
        <v>#REF!</v>
      </c>
      <c r="T230" s="63" t="e">
        <f>Saisie!#REF!</f>
        <v>#REF!</v>
      </c>
      <c r="U230" s="63" t="e">
        <f>Saisie!#REF!</f>
        <v>#REF!</v>
      </c>
      <c r="V230" s="63" t="e">
        <f t="array" ref="V230">_xlfn.IFS(Saisie!#REF!="OUI",1,Saisie!#REF!="NON",0)</f>
        <v>#REF!</v>
      </c>
      <c r="W230" s="63" t="e">
        <f t="array" ref="W230">_xlfn.IFS(Saisie!O230="OUI",1,Saisie!O230="NON",0)</f>
        <v>#N/A</v>
      </c>
      <c r="X230" s="63">
        <f>Saisie!P230</f>
        <v>0</v>
      </c>
      <c r="Y230" s="299">
        <f>Saisie!H230</f>
        <v>0</v>
      </c>
      <c r="Z230" s="58" t="e">
        <f>Saisie!#REF!</f>
        <v>#REF!</v>
      </c>
      <c r="AA230" s="299">
        <f>Saisie!Q230</f>
        <v>0</v>
      </c>
      <c r="AB230" s="63" t="e">
        <f t="array" ref="AB230">_xlfn.IFS(Saisie!R230="OUI",1,Saisie!R230="NON",0)</f>
        <v>#N/A</v>
      </c>
      <c r="AC230" s="63">
        <f>Saisie!S230</f>
        <v>0</v>
      </c>
      <c r="AD230" s="63" t="e">
        <f t="array" ref="AD230">_xlfn.IFS(Saisie!T230="OUI",1,Saisie!T230="NON",0)</f>
        <v>#N/A</v>
      </c>
      <c r="AE230" s="171">
        <f>Saisie!U230</f>
        <v>0</v>
      </c>
      <c r="AF230" s="262">
        <v>3</v>
      </c>
      <c r="AG230" s="129">
        <f>Saisie!W230</f>
        <v>0</v>
      </c>
      <c r="AH230" s="20">
        <f>Saisie!X230</f>
        <v>0</v>
      </c>
      <c r="AI230" s="21">
        <f>Saisie!Y230</f>
        <v>0</v>
      </c>
      <c r="AJ230" s="59">
        <f>Saisie!Z230</f>
        <v>0</v>
      </c>
      <c r="AK230" s="20">
        <f>Saisie!AA230</f>
        <v>0</v>
      </c>
      <c r="AL230" s="21">
        <f>Saisie!AB230</f>
        <v>0</v>
      </c>
      <c r="AM230" s="59">
        <f>Saisie!AC230</f>
        <v>0</v>
      </c>
      <c r="AN230" s="20">
        <f>Saisie!AD230</f>
        <v>0</v>
      </c>
      <c r="AO230" s="21">
        <f>Saisie!AE230</f>
        <v>0</v>
      </c>
      <c r="AP230" s="59">
        <f>Saisie!AF230</f>
        <v>0</v>
      </c>
      <c r="AQ230" s="129" t="e">
        <f t="array" ref="AQ230">_xlfn.IFS(Saisie!AG230="OUI",1,Saisie!AG230="NON",0)</f>
        <v>#N/A</v>
      </c>
      <c r="AR230" s="129" t="e">
        <f t="array" ref="AR230">_xlfn.IFS(Saisie!AH230="OUI",1,Saisie!AH230="NON",0)</f>
        <v>#N/A</v>
      </c>
      <c r="AS230" s="171">
        <f>Saisie!AI230</f>
        <v>0</v>
      </c>
      <c r="AT230" s="263" t="e">
        <f t="array" ref="AT230">_xlfn.IFS(Saisie!AJ230="OUI",1,Saisie!AJ230="NON",0)</f>
        <v>#N/A</v>
      </c>
      <c r="AU230" s="173">
        <f>Saisie!AK230</f>
        <v>0</v>
      </c>
      <c r="AV230" s="263" t="e">
        <f t="array" ref="AV230">_xlfn.IFS(Saisie!AL230="OUI",1,Saisie!AL230="NON",0)</f>
        <v>#N/A</v>
      </c>
      <c r="AW230" s="171">
        <f>Saisie!AM230</f>
        <v>0</v>
      </c>
      <c r="AX230" s="68">
        <f>Saisie!AN230</f>
        <v>0</v>
      </c>
      <c r="AY230" s="20">
        <f>Saisie!AO230</f>
        <v>0</v>
      </c>
      <c r="AZ230" s="21">
        <f>Saisie!AP230</f>
        <v>0</v>
      </c>
      <c r="BA230" s="298">
        <f>Saisie!AQ230</f>
        <v>0</v>
      </c>
      <c r="BB230" s="170">
        <f>Saisie!AR230</f>
        <v>0</v>
      </c>
      <c r="BC230" s="174">
        <f>Saisie!AS230</f>
        <v>0</v>
      </c>
      <c r="BD230" s="61">
        <f>Saisie!AT230</f>
        <v>0</v>
      </c>
      <c r="BE230" s="175" t="e">
        <f t="array" ref="BE230">_xlfn.IFS(Saisie!AU230="OUI",1,Saisie!AU230="NON",0)</f>
        <v>#N/A</v>
      </c>
      <c r="BF230" s="267">
        <f>Saisie!AV230</f>
        <v>0</v>
      </c>
      <c r="BG230" s="55">
        <f>Saisie!AW230</f>
        <v>0</v>
      </c>
      <c r="BH230" s="55" t="e">
        <f t="array" ref="BH230">_xlfn.IFS(Saisie!AX230="OUI",1,Saisie!AX230="NON",0)</f>
        <v>#N/A</v>
      </c>
      <c r="BI230" s="62">
        <f>Saisie!AY230</f>
        <v>0</v>
      </c>
      <c r="BJ230" s="55" t="e">
        <f t="array" ref="BJ230">_xlfn.IFS(Saisie!AZ230="OUI",1,Saisie!AZ230="NON",0)</f>
        <v>#N/A</v>
      </c>
      <c r="BK230" s="55" t="e">
        <f t="array" ref="BK230">_xlfn.IFS(Saisie!BA230="OUI",1,Saisie!BA230="NON",0)</f>
        <v>#N/A</v>
      </c>
      <c r="BL230" s="55">
        <f>Saisie!BB230</f>
        <v>0</v>
      </c>
      <c r="BM230" s="49" t="e">
        <f>Saisie!BC230</f>
        <v>#REF!</v>
      </c>
      <c r="BN230" s="175"/>
    </row>
    <row r="231" spans="1:66" s="176" customFormat="1" x14ac:dyDescent="0.45">
      <c r="A231" s="13">
        <v>225</v>
      </c>
      <c r="B231" s="150">
        <f>Saisie!B231</f>
        <v>0</v>
      </c>
      <c r="C231" s="150">
        <f>Saisie!C231</f>
        <v>0</v>
      </c>
      <c r="D231" s="150">
        <f>Saisie!D231</f>
        <v>0</v>
      </c>
      <c r="E231" s="150">
        <f>Saisie!E231</f>
        <v>0</v>
      </c>
      <c r="F231" s="150">
        <f>Saisie!F231</f>
        <v>0</v>
      </c>
      <c r="G231" s="150">
        <f>Saisie!G231</f>
        <v>0</v>
      </c>
      <c r="H231" s="150">
        <f>Saisie!I231</f>
        <v>0</v>
      </c>
      <c r="I231" s="150">
        <f>Saisie!J231</f>
        <v>0</v>
      </c>
      <c r="J231" s="150">
        <f>Saisie!K231</f>
        <v>0</v>
      </c>
      <c r="K231" s="150">
        <f>Saisie!L231</f>
        <v>0</v>
      </c>
      <c r="L231" s="150" t="e">
        <f>Saisie!#REF!</f>
        <v>#REF!</v>
      </c>
      <c r="M231" s="55" t="e">
        <f t="array" ref="M231">_xlfn.IFS(Saisie!M231="OUI",1,Saisie!M231="NON",0)</f>
        <v>#N/A</v>
      </c>
      <c r="N231" s="64" t="e">
        <f>Saisie!#REF!</f>
        <v>#REF!</v>
      </c>
      <c r="O231" s="63" t="e">
        <f>Saisie!#REF!</f>
        <v>#REF!</v>
      </c>
      <c r="P231" s="63">
        <f>Saisie!N231</f>
        <v>0</v>
      </c>
      <c r="Q231" s="63" t="e">
        <f t="array" ref="Q231">_xlfn.IFS(Saisie!#REF!="OUI",1,Saisie!#REF!="NON",0)</f>
        <v>#REF!</v>
      </c>
      <c r="R231" s="63" t="e">
        <f>Saisie!#REF!</f>
        <v>#REF!</v>
      </c>
      <c r="S231" s="65" t="e">
        <f>Saisie!#REF!</f>
        <v>#REF!</v>
      </c>
      <c r="T231" s="63" t="e">
        <f>Saisie!#REF!</f>
        <v>#REF!</v>
      </c>
      <c r="U231" s="63" t="e">
        <f>Saisie!#REF!</f>
        <v>#REF!</v>
      </c>
      <c r="V231" s="63" t="e">
        <f t="array" ref="V231">_xlfn.IFS(Saisie!#REF!="OUI",1,Saisie!#REF!="NON",0)</f>
        <v>#REF!</v>
      </c>
      <c r="W231" s="63" t="e">
        <f t="array" ref="W231">_xlfn.IFS(Saisie!O231="OUI",1,Saisie!O231="NON",0)</f>
        <v>#N/A</v>
      </c>
      <c r="X231" s="63">
        <f>Saisie!P231</f>
        <v>0</v>
      </c>
      <c r="Y231" s="299">
        <f>Saisie!H231</f>
        <v>0</v>
      </c>
      <c r="Z231" s="58" t="e">
        <f>Saisie!#REF!</f>
        <v>#REF!</v>
      </c>
      <c r="AA231" s="299">
        <f>Saisie!Q231</f>
        <v>0</v>
      </c>
      <c r="AB231" s="63" t="e">
        <f t="array" ref="AB231">_xlfn.IFS(Saisie!R231="OUI",1,Saisie!R231="NON",0)</f>
        <v>#N/A</v>
      </c>
      <c r="AC231" s="63">
        <f>Saisie!S231</f>
        <v>0</v>
      </c>
      <c r="AD231" s="63" t="e">
        <f t="array" ref="AD231">_xlfn.IFS(Saisie!T231="OUI",1,Saisie!T231="NON",0)</f>
        <v>#N/A</v>
      </c>
      <c r="AE231" s="171">
        <f>Saisie!U231</f>
        <v>0</v>
      </c>
      <c r="AF231" s="262">
        <v>3</v>
      </c>
      <c r="AG231" s="129">
        <f>Saisie!W231</f>
        <v>0</v>
      </c>
      <c r="AH231" s="20">
        <f>Saisie!X231</f>
        <v>0</v>
      </c>
      <c r="AI231" s="21">
        <f>Saisie!Y231</f>
        <v>0</v>
      </c>
      <c r="AJ231" s="59">
        <f>Saisie!Z231</f>
        <v>0</v>
      </c>
      <c r="AK231" s="20">
        <f>Saisie!AA231</f>
        <v>0</v>
      </c>
      <c r="AL231" s="21">
        <f>Saisie!AB231</f>
        <v>0</v>
      </c>
      <c r="AM231" s="59">
        <f>Saisie!AC231</f>
        <v>0</v>
      </c>
      <c r="AN231" s="20">
        <f>Saisie!AD231</f>
        <v>0</v>
      </c>
      <c r="AO231" s="21">
        <f>Saisie!AE231</f>
        <v>0</v>
      </c>
      <c r="AP231" s="59">
        <f>Saisie!AF231</f>
        <v>0</v>
      </c>
      <c r="AQ231" s="129" t="e">
        <f t="array" ref="AQ231">_xlfn.IFS(Saisie!AG231="OUI",1,Saisie!AG231="NON",0)</f>
        <v>#N/A</v>
      </c>
      <c r="AR231" s="129" t="e">
        <f t="array" ref="AR231">_xlfn.IFS(Saisie!AH231="OUI",1,Saisie!AH231="NON",0)</f>
        <v>#N/A</v>
      </c>
      <c r="AS231" s="171">
        <f>Saisie!AI231</f>
        <v>0</v>
      </c>
      <c r="AT231" s="263" t="e">
        <f t="array" ref="AT231">_xlfn.IFS(Saisie!AJ231="OUI",1,Saisie!AJ231="NON",0)</f>
        <v>#N/A</v>
      </c>
      <c r="AU231" s="173">
        <f>Saisie!AK231</f>
        <v>0</v>
      </c>
      <c r="AV231" s="263" t="e">
        <f t="array" ref="AV231">_xlfn.IFS(Saisie!AL231="OUI",1,Saisie!AL231="NON",0)</f>
        <v>#N/A</v>
      </c>
      <c r="AW231" s="171">
        <f>Saisie!AM231</f>
        <v>0</v>
      </c>
      <c r="AX231" s="68">
        <f>Saisie!AN231</f>
        <v>0</v>
      </c>
      <c r="AY231" s="20">
        <f>Saisie!AO231</f>
        <v>0</v>
      </c>
      <c r="AZ231" s="21">
        <f>Saisie!AP231</f>
        <v>0</v>
      </c>
      <c r="BA231" s="298">
        <f>Saisie!AQ231</f>
        <v>0</v>
      </c>
      <c r="BB231" s="170">
        <f>Saisie!AR231</f>
        <v>0</v>
      </c>
      <c r="BC231" s="174">
        <f>Saisie!AS231</f>
        <v>0</v>
      </c>
      <c r="BD231" s="61">
        <f>Saisie!AT231</f>
        <v>0</v>
      </c>
      <c r="BE231" s="175" t="e">
        <f t="array" ref="BE231">_xlfn.IFS(Saisie!AU231="OUI",1,Saisie!AU231="NON",0)</f>
        <v>#N/A</v>
      </c>
      <c r="BF231" s="267">
        <f>Saisie!AV231</f>
        <v>0</v>
      </c>
      <c r="BG231" s="55">
        <f>Saisie!AW231</f>
        <v>0</v>
      </c>
      <c r="BH231" s="55" t="e">
        <f t="array" ref="BH231">_xlfn.IFS(Saisie!AX231="OUI",1,Saisie!AX231="NON",0)</f>
        <v>#N/A</v>
      </c>
      <c r="BI231" s="62">
        <f>Saisie!AY231</f>
        <v>0</v>
      </c>
      <c r="BJ231" s="55" t="e">
        <f t="array" ref="BJ231">_xlfn.IFS(Saisie!AZ231="OUI",1,Saisie!AZ231="NON",0)</f>
        <v>#N/A</v>
      </c>
      <c r="BK231" s="55" t="e">
        <f t="array" ref="BK231">_xlfn.IFS(Saisie!BA231="OUI",1,Saisie!BA231="NON",0)</f>
        <v>#N/A</v>
      </c>
      <c r="BL231" s="55">
        <f>Saisie!BB231</f>
        <v>0</v>
      </c>
      <c r="BM231" s="49" t="e">
        <f>Saisie!BC231</f>
        <v>#REF!</v>
      </c>
      <c r="BN231" s="175"/>
    </row>
    <row r="232" spans="1:66" s="176" customFormat="1" x14ac:dyDescent="0.45">
      <c r="A232" s="12">
        <v>226</v>
      </c>
      <c r="B232" s="150">
        <f>Saisie!B232</f>
        <v>0</v>
      </c>
      <c r="C232" s="150">
        <f>Saisie!C232</f>
        <v>0</v>
      </c>
      <c r="D232" s="150">
        <f>Saisie!D232</f>
        <v>0</v>
      </c>
      <c r="E232" s="150">
        <f>Saisie!E232</f>
        <v>0</v>
      </c>
      <c r="F232" s="150">
        <f>Saisie!F232</f>
        <v>0</v>
      </c>
      <c r="G232" s="150">
        <f>Saisie!G232</f>
        <v>0</v>
      </c>
      <c r="H232" s="150">
        <f>Saisie!I232</f>
        <v>0</v>
      </c>
      <c r="I232" s="150">
        <f>Saisie!J232</f>
        <v>0</v>
      </c>
      <c r="J232" s="150">
        <f>Saisie!K232</f>
        <v>0</v>
      </c>
      <c r="K232" s="150">
        <f>Saisie!L232</f>
        <v>0</v>
      </c>
      <c r="L232" s="150" t="e">
        <f>Saisie!#REF!</f>
        <v>#REF!</v>
      </c>
      <c r="M232" s="55" t="e">
        <f t="array" ref="M232">_xlfn.IFS(Saisie!M232="OUI",1,Saisie!M232="NON",0)</f>
        <v>#N/A</v>
      </c>
      <c r="N232" s="64" t="e">
        <f>Saisie!#REF!</f>
        <v>#REF!</v>
      </c>
      <c r="O232" s="63" t="e">
        <f>Saisie!#REF!</f>
        <v>#REF!</v>
      </c>
      <c r="P232" s="63">
        <f>Saisie!N232</f>
        <v>0</v>
      </c>
      <c r="Q232" s="63" t="e">
        <f t="array" ref="Q232">_xlfn.IFS(Saisie!#REF!="OUI",1,Saisie!#REF!="NON",0)</f>
        <v>#REF!</v>
      </c>
      <c r="R232" s="63" t="e">
        <f>Saisie!#REF!</f>
        <v>#REF!</v>
      </c>
      <c r="S232" s="65" t="e">
        <f>Saisie!#REF!</f>
        <v>#REF!</v>
      </c>
      <c r="T232" s="63" t="e">
        <f>Saisie!#REF!</f>
        <v>#REF!</v>
      </c>
      <c r="U232" s="63" t="e">
        <f>Saisie!#REF!</f>
        <v>#REF!</v>
      </c>
      <c r="V232" s="63" t="e">
        <f t="array" ref="V232">_xlfn.IFS(Saisie!#REF!="OUI",1,Saisie!#REF!="NON",0)</f>
        <v>#REF!</v>
      </c>
      <c r="W232" s="63" t="e">
        <f t="array" ref="W232">_xlfn.IFS(Saisie!O232="OUI",1,Saisie!O232="NON",0)</f>
        <v>#N/A</v>
      </c>
      <c r="X232" s="63">
        <f>Saisie!P232</f>
        <v>0</v>
      </c>
      <c r="Y232" s="299">
        <f>Saisie!H232</f>
        <v>0</v>
      </c>
      <c r="Z232" s="58" t="e">
        <f>Saisie!#REF!</f>
        <v>#REF!</v>
      </c>
      <c r="AA232" s="299">
        <f>Saisie!Q232</f>
        <v>0</v>
      </c>
      <c r="AB232" s="63" t="e">
        <f t="array" ref="AB232">_xlfn.IFS(Saisie!R232="OUI",1,Saisie!R232="NON",0)</f>
        <v>#N/A</v>
      </c>
      <c r="AC232" s="63">
        <f>Saisie!S232</f>
        <v>0</v>
      </c>
      <c r="AD232" s="63" t="e">
        <f t="array" ref="AD232">_xlfn.IFS(Saisie!T232="OUI",1,Saisie!T232="NON",0)</f>
        <v>#N/A</v>
      </c>
      <c r="AE232" s="171">
        <f>Saisie!U232</f>
        <v>0</v>
      </c>
      <c r="AF232" s="262">
        <v>3</v>
      </c>
      <c r="AG232" s="129">
        <f>Saisie!W232</f>
        <v>0</v>
      </c>
      <c r="AH232" s="20">
        <f>Saisie!X232</f>
        <v>0</v>
      </c>
      <c r="AI232" s="21">
        <f>Saisie!Y232</f>
        <v>0</v>
      </c>
      <c r="AJ232" s="59">
        <f>Saisie!Z232</f>
        <v>0</v>
      </c>
      <c r="AK232" s="20">
        <f>Saisie!AA232</f>
        <v>0</v>
      </c>
      <c r="AL232" s="21">
        <f>Saisie!AB232</f>
        <v>0</v>
      </c>
      <c r="AM232" s="59">
        <f>Saisie!AC232</f>
        <v>0</v>
      </c>
      <c r="AN232" s="20">
        <f>Saisie!AD232</f>
        <v>0</v>
      </c>
      <c r="AO232" s="21">
        <f>Saisie!AE232</f>
        <v>0</v>
      </c>
      <c r="AP232" s="59">
        <f>Saisie!AF232</f>
        <v>0</v>
      </c>
      <c r="AQ232" s="129" t="e">
        <f t="array" ref="AQ232">_xlfn.IFS(Saisie!AG232="OUI",1,Saisie!AG232="NON",0)</f>
        <v>#N/A</v>
      </c>
      <c r="AR232" s="129" t="e">
        <f t="array" ref="AR232">_xlfn.IFS(Saisie!AH232="OUI",1,Saisie!AH232="NON",0)</f>
        <v>#N/A</v>
      </c>
      <c r="AS232" s="171">
        <f>Saisie!AI232</f>
        <v>0</v>
      </c>
      <c r="AT232" s="263" t="e">
        <f t="array" ref="AT232">_xlfn.IFS(Saisie!AJ232="OUI",1,Saisie!AJ232="NON",0)</f>
        <v>#N/A</v>
      </c>
      <c r="AU232" s="173">
        <f>Saisie!AK232</f>
        <v>0</v>
      </c>
      <c r="AV232" s="263" t="e">
        <f t="array" ref="AV232">_xlfn.IFS(Saisie!AL232="OUI",1,Saisie!AL232="NON",0)</f>
        <v>#N/A</v>
      </c>
      <c r="AW232" s="171">
        <f>Saisie!AM232</f>
        <v>0</v>
      </c>
      <c r="AX232" s="68">
        <f>Saisie!AN232</f>
        <v>0</v>
      </c>
      <c r="AY232" s="20">
        <f>Saisie!AO232</f>
        <v>0</v>
      </c>
      <c r="AZ232" s="21">
        <f>Saisie!AP232</f>
        <v>0</v>
      </c>
      <c r="BA232" s="298">
        <f>Saisie!AQ232</f>
        <v>0</v>
      </c>
      <c r="BB232" s="170">
        <f>Saisie!AR232</f>
        <v>0</v>
      </c>
      <c r="BC232" s="174">
        <f>Saisie!AS232</f>
        <v>0</v>
      </c>
      <c r="BD232" s="61">
        <f>Saisie!AT232</f>
        <v>0</v>
      </c>
      <c r="BE232" s="175" t="e">
        <f t="array" ref="BE232">_xlfn.IFS(Saisie!AU232="OUI",1,Saisie!AU232="NON",0)</f>
        <v>#N/A</v>
      </c>
      <c r="BF232" s="267">
        <f>Saisie!AV232</f>
        <v>0</v>
      </c>
      <c r="BG232" s="55">
        <f>Saisie!AW232</f>
        <v>0</v>
      </c>
      <c r="BH232" s="55" t="e">
        <f t="array" ref="BH232">_xlfn.IFS(Saisie!AX232="OUI",1,Saisie!AX232="NON",0)</f>
        <v>#N/A</v>
      </c>
      <c r="BI232" s="62">
        <f>Saisie!AY232</f>
        <v>0</v>
      </c>
      <c r="BJ232" s="55" t="e">
        <f t="array" ref="BJ232">_xlfn.IFS(Saisie!AZ232="OUI",1,Saisie!AZ232="NON",0)</f>
        <v>#N/A</v>
      </c>
      <c r="BK232" s="55" t="e">
        <f t="array" ref="BK232">_xlfn.IFS(Saisie!BA232="OUI",1,Saisie!BA232="NON",0)</f>
        <v>#N/A</v>
      </c>
      <c r="BL232" s="55">
        <f>Saisie!BB232</f>
        <v>0</v>
      </c>
      <c r="BM232" s="49" t="e">
        <f>Saisie!BC232</f>
        <v>#REF!</v>
      </c>
      <c r="BN232" s="175"/>
    </row>
    <row r="233" spans="1:66" s="176" customFormat="1" x14ac:dyDescent="0.45">
      <c r="A233" s="13">
        <v>227</v>
      </c>
      <c r="B233" s="150">
        <f>Saisie!B233</f>
        <v>0</v>
      </c>
      <c r="C233" s="150">
        <f>Saisie!C233</f>
        <v>0</v>
      </c>
      <c r="D233" s="150">
        <f>Saisie!D233</f>
        <v>0</v>
      </c>
      <c r="E233" s="150">
        <f>Saisie!E233</f>
        <v>0</v>
      </c>
      <c r="F233" s="150">
        <f>Saisie!F233</f>
        <v>0</v>
      </c>
      <c r="G233" s="150">
        <f>Saisie!G233</f>
        <v>0</v>
      </c>
      <c r="H233" s="150">
        <f>Saisie!I233</f>
        <v>0</v>
      </c>
      <c r="I233" s="150">
        <f>Saisie!J233</f>
        <v>0</v>
      </c>
      <c r="J233" s="150">
        <f>Saisie!K233</f>
        <v>0</v>
      </c>
      <c r="K233" s="150">
        <f>Saisie!L233</f>
        <v>0</v>
      </c>
      <c r="L233" s="150" t="e">
        <f>Saisie!#REF!</f>
        <v>#REF!</v>
      </c>
      <c r="M233" s="55" t="e">
        <f t="array" ref="M233">_xlfn.IFS(Saisie!M233="OUI",1,Saisie!M233="NON",0)</f>
        <v>#N/A</v>
      </c>
      <c r="N233" s="64" t="e">
        <f>Saisie!#REF!</f>
        <v>#REF!</v>
      </c>
      <c r="O233" s="63" t="e">
        <f>Saisie!#REF!</f>
        <v>#REF!</v>
      </c>
      <c r="P233" s="63">
        <f>Saisie!N233</f>
        <v>0</v>
      </c>
      <c r="Q233" s="63" t="e">
        <f t="array" ref="Q233">_xlfn.IFS(Saisie!#REF!="OUI",1,Saisie!#REF!="NON",0)</f>
        <v>#REF!</v>
      </c>
      <c r="R233" s="63" t="e">
        <f>Saisie!#REF!</f>
        <v>#REF!</v>
      </c>
      <c r="S233" s="65" t="e">
        <f>Saisie!#REF!</f>
        <v>#REF!</v>
      </c>
      <c r="T233" s="63" t="e">
        <f>Saisie!#REF!</f>
        <v>#REF!</v>
      </c>
      <c r="U233" s="63" t="e">
        <f>Saisie!#REF!</f>
        <v>#REF!</v>
      </c>
      <c r="V233" s="63" t="e">
        <f t="array" ref="V233">_xlfn.IFS(Saisie!#REF!="OUI",1,Saisie!#REF!="NON",0)</f>
        <v>#REF!</v>
      </c>
      <c r="W233" s="63" t="e">
        <f t="array" ref="W233">_xlfn.IFS(Saisie!O233="OUI",1,Saisie!O233="NON",0)</f>
        <v>#N/A</v>
      </c>
      <c r="X233" s="63">
        <f>Saisie!P233</f>
        <v>0</v>
      </c>
      <c r="Y233" s="299">
        <f>Saisie!H233</f>
        <v>0</v>
      </c>
      <c r="Z233" s="58" t="e">
        <f>Saisie!#REF!</f>
        <v>#REF!</v>
      </c>
      <c r="AA233" s="299">
        <f>Saisie!Q233</f>
        <v>0</v>
      </c>
      <c r="AB233" s="63" t="e">
        <f t="array" ref="AB233">_xlfn.IFS(Saisie!R233="OUI",1,Saisie!R233="NON",0)</f>
        <v>#N/A</v>
      </c>
      <c r="AC233" s="63">
        <f>Saisie!S233</f>
        <v>0</v>
      </c>
      <c r="AD233" s="63" t="e">
        <f t="array" ref="AD233">_xlfn.IFS(Saisie!T233="OUI",1,Saisie!T233="NON",0)</f>
        <v>#N/A</v>
      </c>
      <c r="AE233" s="171">
        <f>Saisie!U233</f>
        <v>0</v>
      </c>
      <c r="AF233" s="262">
        <v>3</v>
      </c>
      <c r="AG233" s="129">
        <f>Saisie!W233</f>
        <v>0</v>
      </c>
      <c r="AH233" s="20">
        <f>Saisie!X233</f>
        <v>0</v>
      </c>
      <c r="AI233" s="21">
        <f>Saisie!Y233</f>
        <v>0</v>
      </c>
      <c r="AJ233" s="59">
        <f>Saisie!Z233</f>
        <v>0</v>
      </c>
      <c r="AK233" s="20">
        <f>Saisie!AA233</f>
        <v>0</v>
      </c>
      <c r="AL233" s="21">
        <f>Saisie!AB233</f>
        <v>0</v>
      </c>
      <c r="AM233" s="59">
        <f>Saisie!AC233</f>
        <v>0</v>
      </c>
      <c r="AN233" s="20">
        <f>Saisie!AD233</f>
        <v>0</v>
      </c>
      <c r="AO233" s="21">
        <f>Saisie!AE233</f>
        <v>0</v>
      </c>
      <c r="AP233" s="59">
        <f>Saisie!AF233</f>
        <v>0</v>
      </c>
      <c r="AQ233" s="129" t="e">
        <f t="array" ref="AQ233">_xlfn.IFS(Saisie!AG233="OUI",1,Saisie!AG233="NON",0)</f>
        <v>#N/A</v>
      </c>
      <c r="AR233" s="129" t="e">
        <f t="array" ref="AR233">_xlfn.IFS(Saisie!AH233="OUI",1,Saisie!AH233="NON",0)</f>
        <v>#N/A</v>
      </c>
      <c r="AS233" s="171">
        <f>Saisie!AI233</f>
        <v>0</v>
      </c>
      <c r="AT233" s="263" t="e">
        <f t="array" ref="AT233">_xlfn.IFS(Saisie!AJ233="OUI",1,Saisie!AJ233="NON",0)</f>
        <v>#N/A</v>
      </c>
      <c r="AU233" s="173">
        <f>Saisie!AK233</f>
        <v>0</v>
      </c>
      <c r="AV233" s="263" t="e">
        <f t="array" ref="AV233">_xlfn.IFS(Saisie!AL233="OUI",1,Saisie!AL233="NON",0)</f>
        <v>#N/A</v>
      </c>
      <c r="AW233" s="171">
        <f>Saisie!AM233</f>
        <v>0</v>
      </c>
      <c r="AX233" s="68">
        <f>Saisie!AN233</f>
        <v>0</v>
      </c>
      <c r="AY233" s="20">
        <f>Saisie!AO233</f>
        <v>0</v>
      </c>
      <c r="AZ233" s="21">
        <f>Saisie!AP233</f>
        <v>0</v>
      </c>
      <c r="BA233" s="298">
        <f>Saisie!AQ233</f>
        <v>0</v>
      </c>
      <c r="BB233" s="170">
        <f>Saisie!AR233</f>
        <v>0</v>
      </c>
      <c r="BC233" s="174">
        <f>Saisie!AS233</f>
        <v>0</v>
      </c>
      <c r="BD233" s="61">
        <f>Saisie!AT233</f>
        <v>0</v>
      </c>
      <c r="BE233" s="175" t="e">
        <f t="array" ref="BE233">_xlfn.IFS(Saisie!AU233="OUI",1,Saisie!AU233="NON",0)</f>
        <v>#N/A</v>
      </c>
      <c r="BF233" s="267">
        <f>Saisie!AV233</f>
        <v>0</v>
      </c>
      <c r="BG233" s="55">
        <f>Saisie!AW233</f>
        <v>0</v>
      </c>
      <c r="BH233" s="55" t="e">
        <f t="array" ref="BH233">_xlfn.IFS(Saisie!AX233="OUI",1,Saisie!AX233="NON",0)</f>
        <v>#N/A</v>
      </c>
      <c r="BI233" s="62">
        <f>Saisie!AY233</f>
        <v>0</v>
      </c>
      <c r="BJ233" s="55" t="e">
        <f t="array" ref="BJ233">_xlfn.IFS(Saisie!AZ233="OUI",1,Saisie!AZ233="NON",0)</f>
        <v>#N/A</v>
      </c>
      <c r="BK233" s="55" t="e">
        <f t="array" ref="BK233">_xlfn.IFS(Saisie!BA233="OUI",1,Saisie!BA233="NON",0)</f>
        <v>#N/A</v>
      </c>
      <c r="BL233" s="55">
        <f>Saisie!BB233</f>
        <v>0</v>
      </c>
      <c r="BM233" s="49" t="e">
        <f>Saisie!BC233</f>
        <v>#REF!</v>
      </c>
      <c r="BN233" s="175"/>
    </row>
    <row r="234" spans="1:66" s="176" customFormat="1" x14ac:dyDescent="0.45">
      <c r="A234" s="13">
        <v>228</v>
      </c>
      <c r="B234" s="150">
        <f>Saisie!B234</f>
        <v>0</v>
      </c>
      <c r="C234" s="150">
        <f>Saisie!C234</f>
        <v>0</v>
      </c>
      <c r="D234" s="150">
        <f>Saisie!D234</f>
        <v>0</v>
      </c>
      <c r="E234" s="150">
        <f>Saisie!E234</f>
        <v>0</v>
      </c>
      <c r="F234" s="150">
        <f>Saisie!F234</f>
        <v>0</v>
      </c>
      <c r="G234" s="150">
        <f>Saisie!G234</f>
        <v>0</v>
      </c>
      <c r="H234" s="150">
        <f>Saisie!I234</f>
        <v>0</v>
      </c>
      <c r="I234" s="150">
        <f>Saisie!J234</f>
        <v>0</v>
      </c>
      <c r="J234" s="150">
        <f>Saisie!K234</f>
        <v>0</v>
      </c>
      <c r="K234" s="150">
        <f>Saisie!L234</f>
        <v>0</v>
      </c>
      <c r="L234" s="150" t="e">
        <f>Saisie!#REF!</f>
        <v>#REF!</v>
      </c>
      <c r="M234" s="55" t="e">
        <f t="array" ref="M234">_xlfn.IFS(Saisie!M234="OUI",1,Saisie!M234="NON",0)</f>
        <v>#N/A</v>
      </c>
      <c r="N234" s="64" t="e">
        <f>Saisie!#REF!</f>
        <v>#REF!</v>
      </c>
      <c r="O234" s="63" t="e">
        <f>Saisie!#REF!</f>
        <v>#REF!</v>
      </c>
      <c r="P234" s="63">
        <f>Saisie!N234</f>
        <v>0</v>
      </c>
      <c r="Q234" s="63" t="e">
        <f t="array" ref="Q234">_xlfn.IFS(Saisie!#REF!="OUI",1,Saisie!#REF!="NON",0)</f>
        <v>#REF!</v>
      </c>
      <c r="R234" s="63" t="e">
        <f>Saisie!#REF!</f>
        <v>#REF!</v>
      </c>
      <c r="S234" s="65" t="e">
        <f>Saisie!#REF!</f>
        <v>#REF!</v>
      </c>
      <c r="T234" s="63" t="e">
        <f>Saisie!#REF!</f>
        <v>#REF!</v>
      </c>
      <c r="U234" s="63" t="e">
        <f>Saisie!#REF!</f>
        <v>#REF!</v>
      </c>
      <c r="V234" s="63" t="e">
        <f t="array" ref="V234">_xlfn.IFS(Saisie!#REF!="OUI",1,Saisie!#REF!="NON",0)</f>
        <v>#REF!</v>
      </c>
      <c r="W234" s="63" t="e">
        <f t="array" ref="W234">_xlfn.IFS(Saisie!O234="OUI",1,Saisie!O234="NON",0)</f>
        <v>#N/A</v>
      </c>
      <c r="X234" s="63">
        <f>Saisie!P234</f>
        <v>0</v>
      </c>
      <c r="Y234" s="299">
        <f>Saisie!H234</f>
        <v>0</v>
      </c>
      <c r="Z234" s="58" t="e">
        <f>Saisie!#REF!</f>
        <v>#REF!</v>
      </c>
      <c r="AA234" s="299">
        <f>Saisie!Q234</f>
        <v>0</v>
      </c>
      <c r="AB234" s="63" t="e">
        <f t="array" ref="AB234">_xlfn.IFS(Saisie!R234="OUI",1,Saisie!R234="NON",0)</f>
        <v>#N/A</v>
      </c>
      <c r="AC234" s="63">
        <f>Saisie!S234</f>
        <v>0</v>
      </c>
      <c r="AD234" s="63" t="e">
        <f t="array" ref="AD234">_xlfn.IFS(Saisie!T234="OUI",1,Saisie!T234="NON",0)</f>
        <v>#N/A</v>
      </c>
      <c r="AE234" s="171">
        <f>Saisie!U234</f>
        <v>0</v>
      </c>
      <c r="AF234" s="262">
        <v>3</v>
      </c>
      <c r="AG234" s="129">
        <f>Saisie!W234</f>
        <v>0</v>
      </c>
      <c r="AH234" s="20">
        <f>Saisie!X234</f>
        <v>0</v>
      </c>
      <c r="AI234" s="21">
        <f>Saisie!Y234</f>
        <v>0</v>
      </c>
      <c r="AJ234" s="59">
        <f>Saisie!Z234</f>
        <v>0</v>
      </c>
      <c r="AK234" s="20">
        <f>Saisie!AA234</f>
        <v>0</v>
      </c>
      <c r="AL234" s="21">
        <f>Saisie!AB234</f>
        <v>0</v>
      </c>
      <c r="AM234" s="59">
        <f>Saisie!AC234</f>
        <v>0</v>
      </c>
      <c r="AN234" s="20">
        <f>Saisie!AD234</f>
        <v>0</v>
      </c>
      <c r="AO234" s="21">
        <f>Saisie!AE234</f>
        <v>0</v>
      </c>
      <c r="AP234" s="59">
        <f>Saisie!AF234</f>
        <v>0</v>
      </c>
      <c r="AQ234" s="129" t="e">
        <f t="array" ref="AQ234">_xlfn.IFS(Saisie!AG234="OUI",1,Saisie!AG234="NON",0)</f>
        <v>#N/A</v>
      </c>
      <c r="AR234" s="129" t="e">
        <f t="array" ref="AR234">_xlfn.IFS(Saisie!AH234="OUI",1,Saisie!AH234="NON",0)</f>
        <v>#N/A</v>
      </c>
      <c r="AS234" s="171">
        <f>Saisie!AI234</f>
        <v>0</v>
      </c>
      <c r="AT234" s="263" t="e">
        <f t="array" ref="AT234">_xlfn.IFS(Saisie!AJ234="OUI",1,Saisie!AJ234="NON",0)</f>
        <v>#N/A</v>
      </c>
      <c r="AU234" s="173">
        <f>Saisie!AK234</f>
        <v>0</v>
      </c>
      <c r="AV234" s="263" t="e">
        <f t="array" ref="AV234">_xlfn.IFS(Saisie!AL234="OUI",1,Saisie!AL234="NON",0)</f>
        <v>#N/A</v>
      </c>
      <c r="AW234" s="171">
        <f>Saisie!AM234</f>
        <v>0</v>
      </c>
      <c r="AX234" s="68">
        <f>Saisie!AN234</f>
        <v>0</v>
      </c>
      <c r="AY234" s="20">
        <f>Saisie!AO234</f>
        <v>0</v>
      </c>
      <c r="AZ234" s="21">
        <f>Saisie!AP234</f>
        <v>0</v>
      </c>
      <c r="BA234" s="298">
        <f>Saisie!AQ234</f>
        <v>0</v>
      </c>
      <c r="BB234" s="170">
        <f>Saisie!AR234</f>
        <v>0</v>
      </c>
      <c r="BC234" s="174">
        <f>Saisie!AS234</f>
        <v>0</v>
      </c>
      <c r="BD234" s="61">
        <f>Saisie!AT234</f>
        <v>0</v>
      </c>
      <c r="BE234" s="175" t="e">
        <f t="array" ref="BE234">_xlfn.IFS(Saisie!AU234="OUI",1,Saisie!AU234="NON",0)</f>
        <v>#N/A</v>
      </c>
      <c r="BF234" s="267">
        <f>Saisie!AV234</f>
        <v>0</v>
      </c>
      <c r="BG234" s="55">
        <f>Saisie!AW234</f>
        <v>0</v>
      </c>
      <c r="BH234" s="55" t="e">
        <f t="array" ref="BH234">_xlfn.IFS(Saisie!AX234="OUI",1,Saisie!AX234="NON",0)</f>
        <v>#N/A</v>
      </c>
      <c r="BI234" s="62">
        <f>Saisie!AY234</f>
        <v>0</v>
      </c>
      <c r="BJ234" s="55" t="e">
        <f t="array" ref="BJ234">_xlfn.IFS(Saisie!AZ234="OUI",1,Saisie!AZ234="NON",0)</f>
        <v>#N/A</v>
      </c>
      <c r="BK234" s="55" t="e">
        <f t="array" ref="BK234">_xlfn.IFS(Saisie!BA234="OUI",1,Saisie!BA234="NON",0)</f>
        <v>#N/A</v>
      </c>
      <c r="BL234" s="55">
        <f>Saisie!BB234</f>
        <v>0</v>
      </c>
      <c r="BM234" s="49" t="e">
        <f>Saisie!BC234</f>
        <v>#REF!</v>
      </c>
      <c r="BN234" s="175"/>
    </row>
    <row r="235" spans="1:66" s="176" customFormat="1" x14ac:dyDescent="0.45">
      <c r="A235" s="12">
        <v>229</v>
      </c>
      <c r="B235" s="150">
        <f>Saisie!B235</f>
        <v>0</v>
      </c>
      <c r="C235" s="150">
        <f>Saisie!C235</f>
        <v>0</v>
      </c>
      <c r="D235" s="150">
        <f>Saisie!D235</f>
        <v>0</v>
      </c>
      <c r="E235" s="150">
        <f>Saisie!E235</f>
        <v>0</v>
      </c>
      <c r="F235" s="150">
        <f>Saisie!F235</f>
        <v>0</v>
      </c>
      <c r="G235" s="150">
        <f>Saisie!G235</f>
        <v>0</v>
      </c>
      <c r="H235" s="150">
        <f>Saisie!I235</f>
        <v>0</v>
      </c>
      <c r="I235" s="150">
        <f>Saisie!J235</f>
        <v>0</v>
      </c>
      <c r="J235" s="150">
        <f>Saisie!K235</f>
        <v>0</v>
      </c>
      <c r="K235" s="150">
        <f>Saisie!L235</f>
        <v>0</v>
      </c>
      <c r="L235" s="150" t="e">
        <f>Saisie!#REF!</f>
        <v>#REF!</v>
      </c>
      <c r="M235" s="55" t="e">
        <f t="array" ref="M235">_xlfn.IFS(Saisie!M235="OUI",1,Saisie!M235="NON",0)</f>
        <v>#N/A</v>
      </c>
      <c r="N235" s="64" t="e">
        <f>Saisie!#REF!</f>
        <v>#REF!</v>
      </c>
      <c r="O235" s="63" t="e">
        <f>Saisie!#REF!</f>
        <v>#REF!</v>
      </c>
      <c r="P235" s="63">
        <f>Saisie!N235</f>
        <v>0</v>
      </c>
      <c r="Q235" s="63" t="e">
        <f t="array" ref="Q235">_xlfn.IFS(Saisie!#REF!="OUI",1,Saisie!#REF!="NON",0)</f>
        <v>#REF!</v>
      </c>
      <c r="R235" s="63" t="e">
        <f>Saisie!#REF!</f>
        <v>#REF!</v>
      </c>
      <c r="S235" s="65" t="e">
        <f>Saisie!#REF!</f>
        <v>#REF!</v>
      </c>
      <c r="T235" s="63" t="e">
        <f>Saisie!#REF!</f>
        <v>#REF!</v>
      </c>
      <c r="U235" s="63" t="e">
        <f>Saisie!#REF!</f>
        <v>#REF!</v>
      </c>
      <c r="V235" s="63" t="e">
        <f t="array" ref="V235">_xlfn.IFS(Saisie!#REF!="OUI",1,Saisie!#REF!="NON",0)</f>
        <v>#REF!</v>
      </c>
      <c r="W235" s="63" t="e">
        <f t="array" ref="W235">_xlfn.IFS(Saisie!O235="OUI",1,Saisie!O235="NON",0)</f>
        <v>#N/A</v>
      </c>
      <c r="X235" s="63">
        <f>Saisie!P235</f>
        <v>0</v>
      </c>
      <c r="Y235" s="299">
        <f>Saisie!H235</f>
        <v>0</v>
      </c>
      <c r="Z235" s="58" t="e">
        <f>Saisie!#REF!</f>
        <v>#REF!</v>
      </c>
      <c r="AA235" s="299">
        <f>Saisie!Q235</f>
        <v>0</v>
      </c>
      <c r="AB235" s="63" t="e">
        <f t="array" ref="AB235">_xlfn.IFS(Saisie!R235="OUI",1,Saisie!R235="NON",0)</f>
        <v>#N/A</v>
      </c>
      <c r="AC235" s="63">
        <f>Saisie!S235</f>
        <v>0</v>
      </c>
      <c r="AD235" s="63" t="e">
        <f t="array" ref="AD235">_xlfn.IFS(Saisie!T235="OUI",1,Saisie!T235="NON",0)</f>
        <v>#N/A</v>
      </c>
      <c r="AE235" s="171">
        <f>Saisie!U235</f>
        <v>0</v>
      </c>
      <c r="AF235" s="262">
        <v>3</v>
      </c>
      <c r="AG235" s="129">
        <f>Saisie!W235</f>
        <v>0</v>
      </c>
      <c r="AH235" s="20">
        <f>Saisie!X235</f>
        <v>0</v>
      </c>
      <c r="AI235" s="21">
        <f>Saisie!Y235</f>
        <v>0</v>
      </c>
      <c r="AJ235" s="59">
        <f>Saisie!Z235</f>
        <v>0</v>
      </c>
      <c r="AK235" s="20">
        <f>Saisie!AA235</f>
        <v>0</v>
      </c>
      <c r="AL235" s="21">
        <f>Saisie!AB235</f>
        <v>0</v>
      </c>
      <c r="AM235" s="59">
        <f>Saisie!AC235</f>
        <v>0</v>
      </c>
      <c r="AN235" s="20">
        <f>Saisie!AD235</f>
        <v>0</v>
      </c>
      <c r="AO235" s="21">
        <f>Saisie!AE235</f>
        <v>0</v>
      </c>
      <c r="AP235" s="59">
        <f>Saisie!AF235</f>
        <v>0</v>
      </c>
      <c r="AQ235" s="129" t="e">
        <f t="array" ref="AQ235">_xlfn.IFS(Saisie!AG235="OUI",1,Saisie!AG235="NON",0)</f>
        <v>#N/A</v>
      </c>
      <c r="AR235" s="129" t="e">
        <f t="array" ref="AR235">_xlfn.IFS(Saisie!AH235="OUI",1,Saisie!AH235="NON",0)</f>
        <v>#N/A</v>
      </c>
      <c r="AS235" s="171">
        <f>Saisie!AI235</f>
        <v>0</v>
      </c>
      <c r="AT235" s="263" t="e">
        <f t="array" ref="AT235">_xlfn.IFS(Saisie!AJ235="OUI",1,Saisie!AJ235="NON",0)</f>
        <v>#N/A</v>
      </c>
      <c r="AU235" s="173">
        <f>Saisie!AK235</f>
        <v>0</v>
      </c>
      <c r="AV235" s="263" t="e">
        <f t="array" ref="AV235">_xlfn.IFS(Saisie!AL235="OUI",1,Saisie!AL235="NON",0)</f>
        <v>#N/A</v>
      </c>
      <c r="AW235" s="171">
        <f>Saisie!AM235</f>
        <v>0</v>
      </c>
      <c r="AX235" s="68">
        <f>Saisie!AN235</f>
        <v>0</v>
      </c>
      <c r="AY235" s="20">
        <f>Saisie!AO235</f>
        <v>0</v>
      </c>
      <c r="AZ235" s="21">
        <f>Saisie!AP235</f>
        <v>0</v>
      </c>
      <c r="BA235" s="298">
        <f>Saisie!AQ235</f>
        <v>0</v>
      </c>
      <c r="BB235" s="170">
        <f>Saisie!AR235</f>
        <v>0</v>
      </c>
      <c r="BC235" s="174">
        <f>Saisie!AS235</f>
        <v>0</v>
      </c>
      <c r="BD235" s="61">
        <f>Saisie!AT235</f>
        <v>0</v>
      </c>
      <c r="BE235" s="175" t="e">
        <f t="array" ref="BE235">_xlfn.IFS(Saisie!AU235="OUI",1,Saisie!AU235="NON",0)</f>
        <v>#N/A</v>
      </c>
      <c r="BF235" s="267">
        <f>Saisie!AV235</f>
        <v>0</v>
      </c>
      <c r="BG235" s="55">
        <f>Saisie!AW235</f>
        <v>0</v>
      </c>
      <c r="BH235" s="55" t="e">
        <f t="array" ref="BH235">_xlfn.IFS(Saisie!AX235="OUI",1,Saisie!AX235="NON",0)</f>
        <v>#N/A</v>
      </c>
      <c r="BI235" s="62">
        <f>Saisie!AY235</f>
        <v>0</v>
      </c>
      <c r="BJ235" s="55" t="e">
        <f t="array" ref="BJ235">_xlfn.IFS(Saisie!AZ235="OUI",1,Saisie!AZ235="NON",0)</f>
        <v>#N/A</v>
      </c>
      <c r="BK235" s="55" t="e">
        <f t="array" ref="BK235">_xlfn.IFS(Saisie!BA235="OUI",1,Saisie!BA235="NON",0)</f>
        <v>#N/A</v>
      </c>
      <c r="BL235" s="55">
        <f>Saisie!BB235</f>
        <v>0</v>
      </c>
      <c r="BM235" s="49" t="e">
        <f>Saisie!BC235</f>
        <v>#REF!</v>
      </c>
      <c r="BN235" s="175"/>
    </row>
    <row r="236" spans="1:66" s="176" customFormat="1" x14ac:dyDescent="0.45">
      <c r="A236" s="13">
        <v>230</v>
      </c>
      <c r="B236" s="150">
        <f>Saisie!B236</f>
        <v>0</v>
      </c>
      <c r="C236" s="150">
        <f>Saisie!C236</f>
        <v>0</v>
      </c>
      <c r="D236" s="150">
        <f>Saisie!D236</f>
        <v>0</v>
      </c>
      <c r="E236" s="150">
        <f>Saisie!E236</f>
        <v>0</v>
      </c>
      <c r="F236" s="150">
        <f>Saisie!F236</f>
        <v>0</v>
      </c>
      <c r="G236" s="150">
        <f>Saisie!G236</f>
        <v>0</v>
      </c>
      <c r="H236" s="150">
        <f>Saisie!I236</f>
        <v>0</v>
      </c>
      <c r="I236" s="150">
        <f>Saisie!J236</f>
        <v>0</v>
      </c>
      <c r="J236" s="150">
        <f>Saisie!K236</f>
        <v>0</v>
      </c>
      <c r="K236" s="150">
        <f>Saisie!L236</f>
        <v>0</v>
      </c>
      <c r="L236" s="150" t="e">
        <f>Saisie!#REF!</f>
        <v>#REF!</v>
      </c>
      <c r="M236" s="55" t="e">
        <f t="array" ref="M236">_xlfn.IFS(Saisie!M236="OUI",1,Saisie!M236="NON",0)</f>
        <v>#N/A</v>
      </c>
      <c r="N236" s="64" t="e">
        <f>Saisie!#REF!</f>
        <v>#REF!</v>
      </c>
      <c r="O236" s="63" t="e">
        <f>Saisie!#REF!</f>
        <v>#REF!</v>
      </c>
      <c r="P236" s="63">
        <f>Saisie!N236</f>
        <v>0</v>
      </c>
      <c r="Q236" s="63" t="e">
        <f t="array" ref="Q236">_xlfn.IFS(Saisie!#REF!="OUI",1,Saisie!#REF!="NON",0)</f>
        <v>#REF!</v>
      </c>
      <c r="R236" s="63" t="e">
        <f>Saisie!#REF!</f>
        <v>#REF!</v>
      </c>
      <c r="S236" s="65" t="e">
        <f>Saisie!#REF!</f>
        <v>#REF!</v>
      </c>
      <c r="T236" s="63" t="e">
        <f>Saisie!#REF!</f>
        <v>#REF!</v>
      </c>
      <c r="U236" s="63" t="e">
        <f>Saisie!#REF!</f>
        <v>#REF!</v>
      </c>
      <c r="V236" s="63" t="e">
        <f t="array" ref="V236">_xlfn.IFS(Saisie!#REF!="OUI",1,Saisie!#REF!="NON",0)</f>
        <v>#REF!</v>
      </c>
      <c r="W236" s="63" t="e">
        <f t="array" ref="W236">_xlfn.IFS(Saisie!O236="OUI",1,Saisie!O236="NON",0)</f>
        <v>#N/A</v>
      </c>
      <c r="X236" s="63">
        <f>Saisie!P236</f>
        <v>0</v>
      </c>
      <c r="Y236" s="299">
        <f>Saisie!H236</f>
        <v>0</v>
      </c>
      <c r="Z236" s="58" t="e">
        <f>Saisie!#REF!</f>
        <v>#REF!</v>
      </c>
      <c r="AA236" s="299">
        <f>Saisie!Q236</f>
        <v>0</v>
      </c>
      <c r="AB236" s="63" t="e">
        <f t="array" ref="AB236">_xlfn.IFS(Saisie!R236="OUI",1,Saisie!R236="NON",0)</f>
        <v>#N/A</v>
      </c>
      <c r="AC236" s="63">
        <f>Saisie!S236</f>
        <v>0</v>
      </c>
      <c r="AD236" s="63" t="e">
        <f t="array" ref="AD236">_xlfn.IFS(Saisie!T236="OUI",1,Saisie!T236="NON",0)</f>
        <v>#N/A</v>
      </c>
      <c r="AE236" s="171">
        <f>Saisie!U236</f>
        <v>0</v>
      </c>
      <c r="AF236" s="262">
        <v>3</v>
      </c>
      <c r="AG236" s="129">
        <f>Saisie!W236</f>
        <v>0</v>
      </c>
      <c r="AH236" s="20">
        <f>Saisie!X236</f>
        <v>0</v>
      </c>
      <c r="AI236" s="21">
        <f>Saisie!Y236</f>
        <v>0</v>
      </c>
      <c r="AJ236" s="59">
        <f>Saisie!Z236</f>
        <v>0</v>
      </c>
      <c r="AK236" s="20">
        <f>Saisie!AA236</f>
        <v>0</v>
      </c>
      <c r="AL236" s="21">
        <f>Saisie!AB236</f>
        <v>0</v>
      </c>
      <c r="AM236" s="59">
        <f>Saisie!AC236</f>
        <v>0</v>
      </c>
      <c r="AN236" s="20">
        <f>Saisie!AD236</f>
        <v>0</v>
      </c>
      <c r="AO236" s="21">
        <f>Saisie!AE236</f>
        <v>0</v>
      </c>
      <c r="AP236" s="59">
        <f>Saisie!AF236</f>
        <v>0</v>
      </c>
      <c r="AQ236" s="129" t="e">
        <f t="array" ref="AQ236">_xlfn.IFS(Saisie!AG236="OUI",1,Saisie!AG236="NON",0)</f>
        <v>#N/A</v>
      </c>
      <c r="AR236" s="129" t="e">
        <f t="array" ref="AR236">_xlfn.IFS(Saisie!AH236="OUI",1,Saisie!AH236="NON",0)</f>
        <v>#N/A</v>
      </c>
      <c r="AS236" s="171">
        <f>Saisie!AI236</f>
        <v>0</v>
      </c>
      <c r="AT236" s="263" t="e">
        <f t="array" ref="AT236">_xlfn.IFS(Saisie!AJ236="OUI",1,Saisie!AJ236="NON",0)</f>
        <v>#N/A</v>
      </c>
      <c r="AU236" s="173">
        <f>Saisie!AK236</f>
        <v>0</v>
      </c>
      <c r="AV236" s="263" t="e">
        <f t="array" ref="AV236">_xlfn.IFS(Saisie!AL236="OUI",1,Saisie!AL236="NON",0)</f>
        <v>#N/A</v>
      </c>
      <c r="AW236" s="171">
        <f>Saisie!AM236</f>
        <v>0</v>
      </c>
      <c r="AX236" s="68">
        <f>Saisie!AN236</f>
        <v>0</v>
      </c>
      <c r="AY236" s="20">
        <f>Saisie!AO236</f>
        <v>0</v>
      </c>
      <c r="AZ236" s="21">
        <f>Saisie!AP236</f>
        <v>0</v>
      </c>
      <c r="BA236" s="298">
        <f>Saisie!AQ236</f>
        <v>0</v>
      </c>
      <c r="BB236" s="170">
        <f>Saisie!AR236</f>
        <v>0</v>
      </c>
      <c r="BC236" s="174">
        <f>Saisie!AS236</f>
        <v>0</v>
      </c>
      <c r="BD236" s="61">
        <f>Saisie!AT236</f>
        <v>0</v>
      </c>
      <c r="BE236" s="175" t="e">
        <f t="array" ref="BE236">_xlfn.IFS(Saisie!AU236="OUI",1,Saisie!AU236="NON",0)</f>
        <v>#N/A</v>
      </c>
      <c r="BF236" s="267">
        <f>Saisie!AV236</f>
        <v>0</v>
      </c>
      <c r="BG236" s="55">
        <f>Saisie!AW236</f>
        <v>0</v>
      </c>
      <c r="BH236" s="55" t="e">
        <f t="array" ref="BH236">_xlfn.IFS(Saisie!AX236="OUI",1,Saisie!AX236="NON",0)</f>
        <v>#N/A</v>
      </c>
      <c r="BI236" s="62">
        <f>Saisie!AY236</f>
        <v>0</v>
      </c>
      <c r="BJ236" s="55" t="e">
        <f t="array" ref="BJ236">_xlfn.IFS(Saisie!AZ236="OUI",1,Saisie!AZ236="NON",0)</f>
        <v>#N/A</v>
      </c>
      <c r="BK236" s="55" t="e">
        <f t="array" ref="BK236">_xlfn.IFS(Saisie!BA236="OUI",1,Saisie!BA236="NON",0)</f>
        <v>#N/A</v>
      </c>
      <c r="BL236" s="55">
        <f>Saisie!BB236</f>
        <v>0</v>
      </c>
      <c r="BM236" s="49" t="e">
        <f>Saisie!BC236</f>
        <v>#REF!</v>
      </c>
      <c r="BN236" s="175"/>
    </row>
    <row r="237" spans="1:66" s="176" customFormat="1" x14ac:dyDescent="0.45">
      <c r="A237" s="13">
        <v>231</v>
      </c>
      <c r="B237" s="150">
        <f>Saisie!B237</f>
        <v>0</v>
      </c>
      <c r="C237" s="150">
        <f>Saisie!C237</f>
        <v>0</v>
      </c>
      <c r="D237" s="150">
        <f>Saisie!D237</f>
        <v>0</v>
      </c>
      <c r="E237" s="150">
        <f>Saisie!E237</f>
        <v>0</v>
      </c>
      <c r="F237" s="150">
        <f>Saisie!F237</f>
        <v>0</v>
      </c>
      <c r="G237" s="150">
        <f>Saisie!G237</f>
        <v>0</v>
      </c>
      <c r="H237" s="150">
        <f>Saisie!I237</f>
        <v>0</v>
      </c>
      <c r="I237" s="150">
        <f>Saisie!J237</f>
        <v>0</v>
      </c>
      <c r="J237" s="150">
        <f>Saisie!K237</f>
        <v>0</v>
      </c>
      <c r="K237" s="150">
        <f>Saisie!L237</f>
        <v>0</v>
      </c>
      <c r="L237" s="150" t="e">
        <f>Saisie!#REF!</f>
        <v>#REF!</v>
      </c>
      <c r="M237" s="55" t="e">
        <f t="array" ref="M237">_xlfn.IFS(Saisie!M237="OUI",1,Saisie!M237="NON",0)</f>
        <v>#N/A</v>
      </c>
      <c r="N237" s="64" t="e">
        <f>Saisie!#REF!</f>
        <v>#REF!</v>
      </c>
      <c r="O237" s="63" t="e">
        <f>Saisie!#REF!</f>
        <v>#REF!</v>
      </c>
      <c r="P237" s="63">
        <f>Saisie!N237</f>
        <v>0</v>
      </c>
      <c r="Q237" s="63" t="e">
        <f t="array" ref="Q237">_xlfn.IFS(Saisie!#REF!="OUI",1,Saisie!#REF!="NON",0)</f>
        <v>#REF!</v>
      </c>
      <c r="R237" s="63" t="e">
        <f>Saisie!#REF!</f>
        <v>#REF!</v>
      </c>
      <c r="S237" s="65" t="e">
        <f>Saisie!#REF!</f>
        <v>#REF!</v>
      </c>
      <c r="T237" s="63" t="e">
        <f>Saisie!#REF!</f>
        <v>#REF!</v>
      </c>
      <c r="U237" s="63" t="e">
        <f>Saisie!#REF!</f>
        <v>#REF!</v>
      </c>
      <c r="V237" s="63" t="e">
        <f t="array" ref="V237">_xlfn.IFS(Saisie!#REF!="OUI",1,Saisie!#REF!="NON",0)</f>
        <v>#REF!</v>
      </c>
      <c r="W237" s="63" t="e">
        <f t="array" ref="W237">_xlfn.IFS(Saisie!O237="OUI",1,Saisie!O237="NON",0)</f>
        <v>#N/A</v>
      </c>
      <c r="X237" s="63">
        <f>Saisie!P237</f>
        <v>0</v>
      </c>
      <c r="Y237" s="299">
        <f>Saisie!H237</f>
        <v>0</v>
      </c>
      <c r="Z237" s="58" t="e">
        <f>Saisie!#REF!</f>
        <v>#REF!</v>
      </c>
      <c r="AA237" s="299">
        <f>Saisie!Q237</f>
        <v>0</v>
      </c>
      <c r="AB237" s="63" t="e">
        <f t="array" ref="AB237">_xlfn.IFS(Saisie!R237="OUI",1,Saisie!R237="NON",0)</f>
        <v>#N/A</v>
      </c>
      <c r="AC237" s="63">
        <f>Saisie!S237</f>
        <v>0</v>
      </c>
      <c r="AD237" s="63" t="e">
        <f t="array" ref="AD237">_xlfn.IFS(Saisie!T237="OUI",1,Saisie!T237="NON",0)</f>
        <v>#N/A</v>
      </c>
      <c r="AE237" s="171">
        <f>Saisie!U237</f>
        <v>0</v>
      </c>
      <c r="AF237" s="262">
        <v>3</v>
      </c>
      <c r="AG237" s="129">
        <f>Saisie!W237</f>
        <v>0</v>
      </c>
      <c r="AH237" s="20">
        <f>Saisie!X237</f>
        <v>0</v>
      </c>
      <c r="AI237" s="21">
        <f>Saisie!Y237</f>
        <v>0</v>
      </c>
      <c r="AJ237" s="59">
        <f>Saisie!Z237</f>
        <v>0</v>
      </c>
      <c r="AK237" s="20">
        <f>Saisie!AA237</f>
        <v>0</v>
      </c>
      <c r="AL237" s="21">
        <f>Saisie!AB237</f>
        <v>0</v>
      </c>
      <c r="AM237" s="59">
        <f>Saisie!AC237</f>
        <v>0</v>
      </c>
      <c r="AN237" s="20">
        <f>Saisie!AD237</f>
        <v>0</v>
      </c>
      <c r="AO237" s="21">
        <f>Saisie!AE237</f>
        <v>0</v>
      </c>
      <c r="AP237" s="59">
        <f>Saisie!AF237</f>
        <v>0</v>
      </c>
      <c r="AQ237" s="129" t="e">
        <f t="array" ref="AQ237">_xlfn.IFS(Saisie!AG237="OUI",1,Saisie!AG237="NON",0)</f>
        <v>#N/A</v>
      </c>
      <c r="AR237" s="129" t="e">
        <f t="array" ref="AR237">_xlfn.IFS(Saisie!AH237="OUI",1,Saisie!AH237="NON",0)</f>
        <v>#N/A</v>
      </c>
      <c r="AS237" s="171">
        <f>Saisie!AI237</f>
        <v>0</v>
      </c>
      <c r="AT237" s="263" t="e">
        <f t="array" ref="AT237">_xlfn.IFS(Saisie!AJ237="OUI",1,Saisie!AJ237="NON",0)</f>
        <v>#N/A</v>
      </c>
      <c r="AU237" s="173">
        <f>Saisie!AK237</f>
        <v>0</v>
      </c>
      <c r="AV237" s="263" t="e">
        <f t="array" ref="AV237">_xlfn.IFS(Saisie!AL237="OUI",1,Saisie!AL237="NON",0)</f>
        <v>#N/A</v>
      </c>
      <c r="AW237" s="171">
        <f>Saisie!AM237</f>
        <v>0</v>
      </c>
      <c r="AX237" s="68">
        <f>Saisie!AN237</f>
        <v>0</v>
      </c>
      <c r="AY237" s="20">
        <f>Saisie!AO237</f>
        <v>0</v>
      </c>
      <c r="AZ237" s="21">
        <f>Saisie!AP237</f>
        <v>0</v>
      </c>
      <c r="BA237" s="298">
        <f>Saisie!AQ237</f>
        <v>0</v>
      </c>
      <c r="BB237" s="170">
        <f>Saisie!AR237</f>
        <v>0</v>
      </c>
      <c r="BC237" s="174">
        <f>Saisie!AS237</f>
        <v>0</v>
      </c>
      <c r="BD237" s="61">
        <f>Saisie!AT237</f>
        <v>0</v>
      </c>
      <c r="BE237" s="175" t="e">
        <f t="array" ref="BE237">_xlfn.IFS(Saisie!AU237="OUI",1,Saisie!AU237="NON",0)</f>
        <v>#N/A</v>
      </c>
      <c r="BF237" s="267">
        <f>Saisie!AV237</f>
        <v>0</v>
      </c>
      <c r="BG237" s="55">
        <f>Saisie!AW237</f>
        <v>0</v>
      </c>
      <c r="BH237" s="55" t="e">
        <f t="array" ref="BH237">_xlfn.IFS(Saisie!AX237="OUI",1,Saisie!AX237="NON",0)</f>
        <v>#N/A</v>
      </c>
      <c r="BI237" s="62">
        <f>Saisie!AY237</f>
        <v>0</v>
      </c>
      <c r="BJ237" s="55" t="e">
        <f t="array" ref="BJ237">_xlfn.IFS(Saisie!AZ237="OUI",1,Saisie!AZ237="NON",0)</f>
        <v>#N/A</v>
      </c>
      <c r="BK237" s="55" t="e">
        <f t="array" ref="BK237">_xlfn.IFS(Saisie!BA237="OUI",1,Saisie!BA237="NON",0)</f>
        <v>#N/A</v>
      </c>
      <c r="BL237" s="55">
        <f>Saisie!BB237</f>
        <v>0</v>
      </c>
      <c r="BM237" s="49" t="e">
        <f>Saisie!BC237</f>
        <v>#REF!</v>
      </c>
      <c r="BN237" s="175"/>
    </row>
    <row r="238" spans="1:66" s="176" customFormat="1" x14ac:dyDescent="0.45">
      <c r="A238" s="12">
        <v>232</v>
      </c>
      <c r="B238" s="150">
        <f>Saisie!B238</f>
        <v>0</v>
      </c>
      <c r="C238" s="150">
        <f>Saisie!C238</f>
        <v>0</v>
      </c>
      <c r="D238" s="150">
        <f>Saisie!D238</f>
        <v>0</v>
      </c>
      <c r="E238" s="150">
        <f>Saisie!E238</f>
        <v>0</v>
      </c>
      <c r="F238" s="150">
        <f>Saisie!F238</f>
        <v>0</v>
      </c>
      <c r="G238" s="150">
        <f>Saisie!G238</f>
        <v>0</v>
      </c>
      <c r="H238" s="150">
        <f>Saisie!I238</f>
        <v>0</v>
      </c>
      <c r="I238" s="150">
        <f>Saisie!J238</f>
        <v>0</v>
      </c>
      <c r="J238" s="150">
        <f>Saisie!K238</f>
        <v>0</v>
      </c>
      <c r="K238" s="150">
        <f>Saisie!L238</f>
        <v>0</v>
      </c>
      <c r="L238" s="150" t="e">
        <f>Saisie!#REF!</f>
        <v>#REF!</v>
      </c>
      <c r="M238" s="55" t="e">
        <f t="array" ref="M238">_xlfn.IFS(Saisie!M238="OUI",1,Saisie!M238="NON",0)</f>
        <v>#N/A</v>
      </c>
      <c r="N238" s="64" t="e">
        <f>Saisie!#REF!</f>
        <v>#REF!</v>
      </c>
      <c r="O238" s="63" t="e">
        <f>Saisie!#REF!</f>
        <v>#REF!</v>
      </c>
      <c r="P238" s="63">
        <f>Saisie!N238</f>
        <v>0</v>
      </c>
      <c r="Q238" s="63" t="e">
        <f t="array" ref="Q238">_xlfn.IFS(Saisie!#REF!="OUI",1,Saisie!#REF!="NON",0)</f>
        <v>#REF!</v>
      </c>
      <c r="R238" s="63" t="e">
        <f>Saisie!#REF!</f>
        <v>#REF!</v>
      </c>
      <c r="S238" s="65" t="e">
        <f>Saisie!#REF!</f>
        <v>#REF!</v>
      </c>
      <c r="T238" s="63" t="e">
        <f>Saisie!#REF!</f>
        <v>#REF!</v>
      </c>
      <c r="U238" s="63" t="e">
        <f>Saisie!#REF!</f>
        <v>#REF!</v>
      </c>
      <c r="V238" s="63" t="e">
        <f t="array" ref="V238">_xlfn.IFS(Saisie!#REF!="OUI",1,Saisie!#REF!="NON",0)</f>
        <v>#REF!</v>
      </c>
      <c r="W238" s="63" t="e">
        <f t="array" ref="W238">_xlfn.IFS(Saisie!O238="OUI",1,Saisie!O238="NON",0)</f>
        <v>#N/A</v>
      </c>
      <c r="X238" s="63">
        <f>Saisie!P238</f>
        <v>0</v>
      </c>
      <c r="Y238" s="299">
        <f>Saisie!H238</f>
        <v>0</v>
      </c>
      <c r="Z238" s="58" t="e">
        <f>Saisie!#REF!</f>
        <v>#REF!</v>
      </c>
      <c r="AA238" s="299">
        <f>Saisie!Q238</f>
        <v>0</v>
      </c>
      <c r="AB238" s="63" t="e">
        <f t="array" ref="AB238">_xlfn.IFS(Saisie!R238="OUI",1,Saisie!R238="NON",0)</f>
        <v>#N/A</v>
      </c>
      <c r="AC238" s="63">
        <f>Saisie!S238</f>
        <v>0</v>
      </c>
      <c r="AD238" s="63" t="e">
        <f t="array" ref="AD238">_xlfn.IFS(Saisie!T238="OUI",1,Saisie!T238="NON",0)</f>
        <v>#N/A</v>
      </c>
      <c r="AE238" s="171">
        <f>Saisie!U238</f>
        <v>0</v>
      </c>
      <c r="AF238" s="262">
        <v>3</v>
      </c>
      <c r="AG238" s="129">
        <f>Saisie!W238</f>
        <v>0</v>
      </c>
      <c r="AH238" s="20">
        <f>Saisie!X238</f>
        <v>0</v>
      </c>
      <c r="AI238" s="21">
        <f>Saisie!Y238</f>
        <v>0</v>
      </c>
      <c r="AJ238" s="59">
        <f>Saisie!Z238</f>
        <v>0</v>
      </c>
      <c r="AK238" s="20">
        <f>Saisie!AA238</f>
        <v>0</v>
      </c>
      <c r="AL238" s="21">
        <f>Saisie!AB238</f>
        <v>0</v>
      </c>
      <c r="AM238" s="59">
        <f>Saisie!AC238</f>
        <v>0</v>
      </c>
      <c r="AN238" s="20">
        <f>Saisie!AD238</f>
        <v>0</v>
      </c>
      <c r="AO238" s="21">
        <f>Saisie!AE238</f>
        <v>0</v>
      </c>
      <c r="AP238" s="59">
        <f>Saisie!AF238</f>
        <v>0</v>
      </c>
      <c r="AQ238" s="129" t="e">
        <f t="array" ref="AQ238">_xlfn.IFS(Saisie!AG238="OUI",1,Saisie!AG238="NON",0)</f>
        <v>#N/A</v>
      </c>
      <c r="AR238" s="129" t="e">
        <f t="array" ref="AR238">_xlfn.IFS(Saisie!AH238="OUI",1,Saisie!AH238="NON",0)</f>
        <v>#N/A</v>
      </c>
      <c r="AS238" s="171">
        <f>Saisie!AI238</f>
        <v>0</v>
      </c>
      <c r="AT238" s="263" t="e">
        <f t="array" ref="AT238">_xlfn.IFS(Saisie!AJ238="OUI",1,Saisie!AJ238="NON",0)</f>
        <v>#N/A</v>
      </c>
      <c r="AU238" s="173">
        <f>Saisie!AK238</f>
        <v>0</v>
      </c>
      <c r="AV238" s="263" t="e">
        <f t="array" ref="AV238">_xlfn.IFS(Saisie!AL238="OUI",1,Saisie!AL238="NON",0)</f>
        <v>#N/A</v>
      </c>
      <c r="AW238" s="171">
        <f>Saisie!AM238</f>
        <v>0</v>
      </c>
      <c r="AX238" s="68">
        <f>Saisie!AN238</f>
        <v>0</v>
      </c>
      <c r="AY238" s="20">
        <f>Saisie!AO238</f>
        <v>0</v>
      </c>
      <c r="AZ238" s="21">
        <f>Saisie!AP238</f>
        <v>0</v>
      </c>
      <c r="BA238" s="298">
        <f>Saisie!AQ238</f>
        <v>0</v>
      </c>
      <c r="BB238" s="170">
        <f>Saisie!AR238</f>
        <v>0</v>
      </c>
      <c r="BC238" s="174">
        <f>Saisie!AS238</f>
        <v>0</v>
      </c>
      <c r="BD238" s="61">
        <f>Saisie!AT238</f>
        <v>0</v>
      </c>
      <c r="BE238" s="175" t="e">
        <f t="array" ref="BE238">_xlfn.IFS(Saisie!AU238="OUI",1,Saisie!AU238="NON",0)</f>
        <v>#N/A</v>
      </c>
      <c r="BF238" s="267">
        <f>Saisie!AV238</f>
        <v>0</v>
      </c>
      <c r="BG238" s="55">
        <f>Saisie!AW238</f>
        <v>0</v>
      </c>
      <c r="BH238" s="55" t="e">
        <f t="array" ref="BH238">_xlfn.IFS(Saisie!AX238="OUI",1,Saisie!AX238="NON",0)</f>
        <v>#N/A</v>
      </c>
      <c r="BI238" s="62">
        <f>Saisie!AY238</f>
        <v>0</v>
      </c>
      <c r="BJ238" s="55" t="e">
        <f t="array" ref="BJ238">_xlfn.IFS(Saisie!AZ238="OUI",1,Saisie!AZ238="NON",0)</f>
        <v>#N/A</v>
      </c>
      <c r="BK238" s="55" t="e">
        <f t="array" ref="BK238">_xlfn.IFS(Saisie!BA238="OUI",1,Saisie!BA238="NON",0)</f>
        <v>#N/A</v>
      </c>
      <c r="BL238" s="55">
        <f>Saisie!BB238</f>
        <v>0</v>
      </c>
      <c r="BM238" s="49" t="e">
        <f>Saisie!BC238</f>
        <v>#REF!</v>
      </c>
      <c r="BN238" s="175"/>
    </row>
    <row r="239" spans="1:66" s="176" customFormat="1" x14ac:dyDescent="0.45">
      <c r="A239" s="13">
        <v>233</v>
      </c>
      <c r="B239" s="150">
        <f>Saisie!B239</f>
        <v>0</v>
      </c>
      <c r="C239" s="150">
        <f>Saisie!C239</f>
        <v>0</v>
      </c>
      <c r="D239" s="150">
        <f>Saisie!D239</f>
        <v>0</v>
      </c>
      <c r="E239" s="150">
        <f>Saisie!E239</f>
        <v>0</v>
      </c>
      <c r="F239" s="150">
        <f>Saisie!F239</f>
        <v>0</v>
      </c>
      <c r="G239" s="150">
        <f>Saisie!G239</f>
        <v>0</v>
      </c>
      <c r="H239" s="150">
        <f>Saisie!I239</f>
        <v>0</v>
      </c>
      <c r="I239" s="150">
        <f>Saisie!J239</f>
        <v>0</v>
      </c>
      <c r="J239" s="150">
        <f>Saisie!K239</f>
        <v>0</v>
      </c>
      <c r="K239" s="150">
        <f>Saisie!L239</f>
        <v>0</v>
      </c>
      <c r="L239" s="150" t="e">
        <f>Saisie!#REF!</f>
        <v>#REF!</v>
      </c>
      <c r="M239" s="55" t="e">
        <f t="array" ref="M239">_xlfn.IFS(Saisie!M239="OUI",1,Saisie!M239="NON",0)</f>
        <v>#N/A</v>
      </c>
      <c r="N239" s="64" t="e">
        <f>Saisie!#REF!</f>
        <v>#REF!</v>
      </c>
      <c r="O239" s="63" t="e">
        <f>Saisie!#REF!</f>
        <v>#REF!</v>
      </c>
      <c r="P239" s="63">
        <f>Saisie!N239</f>
        <v>0</v>
      </c>
      <c r="Q239" s="63" t="e">
        <f t="array" ref="Q239">_xlfn.IFS(Saisie!#REF!="OUI",1,Saisie!#REF!="NON",0)</f>
        <v>#REF!</v>
      </c>
      <c r="R239" s="63" t="e">
        <f>Saisie!#REF!</f>
        <v>#REF!</v>
      </c>
      <c r="S239" s="65" t="e">
        <f>Saisie!#REF!</f>
        <v>#REF!</v>
      </c>
      <c r="T239" s="63" t="e">
        <f>Saisie!#REF!</f>
        <v>#REF!</v>
      </c>
      <c r="U239" s="63" t="e">
        <f>Saisie!#REF!</f>
        <v>#REF!</v>
      </c>
      <c r="V239" s="63" t="e">
        <f t="array" ref="V239">_xlfn.IFS(Saisie!#REF!="OUI",1,Saisie!#REF!="NON",0)</f>
        <v>#REF!</v>
      </c>
      <c r="W239" s="63" t="e">
        <f t="array" ref="W239">_xlfn.IFS(Saisie!O239="OUI",1,Saisie!O239="NON",0)</f>
        <v>#N/A</v>
      </c>
      <c r="X239" s="63">
        <f>Saisie!P239</f>
        <v>0</v>
      </c>
      <c r="Y239" s="299">
        <f>Saisie!H239</f>
        <v>0</v>
      </c>
      <c r="Z239" s="58" t="e">
        <f>Saisie!#REF!</f>
        <v>#REF!</v>
      </c>
      <c r="AA239" s="299">
        <f>Saisie!Q239</f>
        <v>0</v>
      </c>
      <c r="AB239" s="63" t="e">
        <f t="array" ref="AB239">_xlfn.IFS(Saisie!R239="OUI",1,Saisie!R239="NON",0)</f>
        <v>#N/A</v>
      </c>
      <c r="AC239" s="63">
        <f>Saisie!S239</f>
        <v>0</v>
      </c>
      <c r="AD239" s="63" t="e">
        <f t="array" ref="AD239">_xlfn.IFS(Saisie!T239="OUI",1,Saisie!T239="NON",0)</f>
        <v>#N/A</v>
      </c>
      <c r="AE239" s="171">
        <f>Saisie!U239</f>
        <v>0</v>
      </c>
      <c r="AF239" s="262">
        <v>3</v>
      </c>
      <c r="AG239" s="129">
        <f>Saisie!W239</f>
        <v>0</v>
      </c>
      <c r="AH239" s="20">
        <f>Saisie!X239</f>
        <v>0</v>
      </c>
      <c r="AI239" s="21">
        <f>Saisie!Y239</f>
        <v>0</v>
      </c>
      <c r="AJ239" s="59">
        <f>Saisie!Z239</f>
        <v>0</v>
      </c>
      <c r="AK239" s="20">
        <f>Saisie!AA239</f>
        <v>0</v>
      </c>
      <c r="AL239" s="21">
        <f>Saisie!AB239</f>
        <v>0</v>
      </c>
      <c r="AM239" s="59">
        <f>Saisie!AC239</f>
        <v>0</v>
      </c>
      <c r="AN239" s="20">
        <f>Saisie!AD239</f>
        <v>0</v>
      </c>
      <c r="AO239" s="21">
        <f>Saisie!AE239</f>
        <v>0</v>
      </c>
      <c r="AP239" s="59">
        <f>Saisie!AF239</f>
        <v>0</v>
      </c>
      <c r="AQ239" s="129" t="e">
        <f t="array" ref="AQ239">_xlfn.IFS(Saisie!AG239="OUI",1,Saisie!AG239="NON",0)</f>
        <v>#N/A</v>
      </c>
      <c r="AR239" s="129" t="e">
        <f t="array" ref="AR239">_xlfn.IFS(Saisie!AH239="OUI",1,Saisie!AH239="NON",0)</f>
        <v>#N/A</v>
      </c>
      <c r="AS239" s="171">
        <f>Saisie!AI239</f>
        <v>0</v>
      </c>
      <c r="AT239" s="263" t="e">
        <f t="array" ref="AT239">_xlfn.IFS(Saisie!AJ239="OUI",1,Saisie!AJ239="NON",0)</f>
        <v>#N/A</v>
      </c>
      <c r="AU239" s="173">
        <f>Saisie!AK239</f>
        <v>0</v>
      </c>
      <c r="AV239" s="263" t="e">
        <f t="array" ref="AV239">_xlfn.IFS(Saisie!AL239="OUI",1,Saisie!AL239="NON",0)</f>
        <v>#N/A</v>
      </c>
      <c r="AW239" s="171">
        <f>Saisie!AM239</f>
        <v>0</v>
      </c>
      <c r="AX239" s="68">
        <f>Saisie!AN239</f>
        <v>0</v>
      </c>
      <c r="AY239" s="20">
        <f>Saisie!AO239</f>
        <v>0</v>
      </c>
      <c r="AZ239" s="21">
        <f>Saisie!AP239</f>
        <v>0</v>
      </c>
      <c r="BA239" s="298">
        <f>Saisie!AQ239</f>
        <v>0</v>
      </c>
      <c r="BB239" s="170">
        <f>Saisie!AR239</f>
        <v>0</v>
      </c>
      <c r="BC239" s="174">
        <f>Saisie!AS239</f>
        <v>0</v>
      </c>
      <c r="BD239" s="61">
        <f>Saisie!AT239</f>
        <v>0</v>
      </c>
      <c r="BE239" s="175" t="e">
        <f t="array" ref="BE239">_xlfn.IFS(Saisie!AU239="OUI",1,Saisie!AU239="NON",0)</f>
        <v>#N/A</v>
      </c>
      <c r="BF239" s="267">
        <f>Saisie!AV239</f>
        <v>0</v>
      </c>
      <c r="BG239" s="55">
        <f>Saisie!AW239</f>
        <v>0</v>
      </c>
      <c r="BH239" s="55" t="e">
        <f t="array" ref="BH239">_xlfn.IFS(Saisie!AX239="OUI",1,Saisie!AX239="NON",0)</f>
        <v>#N/A</v>
      </c>
      <c r="BI239" s="62">
        <f>Saisie!AY239</f>
        <v>0</v>
      </c>
      <c r="BJ239" s="55" t="e">
        <f t="array" ref="BJ239">_xlfn.IFS(Saisie!AZ239="OUI",1,Saisie!AZ239="NON",0)</f>
        <v>#N/A</v>
      </c>
      <c r="BK239" s="55" t="e">
        <f t="array" ref="BK239">_xlfn.IFS(Saisie!BA239="OUI",1,Saisie!BA239="NON",0)</f>
        <v>#N/A</v>
      </c>
      <c r="BL239" s="55">
        <f>Saisie!BB239</f>
        <v>0</v>
      </c>
      <c r="BM239" s="49" t="e">
        <f>Saisie!BC239</f>
        <v>#REF!</v>
      </c>
      <c r="BN239" s="175"/>
    </row>
    <row r="240" spans="1:66" s="176" customFormat="1" x14ac:dyDescent="0.45">
      <c r="A240" s="13">
        <v>234</v>
      </c>
      <c r="B240" s="150">
        <f>Saisie!B240</f>
        <v>0</v>
      </c>
      <c r="C240" s="150">
        <f>Saisie!C240</f>
        <v>0</v>
      </c>
      <c r="D240" s="150">
        <f>Saisie!D240</f>
        <v>0</v>
      </c>
      <c r="E240" s="150">
        <f>Saisie!E240</f>
        <v>0</v>
      </c>
      <c r="F240" s="150">
        <f>Saisie!F240</f>
        <v>0</v>
      </c>
      <c r="G240" s="150">
        <f>Saisie!G240</f>
        <v>0</v>
      </c>
      <c r="H240" s="150">
        <f>Saisie!I240</f>
        <v>0</v>
      </c>
      <c r="I240" s="150">
        <f>Saisie!J240</f>
        <v>0</v>
      </c>
      <c r="J240" s="150">
        <f>Saisie!K240</f>
        <v>0</v>
      </c>
      <c r="K240" s="150">
        <f>Saisie!L240</f>
        <v>0</v>
      </c>
      <c r="L240" s="150" t="e">
        <f>Saisie!#REF!</f>
        <v>#REF!</v>
      </c>
      <c r="M240" s="55" t="e">
        <f t="array" ref="M240">_xlfn.IFS(Saisie!M240="OUI",1,Saisie!M240="NON",0)</f>
        <v>#N/A</v>
      </c>
      <c r="N240" s="64" t="e">
        <f>Saisie!#REF!</f>
        <v>#REF!</v>
      </c>
      <c r="O240" s="63" t="e">
        <f>Saisie!#REF!</f>
        <v>#REF!</v>
      </c>
      <c r="P240" s="63">
        <f>Saisie!N240</f>
        <v>0</v>
      </c>
      <c r="Q240" s="63" t="e">
        <f t="array" ref="Q240">_xlfn.IFS(Saisie!#REF!="OUI",1,Saisie!#REF!="NON",0)</f>
        <v>#REF!</v>
      </c>
      <c r="R240" s="63" t="e">
        <f>Saisie!#REF!</f>
        <v>#REF!</v>
      </c>
      <c r="S240" s="65" t="e">
        <f>Saisie!#REF!</f>
        <v>#REF!</v>
      </c>
      <c r="T240" s="63" t="e">
        <f>Saisie!#REF!</f>
        <v>#REF!</v>
      </c>
      <c r="U240" s="63" t="e">
        <f>Saisie!#REF!</f>
        <v>#REF!</v>
      </c>
      <c r="V240" s="63" t="e">
        <f t="array" ref="V240">_xlfn.IFS(Saisie!#REF!="OUI",1,Saisie!#REF!="NON",0)</f>
        <v>#REF!</v>
      </c>
      <c r="W240" s="63" t="e">
        <f t="array" ref="W240">_xlfn.IFS(Saisie!O240="OUI",1,Saisie!O240="NON",0)</f>
        <v>#N/A</v>
      </c>
      <c r="X240" s="63">
        <f>Saisie!P240</f>
        <v>0</v>
      </c>
      <c r="Y240" s="299">
        <f>Saisie!H240</f>
        <v>0</v>
      </c>
      <c r="Z240" s="58" t="e">
        <f>Saisie!#REF!</f>
        <v>#REF!</v>
      </c>
      <c r="AA240" s="299">
        <f>Saisie!Q240</f>
        <v>0</v>
      </c>
      <c r="AB240" s="63" t="e">
        <f t="array" ref="AB240">_xlfn.IFS(Saisie!R240="OUI",1,Saisie!R240="NON",0)</f>
        <v>#N/A</v>
      </c>
      <c r="AC240" s="63">
        <f>Saisie!S240</f>
        <v>0</v>
      </c>
      <c r="AD240" s="63" t="e">
        <f t="array" ref="AD240">_xlfn.IFS(Saisie!T240="OUI",1,Saisie!T240="NON",0)</f>
        <v>#N/A</v>
      </c>
      <c r="AE240" s="171">
        <f>Saisie!U240</f>
        <v>0</v>
      </c>
      <c r="AF240" s="262">
        <v>3</v>
      </c>
      <c r="AG240" s="129">
        <f>Saisie!W240</f>
        <v>0</v>
      </c>
      <c r="AH240" s="20">
        <f>Saisie!X240</f>
        <v>0</v>
      </c>
      <c r="AI240" s="21">
        <f>Saisie!Y240</f>
        <v>0</v>
      </c>
      <c r="AJ240" s="59">
        <f>Saisie!Z240</f>
        <v>0</v>
      </c>
      <c r="AK240" s="20">
        <f>Saisie!AA240</f>
        <v>0</v>
      </c>
      <c r="AL240" s="21">
        <f>Saisie!AB240</f>
        <v>0</v>
      </c>
      <c r="AM240" s="59">
        <f>Saisie!AC240</f>
        <v>0</v>
      </c>
      <c r="AN240" s="20">
        <f>Saisie!AD240</f>
        <v>0</v>
      </c>
      <c r="AO240" s="21">
        <f>Saisie!AE240</f>
        <v>0</v>
      </c>
      <c r="AP240" s="59">
        <f>Saisie!AF240</f>
        <v>0</v>
      </c>
      <c r="AQ240" s="129" t="e">
        <f t="array" ref="AQ240">_xlfn.IFS(Saisie!AG240="OUI",1,Saisie!AG240="NON",0)</f>
        <v>#N/A</v>
      </c>
      <c r="AR240" s="129" t="e">
        <f t="array" ref="AR240">_xlfn.IFS(Saisie!AH240="OUI",1,Saisie!AH240="NON",0)</f>
        <v>#N/A</v>
      </c>
      <c r="AS240" s="171">
        <f>Saisie!AI240</f>
        <v>0</v>
      </c>
      <c r="AT240" s="263" t="e">
        <f t="array" ref="AT240">_xlfn.IFS(Saisie!AJ240="OUI",1,Saisie!AJ240="NON",0)</f>
        <v>#N/A</v>
      </c>
      <c r="AU240" s="173">
        <f>Saisie!AK240</f>
        <v>0</v>
      </c>
      <c r="AV240" s="263" t="e">
        <f t="array" ref="AV240">_xlfn.IFS(Saisie!AL240="OUI",1,Saisie!AL240="NON",0)</f>
        <v>#N/A</v>
      </c>
      <c r="AW240" s="171">
        <f>Saisie!AM240</f>
        <v>0</v>
      </c>
      <c r="AX240" s="68">
        <f>Saisie!AN240</f>
        <v>0</v>
      </c>
      <c r="AY240" s="20">
        <f>Saisie!AO240</f>
        <v>0</v>
      </c>
      <c r="AZ240" s="21">
        <f>Saisie!AP240</f>
        <v>0</v>
      </c>
      <c r="BA240" s="298">
        <f>Saisie!AQ240</f>
        <v>0</v>
      </c>
      <c r="BB240" s="170">
        <f>Saisie!AR240</f>
        <v>0</v>
      </c>
      <c r="BC240" s="174">
        <f>Saisie!AS240</f>
        <v>0</v>
      </c>
      <c r="BD240" s="61">
        <f>Saisie!AT240</f>
        <v>0</v>
      </c>
      <c r="BE240" s="175" t="e">
        <f t="array" ref="BE240">_xlfn.IFS(Saisie!AU240="OUI",1,Saisie!AU240="NON",0)</f>
        <v>#N/A</v>
      </c>
      <c r="BF240" s="267">
        <f>Saisie!AV240</f>
        <v>0</v>
      </c>
      <c r="BG240" s="55">
        <f>Saisie!AW240</f>
        <v>0</v>
      </c>
      <c r="BH240" s="55" t="e">
        <f t="array" ref="BH240">_xlfn.IFS(Saisie!AX240="OUI",1,Saisie!AX240="NON",0)</f>
        <v>#N/A</v>
      </c>
      <c r="BI240" s="62">
        <f>Saisie!AY240</f>
        <v>0</v>
      </c>
      <c r="BJ240" s="55" t="e">
        <f t="array" ref="BJ240">_xlfn.IFS(Saisie!AZ240="OUI",1,Saisie!AZ240="NON",0)</f>
        <v>#N/A</v>
      </c>
      <c r="BK240" s="55" t="e">
        <f t="array" ref="BK240">_xlfn.IFS(Saisie!BA240="OUI",1,Saisie!BA240="NON",0)</f>
        <v>#N/A</v>
      </c>
      <c r="BL240" s="55">
        <f>Saisie!BB240</f>
        <v>0</v>
      </c>
      <c r="BM240" s="49" t="e">
        <f>Saisie!BC240</f>
        <v>#REF!</v>
      </c>
      <c r="BN240" s="175"/>
    </row>
    <row r="241" spans="1:66" s="176" customFormat="1" x14ac:dyDescent="0.45">
      <c r="A241" s="12">
        <v>235</v>
      </c>
      <c r="B241" s="150">
        <f>Saisie!B241</f>
        <v>0</v>
      </c>
      <c r="C241" s="150">
        <f>Saisie!C241</f>
        <v>0</v>
      </c>
      <c r="D241" s="150">
        <f>Saisie!D241</f>
        <v>0</v>
      </c>
      <c r="E241" s="150">
        <f>Saisie!E241</f>
        <v>0</v>
      </c>
      <c r="F241" s="150">
        <f>Saisie!F241</f>
        <v>0</v>
      </c>
      <c r="G241" s="150">
        <f>Saisie!G241</f>
        <v>0</v>
      </c>
      <c r="H241" s="150">
        <f>Saisie!I241</f>
        <v>0</v>
      </c>
      <c r="I241" s="150">
        <f>Saisie!J241</f>
        <v>0</v>
      </c>
      <c r="J241" s="150">
        <f>Saisie!K241</f>
        <v>0</v>
      </c>
      <c r="K241" s="150">
        <f>Saisie!L241</f>
        <v>0</v>
      </c>
      <c r="L241" s="150" t="e">
        <f>Saisie!#REF!</f>
        <v>#REF!</v>
      </c>
      <c r="M241" s="55" t="e">
        <f t="array" ref="M241">_xlfn.IFS(Saisie!M241="OUI",1,Saisie!M241="NON",0)</f>
        <v>#N/A</v>
      </c>
      <c r="N241" s="64" t="e">
        <f>Saisie!#REF!</f>
        <v>#REF!</v>
      </c>
      <c r="O241" s="63" t="e">
        <f>Saisie!#REF!</f>
        <v>#REF!</v>
      </c>
      <c r="P241" s="63">
        <f>Saisie!N241</f>
        <v>0</v>
      </c>
      <c r="Q241" s="63" t="e">
        <f t="array" ref="Q241">_xlfn.IFS(Saisie!#REF!="OUI",1,Saisie!#REF!="NON",0)</f>
        <v>#REF!</v>
      </c>
      <c r="R241" s="63" t="e">
        <f>Saisie!#REF!</f>
        <v>#REF!</v>
      </c>
      <c r="S241" s="65" t="e">
        <f>Saisie!#REF!</f>
        <v>#REF!</v>
      </c>
      <c r="T241" s="63" t="e">
        <f>Saisie!#REF!</f>
        <v>#REF!</v>
      </c>
      <c r="U241" s="63" t="e">
        <f>Saisie!#REF!</f>
        <v>#REF!</v>
      </c>
      <c r="V241" s="63" t="e">
        <f t="array" ref="V241">_xlfn.IFS(Saisie!#REF!="OUI",1,Saisie!#REF!="NON",0)</f>
        <v>#REF!</v>
      </c>
      <c r="W241" s="63" t="e">
        <f t="array" ref="W241">_xlfn.IFS(Saisie!O241="OUI",1,Saisie!O241="NON",0)</f>
        <v>#N/A</v>
      </c>
      <c r="X241" s="63">
        <f>Saisie!P241</f>
        <v>0</v>
      </c>
      <c r="Y241" s="299">
        <f>Saisie!H241</f>
        <v>0</v>
      </c>
      <c r="Z241" s="58" t="e">
        <f>Saisie!#REF!</f>
        <v>#REF!</v>
      </c>
      <c r="AA241" s="299">
        <f>Saisie!Q241</f>
        <v>0</v>
      </c>
      <c r="AB241" s="63" t="e">
        <f t="array" ref="AB241">_xlfn.IFS(Saisie!R241="OUI",1,Saisie!R241="NON",0)</f>
        <v>#N/A</v>
      </c>
      <c r="AC241" s="63">
        <f>Saisie!S241</f>
        <v>0</v>
      </c>
      <c r="AD241" s="63" t="e">
        <f t="array" ref="AD241">_xlfn.IFS(Saisie!T241="OUI",1,Saisie!T241="NON",0)</f>
        <v>#N/A</v>
      </c>
      <c r="AE241" s="171">
        <f>Saisie!U241</f>
        <v>0</v>
      </c>
      <c r="AF241" s="262">
        <v>3</v>
      </c>
      <c r="AG241" s="129">
        <f>Saisie!W241</f>
        <v>0</v>
      </c>
      <c r="AH241" s="20">
        <f>Saisie!X241</f>
        <v>0</v>
      </c>
      <c r="AI241" s="21">
        <f>Saisie!Y241</f>
        <v>0</v>
      </c>
      <c r="AJ241" s="59">
        <f>Saisie!Z241</f>
        <v>0</v>
      </c>
      <c r="AK241" s="20">
        <f>Saisie!AA241</f>
        <v>0</v>
      </c>
      <c r="AL241" s="21">
        <f>Saisie!AB241</f>
        <v>0</v>
      </c>
      <c r="AM241" s="59">
        <f>Saisie!AC241</f>
        <v>0</v>
      </c>
      <c r="AN241" s="20">
        <f>Saisie!AD241</f>
        <v>0</v>
      </c>
      <c r="AO241" s="21">
        <f>Saisie!AE241</f>
        <v>0</v>
      </c>
      <c r="AP241" s="59">
        <f>Saisie!AF241</f>
        <v>0</v>
      </c>
      <c r="AQ241" s="129" t="e">
        <f t="array" ref="AQ241">_xlfn.IFS(Saisie!AG241="OUI",1,Saisie!AG241="NON",0)</f>
        <v>#N/A</v>
      </c>
      <c r="AR241" s="129" t="e">
        <f t="array" ref="AR241">_xlfn.IFS(Saisie!AH241="OUI",1,Saisie!AH241="NON",0)</f>
        <v>#N/A</v>
      </c>
      <c r="AS241" s="171">
        <f>Saisie!AI241</f>
        <v>0</v>
      </c>
      <c r="AT241" s="263" t="e">
        <f t="array" ref="AT241">_xlfn.IFS(Saisie!AJ241="OUI",1,Saisie!AJ241="NON",0)</f>
        <v>#N/A</v>
      </c>
      <c r="AU241" s="173">
        <f>Saisie!AK241</f>
        <v>0</v>
      </c>
      <c r="AV241" s="263" t="e">
        <f t="array" ref="AV241">_xlfn.IFS(Saisie!AL241="OUI",1,Saisie!AL241="NON",0)</f>
        <v>#N/A</v>
      </c>
      <c r="AW241" s="171">
        <f>Saisie!AM241</f>
        <v>0</v>
      </c>
      <c r="AX241" s="68">
        <f>Saisie!AN241</f>
        <v>0</v>
      </c>
      <c r="AY241" s="20">
        <f>Saisie!AO241</f>
        <v>0</v>
      </c>
      <c r="AZ241" s="21">
        <f>Saisie!AP241</f>
        <v>0</v>
      </c>
      <c r="BA241" s="298">
        <f>Saisie!AQ241</f>
        <v>0</v>
      </c>
      <c r="BB241" s="170">
        <f>Saisie!AR241</f>
        <v>0</v>
      </c>
      <c r="BC241" s="174">
        <f>Saisie!AS241</f>
        <v>0</v>
      </c>
      <c r="BD241" s="61">
        <f>Saisie!AT241</f>
        <v>0</v>
      </c>
      <c r="BE241" s="175" t="e">
        <f t="array" ref="BE241">_xlfn.IFS(Saisie!AU241="OUI",1,Saisie!AU241="NON",0)</f>
        <v>#N/A</v>
      </c>
      <c r="BF241" s="267">
        <f>Saisie!AV241</f>
        <v>0</v>
      </c>
      <c r="BG241" s="55">
        <f>Saisie!AW241</f>
        <v>0</v>
      </c>
      <c r="BH241" s="55" t="e">
        <f t="array" ref="BH241">_xlfn.IFS(Saisie!AX241="OUI",1,Saisie!AX241="NON",0)</f>
        <v>#N/A</v>
      </c>
      <c r="BI241" s="62">
        <f>Saisie!AY241</f>
        <v>0</v>
      </c>
      <c r="BJ241" s="55" t="e">
        <f t="array" ref="BJ241">_xlfn.IFS(Saisie!AZ241="OUI",1,Saisie!AZ241="NON",0)</f>
        <v>#N/A</v>
      </c>
      <c r="BK241" s="55" t="e">
        <f t="array" ref="BK241">_xlfn.IFS(Saisie!BA241="OUI",1,Saisie!BA241="NON",0)</f>
        <v>#N/A</v>
      </c>
      <c r="BL241" s="55">
        <f>Saisie!BB241</f>
        <v>0</v>
      </c>
      <c r="BM241" s="49" t="e">
        <f>Saisie!BC241</f>
        <v>#REF!</v>
      </c>
      <c r="BN241" s="175"/>
    </row>
    <row r="242" spans="1:66" s="176" customFormat="1" x14ac:dyDescent="0.45">
      <c r="A242" s="13">
        <v>236</v>
      </c>
      <c r="B242" s="150">
        <f>Saisie!B242</f>
        <v>0</v>
      </c>
      <c r="C242" s="150">
        <f>Saisie!C242</f>
        <v>0</v>
      </c>
      <c r="D242" s="150">
        <f>Saisie!D242</f>
        <v>0</v>
      </c>
      <c r="E242" s="150">
        <f>Saisie!E242</f>
        <v>0</v>
      </c>
      <c r="F242" s="150">
        <f>Saisie!F242</f>
        <v>0</v>
      </c>
      <c r="G242" s="150">
        <f>Saisie!G242</f>
        <v>0</v>
      </c>
      <c r="H242" s="150">
        <f>Saisie!I242</f>
        <v>0</v>
      </c>
      <c r="I242" s="150">
        <f>Saisie!J242</f>
        <v>0</v>
      </c>
      <c r="J242" s="150">
        <f>Saisie!K242</f>
        <v>0</v>
      </c>
      <c r="K242" s="150">
        <f>Saisie!L242</f>
        <v>0</v>
      </c>
      <c r="L242" s="150" t="e">
        <f>Saisie!#REF!</f>
        <v>#REF!</v>
      </c>
      <c r="M242" s="55" t="e">
        <f t="array" ref="M242">_xlfn.IFS(Saisie!M242="OUI",1,Saisie!M242="NON",0)</f>
        <v>#N/A</v>
      </c>
      <c r="N242" s="64" t="e">
        <f>Saisie!#REF!</f>
        <v>#REF!</v>
      </c>
      <c r="O242" s="63" t="e">
        <f>Saisie!#REF!</f>
        <v>#REF!</v>
      </c>
      <c r="P242" s="63">
        <f>Saisie!N242</f>
        <v>0</v>
      </c>
      <c r="Q242" s="63" t="e">
        <f t="array" ref="Q242">_xlfn.IFS(Saisie!#REF!="OUI",1,Saisie!#REF!="NON",0)</f>
        <v>#REF!</v>
      </c>
      <c r="R242" s="63" t="e">
        <f>Saisie!#REF!</f>
        <v>#REF!</v>
      </c>
      <c r="S242" s="65" t="e">
        <f>Saisie!#REF!</f>
        <v>#REF!</v>
      </c>
      <c r="T242" s="63" t="e">
        <f>Saisie!#REF!</f>
        <v>#REF!</v>
      </c>
      <c r="U242" s="63" t="e">
        <f>Saisie!#REF!</f>
        <v>#REF!</v>
      </c>
      <c r="V242" s="63" t="e">
        <f t="array" ref="V242">_xlfn.IFS(Saisie!#REF!="OUI",1,Saisie!#REF!="NON",0)</f>
        <v>#REF!</v>
      </c>
      <c r="W242" s="63" t="e">
        <f t="array" ref="W242">_xlfn.IFS(Saisie!O242="OUI",1,Saisie!O242="NON",0)</f>
        <v>#N/A</v>
      </c>
      <c r="X242" s="63">
        <f>Saisie!P242</f>
        <v>0</v>
      </c>
      <c r="Y242" s="299">
        <f>Saisie!H242</f>
        <v>0</v>
      </c>
      <c r="Z242" s="58" t="e">
        <f>Saisie!#REF!</f>
        <v>#REF!</v>
      </c>
      <c r="AA242" s="299">
        <f>Saisie!Q242</f>
        <v>0</v>
      </c>
      <c r="AB242" s="63" t="e">
        <f t="array" ref="AB242">_xlfn.IFS(Saisie!R242="OUI",1,Saisie!R242="NON",0)</f>
        <v>#N/A</v>
      </c>
      <c r="AC242" s="63">
        <f>Saisie!S242</f>
        <v>0</v>
      </c>
      <c r="AD242" s="63" t="e">
        <f t="array" ref="AD242">_xlfn.IFS(Saisie!T242="OUI",1,Saisie!T242="NON",0)</f>
        <v>#N/A</v>
      </c>
      <c r="AE242" s="171">
        <f>Saisie!U242</f>
        <v>0</v>
      </c>
      <c r="AF242" s="262">
        <v>3</v>
      </c>
      <c r="AG242" s="129">
        <f>Saisie!W242</f>
        <v>0</v>
      </c>
      <c r="AH242" s="20">
        <f>Saisie!X242</f>
        <v>0</v>
      </c>
      <c r="AI242" s="21">
        <f>Saisie!Y242</f>
        <v>0</v>
      </c>
      <c r="AJ242" s="59">
        <f>Saisie!Z242</f>
        <v>0</v>
      </c>
      <c r="AK242" s="20">
        <f>Saisie!AA242</f>
        <v>0</v>
      </c>
      <c r="AL242" s="21">
        <f>Saisie!AB242</f>
        <v>0</v>
      </c>
      <c r="AM242" s="59">
        <f>Saisie!AC242</f>
        <v>0</v>
      </c>
      <c r="AN242" s="20">
        <f>Saisie!AD242</f>
        <v>0</v>
      </c>
      <c r="AO242" s="21">
        <f>Saisie!AE242</f>
        <v>0</v>
      </c>
      <c r="AP242" s="59">
        <f>Saisie!AF242</f>
        <v>0</v>
      </c>
      <c r="AQ242" s="129" t="e">
        <f t="array" ref="AQ242">_xlfn.IFS(Saisie!AG242="OUI",1,Saisie!AG242="NON",0)</f>
        <v>#N/A</v>
      </c>
      <c r="AR242" s="129" t="e">
        <f t="array" ref="AR242">_xlfn.IFS(Saisie!AH242="OUI",1,Saisie!AH242="NON",0)</f>
        <v>#N/A</v>
      </c>
      <c r="AS242" s="171">
        <f>Saisie!AI242</f>
        <v>0</v>
      </c>
      <c r="AT242" s="263" t="e">
        <f t="array" ref="AT242">_xlfn.IFS(Saisie!AJ242="OUI",1,Saisie!AJ242="NON",0)</f>
        <v>#N/A</v>
      </c>
      <c r="AU242" s="173">
        <f>Saisie!AK242</f>
        <v>0</v>
      </c>
      <c r="AV242" s="263" t="e">
        <f t="array" ref="AV242">_xlfn.IFS(Saisie!AL242="OUI",1,Saisie!AL242="NON",0)</f>
        <v>#N/A</v>
      </c>
      <c r="AW242" s="171">
        <f>Saisie!AM242</f>
        <v>0</v>
      </c>
      <c r="AX242" s="68">
        <f>Saisie!AN242</f>
        <v>0</v>
      </c>
      <c r="AY242" s="20">
        <f>Saisie!AO242</f>
        <v>0</v>
      </c>
      <c r="AZ242" s="21">
        <f>Saisie!AP242</f>
        <v>0</v>
      </c>
      <c r="BA242" s="298">
        <f>Saisie!AQ242</f>
        <v>0</v>
      </c>
      <c r="BB242" s="170">
        <f>Saisie!AR242</f>
        <v>0</v>
      </c>
      <c r="BC242" s="174">
        <f>Saisie!AS242</f>
        <v>0</v>
      </c>
      <c r="BD242" s="61">
        <f>Saisie!AT242</f>
        <v>0</v>
      </c>
      <c r="BE242" s="175" t="e">
        <f t="array" ref="BE242">_xlfn.IFS(Saisie!AU242="OUI",1,Saisie!AU242="NON",0)</f>
        <v>#N/A</v>
      </c>
      <c r="BF242" s="267">
        <f>Saisie!AV242</f>
        <v>0</v>
      </c>
      <c r="BG242" s="55">
        <f>Saisie!AW242</f>
        <v>0</v>
      </c>
      <c r="BH242" s="55" t="e">
        <f t="array" ref="BH242">_xlfn.IFS(Saisie!AX242="OUI",1,Saisie!AX242="NON",0)</f>
        <v>#N/A</v>
      </c>
      <c r="BI242" s="62">
        <f>Saisie!AY242</f>
        <v>0</v>
      </c>
      <c r="BJ242" s="55" t="e">
        <f t="array" ref="BJ242">_xlfn.IFS(Saisie!AZ242="OUI",1,Saisie!AZ242="NON",0)</f>
        <v>#N/A</v>
      </c>
      <c r="BK242" s="55" t="e">
        <f t="array" ref="BK242">_xlfn.IFS(Saisie!BA242="OUI",1,Saisie!BA242="NON",0)</f>
        <v>#N/A</v>
      </c>
      <c r="BL242" s="55">
        <f>Saisie!BB242</f>
        <v>0</v>
      </c>
      <c r="BM242" s="49" t="e">
        <f>Saisie!BC242</f>
        <v>#REF!</v>
      </c>
      <c r="BN242" s="175"/>
    </row>
    <row r="243" spans="1:66" s="176" customFormat="1" x14ac:dyDescent="0.45">
      <c r="A243" s="13">
        <v>237</v>
      </c>
      <c r="B243" s="150">
        <f>Saisie!B243</f>
        <v>0</v>
      </c>
      <c r="C243" s="150">
        <f>Saisie!C243</f>
        <v>0</v>
      </c>
      <c r="D243" s="150">
        <f>Saisie!D243</f>
        <v>0</v>
      </c>
      <c r="E243" s="150">
        <f>Saisie!E243</f>
        <v>0</v>
      </c>
      <c r="F243" s="150">
        <f>Saisie!F243</f>
        <v>0</v>
      </c>
      <c r="G243" s="150">
        <f>Saisie!G243</f>
        <v>0</v>
      </c>
      <c r="H243" s="150">
        <f>Saisie!I243</f>
        <v>0</v>
      </c>
      <c r="I243" s="150">
        <f>Saisie!J243</f>
        <v>0</v>
      </c>
      <c r="J243" s="150">
        <f>Saisie!K243</f>
        <v>0</v>
      </c>
      <c r="K243" s="150">
        <f>Saisie!L243</f>
        <v>0</v>
      </c>
      <c r="L243" s="150" t="e">
        <f>Saisie!#REF!</f>
        <v>#REF!</v>
      </c>
      <c r="M243" s="55" t="e">
        <f t="array" ref="M243">_xlfn.IFS(Saisie!M243="OUI",1,Saisie!M243="NON",0)</f>
        <v>#N/A</v>
      </c>
      <c r="N243" s="64" t="e">
        <f>Saisie!#REF!</f>
        <v>#REF!</v>
      </c>
      <c r="O243" s="63" t="e">
        <f>Saisie!#REF!</f>
        <v>#REF!</v>
      </c>
      <c r="P243" s="63">
        <f>Saisie!N243</f>
        <v>0</v>
      </c>
      <c r="Q243" s="63" t="e">
        <f t="array" ref="Q243">_xlfn.IFS(Saisie!#REF!="OUI",1,Saisie!#REF!="NON",0)</f>
        <v>#REF!</v>
      </c>
      <c r="R243" s="63" t="e">
        <f>Saisie!#REF!</f>
        <v>#REF!</v>
      </c>
      <c r="S243" s="65" t="e">
        <f>Saisie!#REF!</f>
        <v>#REF!</v>
      </c>
      <c r="T243" s="63" t="e">
        <f>Saisie!#REF!</f>
        <v>#REF!</v>
      </c>
      <c r="U243" s="63" t="e">
        <f>Saisie!#REF!</f>
        <v>#REF!</v>
      </c>
      <c r="V243" s="63" t="e">
        <f t="array" ref="V243">_xlfn.IFS(Saisie!#REF!="OUI",1,Saisie!#REF!="NON",0)</f>
        <v>#REF!</v>
      </c>
      <c r="W243" s="63" t="e">
        <f t="array" ref="W243">_xlfn.IFS(Saisie!O243="OUI",1,Saisie!O243="NON",0)</f>
        <v>#N/A</v>
      </c>
      <c r="X243" s="63">
        <f>Saisie!P243</f>
        <v>0</v>
      </c>
      <c r="Y243" s="299">
        <f>Saisie!H243</f>
        <v>0</v>
      </c>
      <c r="Z243" s="58" t="e">
        <f>Saisie!#REF!</f>
        <v>#REF!</v>
      </c>
      <c r="AA243" s="299">
        <f>Saisie!Q243</f>
        <v>0</v>
      </c>
      <c r="AB243" s="63" t="e">
        <f t="array" ref="AB243">_xlfn.IFS(Saisie!R243="OUI",1,Saisie!R243="NON",0)</f>
        <v>#N/A</v>
      </c>
      <c r="AC243" s="63">
        <f>Saisie!S243</f>
        <v>0</v>
      </c>
      <c r="AD243" s="63" t="e">
        <f t="array" ref="AD243">_xlfn.IFS(Saisie!T243="OUI",1,Saisie!T243="NON",0)</f>
        <v>#N/A</v>
      </c>
      <c r="AE243" s="171">
        <f>Saisie!U243</f>
        <v>0</v>
      </c>
      <c r="AF243" s="262">
        <v>3</v>
      </c>
      <c r="AG243" s="129">
        <f>Saisie!W243</f>
        <v>0</v>
      </c>
      <c r="AH243" s="20">
        <f>Saisie!X243</f>
        <v>0</v>
      </c>
      <c r="AI243" s="21">
        <f>Saisie!Y243</f>
        <v>0</v>
      </c>
      <c r="AJ243" s="59">
        <f>Saisie!Z243</f>
        <v>0</v>
      </c>
      <c r="AK243" s="20">
        <f>Saisie!AA243</f>
        <v>0</v>
      </c>
      <c r="AL243" s="21">
        <f>Saisie!AB243</f>
        <v>0</v>
      </c>
      <c r="AM243" s="59">
        <f>Saisie!AC243</f>
        <v>0</v>
      </c>
      <c r="AN243" s="20">
        <f>Saisie!AD243</f>
        <v>0</v>
      </c>
      <c r="AO243" s="21">
        <f>Saisie!AE243</f>
        <v>0</v>
      </c>
      <c r="AP243" s="59">
        <f>Saisie!AF243</f>
        <v>0</v>
      </c>
      <c r="AQ243" s="129" t="e">
        <f t="array" ref="AQ243">_xlfn.IFS(Saisie!AG243="OUI",1,Saisie!AG243="NON",0)</f>
        <v>#N/A</v>
      </c>
      <c r="AR243" s="129" t="e">
        <f t="array" ref="AR243">_xlfn.IFS(Saisie!AH243="OUI",1,Saisie!AH243="NON",0)</f>
        <v>#N/A</v>
      </c>
      <c r="AS243" s="171">
        <f>Saisie!AI243</f>
        <v>0</v>
      </c>
      <c r="AT243" s="263" t="e">
        <f t="array" ref="AT243">_xlfn.IFS(Saisie!AJ243="OUI",1,Saisie!AJ243="NON",0)</f>
        <v>#N/A</v>
      </c>
      <c r="AU243" s="173">
        <f>Saisie!AK243</f>
        <v>0</v>
      </c>
      <c r="AV243" s="263" t="e">
        <f t="array" ref="AV243">_xlfn.IFS(Saisie!AL243="OUI",1,Saisie!AL243="NON",0)</f>
        <v>#N/A</v>
      </c>
      <c r="AW243" s="171">
        <f>Saisie!AM243</f>
        <v>0</v>
      </c>
      <c r="AX243" s="68">
        <f>Saisie!AN243</f>
        <v>0</v>
      </c>
      <c r="AY243" s="20">
        <f>Saisie!AO243</f>
        <v>0</v>
      </c>
      <c r="AZ243" s="21">
        <f>Saisie!AP243</f>
        <v>0</v>
      </c>
      <c r="BA243" s="298">
        <f>Saisie!AQ243</f>
        <v>0</v>
      </c>
      <c r="BB243" s="170">
        <f>Saisie!AR243</f>
        <v>0</v>
      </c>
      <c r="BC243" s="174">
        <f>Saisie!AS243</f>
        <v>0</v>
      </c>
      <c r="BD243" s="61">
        <f>Saisie!AT243</f>
        <v>0</v>
      </c>
      <c r="BE243" s="175" t="e">
        <f t="array" ref="BE243">_xlfn.IFS(Saisie!AU243="OUI",1,Saisie!AU243="NON",0)</f>
        <v>#N/A</v>
      </c>
      <c r="BF243" s="267">
        <f>Saisie!AV243</f>
        <v>0</v>
      </c>
      <c r="BG243" s="55">
        <f>Saisie!AW243</f>
        <v>0</v>
      </c>
      <c r="BH243" s="55" t="e">
        <f t="array" ref="BH243">_xlfn.IFS(Saisie!AX243="OUI",1,Saisie!AX243="NON",0)</f>
        <v>#N/A</v>
      </c>
      <c r="BI243" s="62">
        <f>Saisie!AY243</f>
        <v>0</v>
      </c>
      <c r="BJ243" s="55" t="e">
        <f t="array" ref="BJ243">_xlfn.IFS(Saisie!AZ243="OUI",1,Saisie!AZ243="NON",0)</f>
        <v>#N/A</v>
      </c>
      <c r="BK243" s="55" t="e">
        <f t="array" ref="BK243">_xlfn.IFS(Saisie!BA243="OUI",1,Saisie!BA243="NON",0)</f>
        <v>#N/A</v>
      </c>
      <c r="BL243" s="55">
        <f>Saisie!BB243</f>
        <v>0</v>
      </c>
      <c r="BM243" s="49" t="e">
        <f>Saisie!BC243</f>
        <v>#REF!</v>
      </c>
      <c r="BN243" s="175"/>
    </row>
    <row r="244" spans="1:66" s="176" customFormat="1" x14ac:dyDescent="0.45">
      <c r="A244" s="12">
        <v>238</v>
      </c>
      <c r="B244" s="150">
        <f>Saisie!B244</f>
        <v>0</v>
      </c>
      <c r="C244" s="150">
        <f>Saisie!C244</f>
        <v>0</v>
      </c>
      <c r="D244" s="150">
        <f>Saisie!D244</f>
        <v>0</v>
      </c>
      <c r="E244" s="150">
        <f>Saisie!E244</f>
        <v>0</v>
      </c>
      <c r="F244" s="150">
        <f>Saisie!F244</f>
        <v>0</v>
      </c>
      <c r="G244" s="150">
        <f>Saisie!G244</f>
        <v>0</v>
      </c>
      <c r="H244" s="150">
        <f>Saisie!I244</f>
        <v>0</v>
      </c>
      <c r="I244" s="150">
        <f>Saisie!J244</f>
        <v>0</v>
      </c>
      <c r="J244" s="150">
        <f>Saisie!K244</f>
        <v>0</v>
      </c>
      <c r="K244" s="150">
        <f>Saisie!L244</f>
        <v>0</v>
      </c>
      <c r="L244" s="150" t="e">
        <f>Saisie!#REF!</f>
        <v>#REF!</v>
      </c>
      <c r="M244" s="55" t="e">
        <f t="array" ref="M244">_xlfn.IFS(Saisie!M244="OUI",1,Saisie!M244="NON",0)</f>
        <v>#N/A</v>
      </c>
      <c r="N244" s="64" t="e">
        <f>Saisie!#REF!</f>
        <v>#REF!</v>
      </c>
      <c r="O244" s="63" t="e">
        <f>Saisie!#REF!</f>
        <v>#REF!</v>
      </c>
      <c r="P244" s="63">
        <f>Saisie!N244</f>
        <v>0</v>
      </c>
      <c r="Q244" s="63" t="e">
        <f t="array" ref="Q244">_xlfn.IFS(Saisie!#REF!="OUI",1,Saisie!#REF!="NON",0)</f>
        <v>#REF!</v>
      </c>
      <c r="R244" s="63" t="e">
        <f>Saisie!#REF!</f>
        <v>#REF!</v>
      </c>
      <c r="S244" s="65" t="e">
        <f>Saisie!#REF!</f>
        <v>#REF!</v>
      </c>
      <c r="T244" s="63" t="e">
        <f>Saisie!#REF!</f>
        <v>#REF!</v>
      </c>
      <c r="U244" s="63" t="e">
        <f>Saisie!#REF!</f>
        <v>#REF!</v>
      </c>
      <c r="V244" s="63" t="e">
        <f t="array" ref="V244">_xlfn.IFS(Saisie!#REF!="OUI",1,Saisie!#REF!="NON",0)</f>
        <v>#REF!</v>
      </c>
      <c r="W244" s="63" t="e">
        <f t="array" ref="W244">_xlfn.IFS(Saisie!O244="OUI",1,Saisie!O244="NON",0)</f>
        <v>#N/A</v>
      </c>
      <c r="X244" s="63">
        <f>Saisie!P244</f>
        <v>0</v>
      </c>
      <c r="Y244" s="299">
        <f>Saisie!H244</f>
        <v>0</v>
      </c>
      <c r="Z244" s="58" t="e">
        <f>Saisie!#REF!</f>
        <v>#REF!</v>
      </c>
      <c r="AA244" s="299">
        <f>Saisie!Q244</f>
        <v>0</v>
      </c>
      <c r="AB244" s="63" t="e">
        <f t="array" ref="AB244">_xlfn.IFS(Saisie!R244="OUI",1,Saisie!R244="NON",0)</f>
        <v>#N/A</v>
      </c>
      <c r="AC244" s="63">
        <f>Saisie!S244</f>
        <v>0</v>
      </c>
      <c r="AD244" s="63" t="e">
        <f t="array" ref="AD244">_xlfn.IFS(Saisie!T244="OUI",1,Saisie!T244="NON",0)</f>
        <v>#N/A</v>
      </c>
      <c r="AE244" s="171">
        <f>Saisie!U244</f>
        <v>0</v>
      </c>
      <c r="AF244" s="262">
        <v>3</v>
      </c>
      <c r="AG244" s="129">
        <f>Saisie!W244</f>
        <v>0</v>
      </c>
      <c r="AH244" s="20">
        <f>Saisie!X244</f>
        <v>0</v>
      </c>
      <c r="AI244" s="21">
        <f>Saisie!Y244</f>
        <v>0</v>
      </c>
      <c r="AJ244" s="59">
        <f>Saisie!Z244</f>
        <v>0</v>
      </c>
      <c r="AK244" s="20">
        <f>Saisie!AA244</f>
        <v>0</v>
      </c>
      <c r="AL244" s="21">
        <f>Saisie!AB244</f>
        <v>0</v>
      </c>
      <c r="AM244" s="59">
        <f>Saisie!AC244</f>
        <v>0</v>
      </c>
      <c r="AN244" s="20">
        <f>Saisie!AD244</f>
        <v>0</v>
      </c>
      <c r="AO244" s="21">
        <f>Saisie!AE244</f>
        <v>0</v>
      </c>
      <c r="AP244" s="59">
        <f>Saisie!AF244</f>
        <v>0</v>
      </c>
      <c r="AQ244" s="129" t="e">
        <f t="array" ref="AQ244">_xlfn.IFS(Saisie!AG244="OUI",1,Saisie!AG244="NON",0)</f>
        <v>#N/A</v>
      </c>
      <c r="AR244" s="129" t="e">
        <f t="array" ref="AR244">_xlfn.IFS(Saisie!AH244="OUI",1,Saisie!AH244="NON",0)</f>
        <v>#N/A</v>
      </c>
      <c r="AS244" s="171">
        <f>Saisie!AI244</f>
        <v>0</v>
      </c>
      <c r="AT244" s="263" t="e">
        <f t="array" ref="AT244">_xlfn.IFS(Saisie!AJ244="OUI",1,Saisie!AJ244="NON",0)</f>
        <v>#N/A</v>
      </c>
      <c r="AU244" s="173">
        <f>Saisie!AK244</f>
        <v>0</v>
      </c>
      <c r="AV244" s="263" t="e">
        <f t="array" ref="AV244">_xlfn.IFS(Saisie!AL244="OUI",1,Saisie!AL244="NON",0)</f>
        <v>#N/A</v>
      </c>
      <c r="AW244" s="171">
        <f>Saisie!AM244</f>
        <v>0</v>
      </c>
      <c r="AX244" s="68">
        <f>Saisie!AN244</f>
        <v>0</v>
      </c>
      <c r="AY244" s="20">
        <f>Saisie!AO244</f>
        <v>0</v>
      </c>
      <c r="AZ244" s="21">
        <f>Saisie!AP244</f>
        <v>0</v>
      </c>
      <c r="BA244" s="298">
        <f>Saisie!AQ244</f>
        <v>0</v>
      </c>
      <c r="BB244" s="170">
        <f>Saisie!AR244</f>
        <v>0</v>
      </c>
      <c r="BC244" s="174">
        <f>Saisie!AS244</f>
        <v>0</v>
      </c>
      <c r="BD244" s="61">
        <f>Saisie!AT244</f>
        <v>0</v>
      </c>
      <c r="BE244" s="175" t="e">
        <f t="array" ref="BE244">_xlfn.IFS(Saisie!AU244="OUI",1,Saisie!AU244="NON",0)</f>
        <v>#N/A</v>
      </c>
      <c r="BF244" s="267">
        <f>Saisie!AV244</f>
        <v>0</v>
      </c>
      <c r="BG244" s="55">
        <f>Saisie!AW244</f>
        <v>0</v>
      </c>
      <c r="BH244" s="55" t="e">
        <f t="array" ref="BH244">_xlfn.IFS(Saisie!AX244="OUI",1,Saisie!AX244="NON",0)</f>
        <v>#N/A</v>
      </c>
      <c r="BI244" s="62">
        <f>Saisie!AY244</f>
        <v>0</v>
      </c>
      <c r="BJ244" s="55" t="e">
        <f t="array" ref="BJ244">_xlfn.IFS(Saisie!AZ244="OUI",1,Saisie!AZ244="NON",0)</f>
        <v>#N/A</v>
      </c>
      <c r="BK244" s="55" t="e">
        <f t="array" ref="BK244">_xlfn.IFS(Saisie!BA244="OUI",1,Saisie!BA244="NON",0)</f>
        <v>#N/A</v>
      </c>
      <c r="BL244" s="55">
        <f>Saisie!BB244</f>
        <v>0</v>
      </c>
      <c r="BM244" s="49" t="e">
        <f>Saisie!BC244</f>
        <v>#REF!</v>
      </c>
      <c r="BN244" s="175"/>
    </row>
    <row r="245" spans="1:66" s="176" customFormat="1" x14ac:dyDescent="0.45">
      <c r="A245" s="13">
        <v>239</v>
      </c>
      <c r="B245" s="150">
        <f>Saisie!B245</f>
        <v>0</v>
      </c>
      <c r="C245" s="150">
        <f>Saisie!C245</f>
        <v>0</v>
      </c>
      <c r="D245" s="150">
        <f>Saisie!D245</f>
        <v>0</v>
      </c>
      <c r="E245" s="150">
        <f>Saisie!E245</f>
        <v>0</v>
      </c>
      <c r="F245" s="150">
        <f>Saisie!F245</f>
        <v>0</v>
      </c>
      <c r="G245" s="150">
        <f>Saisie!G245</f>
        <v>0</v>
      </c>
      <c r="H245" s="150">
        <f>Saisie!I245</f>
        <v>0</v>
      </c>
      <c r="I245" s="150">
        <f>Saisie!J245</f>
        <v>0</v>
      </c>
      <c r="J245" s="150">
        <f>Saisie!K245</f>
        <v>0</v>
      </c>
      <c r="K245" s="150">
        <f>Saisie!L245</f>
        <v>0</v>
      </c>
      <c r="L245" s="150" t="e">
        <f>Saisie!#REF!</f>
        <v>#REF!</v>
      </c>
      <c r="M245" s="55" t="e">
        <f t="array" ref="M245">_xlfn.IFS(Saisie!M245="OUI",1,Saisie!M245="NON",0)</f>
        <v>#N/A</v>
      </c>
      <c r="N245" s="64" t="e">
        <f>Saisie!#REF!</f>
        <v>#REF!</v>
      </c>
      <c r="O245" s="63" t="e">
        <f>Saisie!#REF!</f>
        <v>#REF!</v>
      </c>
      <c r="P245" s="63">
        <f>Saisie!N245</f>
        <v>0</v>
      </c>
      <c r="Q245" s="63" t="e">
        <f t="array" ref="Q245">_xlfn.IFS(Saisie!#REF!="OUI",1,Saisie!#REF!="NON",0)</f>
        <v>#REF!</v>
      </c>
      <c r="R245" s="63" t="e">
        <f>Saisie!#REF!</f>
        <v>#REF!</v>
      </c>
      <c r="S245" s="65" t="e">
        <f>Saisie!#REF!</f>
        <v>#REF!</v>
      </c>
      <c r="T245" s="63" t="e">
        <f>Saisie!#REF!</f>
        <v>#REF!</v>
      </c>
      <c r="U245" s="63" t="e">
        <f>Saisie!#REF!</f>
        <v>#REF!</v>
      </c>
      <c r="V245" s="63" t="e">
        <f t="array" ref="V245">_xlfn.IFS(Saisie!#REF!="OUI",1,Saisie!#REF!="NON",0)</f>
        <v>#REF!</v>
      </c>
      <c r="W245" s="63" t="e">
        <f t="array" ref="W245">_xlfn.IFS(Saisie!O245="OUI",1,Saisie!O245="NON",0)</f>
        <v>#N/A</v>
      </c>
      <c r="X245" s="63">
        <f>Saisie!P245</f>
        <v>0</v>
      </c>
      <c r="Y245" s="299">
        <f>Saisie!H245</f>
        <v>0</v>
      </c>
      <c r="Z245" s="58" t="e">
        <f>Saisie!#REF!</f>
        <v>#REF!</v>
      </c>
      <c r="AA245" s="299">
        <f>Saisie!Q245</f>
        <v>0</v>
      </c>
      <c r="AB245" s="63" t="e">
        <f t="array" ref="AB245">_xlfn.IFS(Saisie!R245="OUI",1,Saisie!R245="NON",0)</f>
        <v>#N/A</v>
      </c>
      <c r="AC245" s="63">
        <f>Saisie!S245</f>
        <v>0</v>
      </c>
      <c r="AD245" s="63" t="e">
        <f t="array" ref="AD245">_xlfn.IFS(Saisie!T245="OUI",1,Saisie!T245="NON",0)</f>
        <v>#N/A</v>
      </c>
      <c r="AE245" s="171">
        <f>Saisie!U245</f>
        <v>0</v>
      </c>
      <c r="AF245" s="262">
        <v>3</v>
      </c>
      <c r="AG245" s="129">
        <f>Saisie!W245</f>
        <v>0</v>
      </c>
      <c r="AH245" s="20">
        <f>Saisie!X245</f>
        <v>0</v>
      </c>
      <c r="AI245" s="21">
        <f>Saisie!Y245</f>
        <v>0</v>
      </c>
      <c r="AJ245" s="59">
        <f>Saisie!Z245</f>
        <v>0</v>
      </c>
      <c r="AK245" s="20">
        <f>Saisie!AA245</f>
        <v>0</v>
      </c>
      <c r="AL245" s="21">
        <f>Saisie!AB245</f>
        <v>0</v>
      </c>
      <c r="AM245" s="59">
        <f>Saisie!AC245</f>
        <v>0</v>
      </c>
      <c r="AN245" s="20">
        <f>Saisie!AD245</f>
        <v>0</v>
      </c>
      <c r="AO245" s="21">
        <f>Saisie!AE245</f>
        <v>0</v>
      </c>
      <c r="AP245" s="59">
        <f>Saisie!AF245</f>
        <v>0</v>
      </c>
      <c r="AQ245" s="129" t="e">
        <f t="array" ref="AQ245">_xlfn.IFS(Saisie!AG245="OUI",1,Saisie!AG245="NON",0)</f>
        <v>#N/A</v>
      </c>
      <c r="AR245" s="129" t="e">
        <f t="array" ref="AR245">_xlfn.IFS(Saisie!AH245="OUI",1,Saisie!AH245="NON",0)</f>
        <v>#N/A</v>
      </c>
      <c r="AS245" s="171">
        <f>Saisie!AI245</f>
        <v>0</v>
      </c>
      <c r="AT245" s="263" t="e">
        <f t="array" ref="AT245">_xlfn.IFS(Saisie!AJ245="OUI",1,Saisie!AJ245="NON",0)</f>
        <v>#N/A</v>
      </c>
      <c r="AU245" s="173">
        <f>Saisie!AK245</f>
        <v>0</v>
      </c>
      <c r="AV245" s="263" t="e">
        <f t="array" ref="AV245">_xlfn.IFS(Saisie!AL245="OUI",1,Saisie!AL245="NON",0)</f>
        <v>#N/A</v>
      </c>
      <c r="AW245" s="171">
        <f>Saisie!AM245</f>
        <v>0</v>
      </c>
      <c r="AX245" s="68">
        <f>Saisie!AN245</f>
        <v>0</v>
      </c>
      <c r="AY245" s="20">
        <f>Saisie!AO245</f>
        <v>0</v>
      </c>
      <c r="AZ245" s="21">
        <f>Saisie!AP245</f>
        <v>0</v>
      </c>
      <c r="BA245" s="298">
        <f>Saisie!AQ245</f>
        <v>0</v>
      </c>
      <c r="BB245" s="170">
        <f>Saisie!AR245</f>
        <v>0</v>
      </c>
      <c r="BC245" s="174">
        <f>Saisie!AS245</f>
        <v>0</v>
      </c>
      <c r="BD245" s="61">
        <f>Saisie!AT245</f>
        <v>0</v>
      </c>
      <c r="BE245" s="175" t="e">
        <f t="array" ref="BE245">_xlfn.IFS(Saisie!AU245="OUI",1,Saisie!AU245="NON",0)</f>
        <v>#N/A</v>
      </c>
      <c r="BF245" s="267">
        <f>Saisie!AV245</f>
        <v>0</v>
      </c>
      <c r="BG245" s="55">
        <f>Saisie!AW245</f>
        <v>0</v>
      </c>
      <c r="BH245" s="55" t="e">
        <f t="array" ref="BH245">_xlfn.IFS(Saisie!AX245="OUI",1,Saisie!AX245="NON",0)</f>
        <v>#N/A</v>
      </c>
      <c r="BI245" s="62">
        <f>Saisie!AY245</f>
        <v>0</v>
      </c>
      <c r="BJ245" s="55" t="e">
        <f t="array" ref="BJ245">_xlfn.IFS(Saisie!AZ245="OUI",1,Saisie!AZ245="NON",0)</f>
        <v>#N/A</v>
      </c>
      <c r="BK245" s="55" t="e">
        <f t="array" ref="BK245">_xlfn.IFS(Saisie!BA245="OUI",1,Saisie!BA245="NON",0)</f>
        <v>#N/A</v>
      </c>
      <c r="BL245" s="55">
        <f>Saisie!BB245</f>
        <v>0</v>
      </c>
      <c r="BM245" s="49" t="e">
        <f>Saisie!BC245</f>
        <v>#REF!</v>
      </c>
      <c r="BN245" s="175"/>
    </row>
    <row r="246" spans="1:66" s="176" customFormat="1" x14ac:dyDescent="0.45">
      <c r="A246" s="13">
        <v>240</v>
      </c>
      <c r="B246" s="150">
        <f>Saisie!B246</f>
        <v>0</v>
      </c>
      <c r="C246" s="150">
        <f>Saisie!C246</f>
        <v>0</v>
      </c>
      <c r="D246" s="150">
        <f>Saisie!D246</f>
        <v>0</v>
      </c>
      <c r="E246" s="150">
        <f>Saisie!E246</f>
        <v>0</v>
      </c>
      <c r="F246" s="150">
        <f>Saisie!F246</f>
        <v>0</v>
      </c>
      <c r="G246" s="150">
        <f>Saisie!G246</f>
        <v>0</v>
      </c>
      <c r="H246" s="150">
        <f>Saisie!I246</f>
        <v>0</v>
      </c>
      <c r="I246" s="150">
        <f>Saisie!J246</f>
        <v>0</v>
      </c>
      <c r="J246" s="150">
        <f>Saisie!K246</f>
        <v>0</v>
      </c>
      <c r="K246" s="150">
        <f>Saisie!L246</f>
        <v>0</v>
      </c>
      <c r="L246" s="150" t="e">
        <f>Saisie!#REF!</f>
        <v>#REF!</v>
      </c>
      <c r="M246" s="55" t="e">
        <f t="array" ref="M246">_xlfn.IFS(Saisie!M246="OUI",1,Saisie!M246="NON",0)</f>
        <v>#N/A</v>
      </c>
      <c r="N246" s="64" t="e">
        <f>Saisie!#REF!</f>
        <v>#REF!</v>
      </c>
      <c r="O246" s="63" t="e">
        <f>Saisie!#REF!</f>
        <v>#REF!</v>
      </c>
      <c r="P246" s="63">
        <f>Saisie!N246</f>
        <v>0</v>
      </c>
      <c r="Q246" s="63" t="e">
        <f t="array" ref="Q246">_xlfn.IFS(Saisie!#REF!="OUI",1,Saisie!#REF!="NON",0)</f>
        <v>#REF!</v>
      </c>
      <c r="R246" s="63" t="e">
        <f>Saisie!#REF!</f>
        <v>#REF!</v>
      </c>
      <c r="S246" s="65" t="e">
        <f>Saisie!#REF!</f>
        <v>#REF!</v>
      </c>
      <c r="T246" s="63" t="e">
        <f>Saisie!#REF!</f>
        <v>#REF!</v>
      </c>
      <c r="U246" s="63" t="e">
        <f>Saisie!#REF!</f>
        <v>#REF!</v>
      </c>
      <c r="V246" s="63" t="e">
        <f t="array" ref="V246">_xlfn.IFS(Saisie!#REF!="OUI",1,Saisie!#REF!="NON",0)</f>
        <v>#REF!</v>
      </c>
      <c r="W246" s="63" t="e">
        <f t="array" ref="W246">_xlfn.IFS(Saisie!O246="OUI",1,Saisie!O246="NON",0)</f>
        <v>#N/A</v>
      </c>
      <c r="X246" s="63">
        <f>Saisie!P246</f>
        <v>0</v>
      </c>
      <c r="Y246" s="299">
        <f>Saisie!H246</f>
        <v>0</v>
      </c>
      <c r="Z246" s="58" t="e">
        <f>Saisie!#REF!</f>
        <v>#REF!</v>
      </c>
      <c r="AA246" s="299">
        <f>Saisie!Q246</f>
        <v>0</v>
      </c>
      <c r="AB246" s="63" t="e">
        <f t="array" ref="AB246">_xlfn.IFS(Saisie!R246="OUI",1,Saisie!R246="NON",0)</f>
        <v>#N/A</v>
      </c>
      <c r="AC246" s="63">
        <f>Saisie!S246</f>
        <v>0</v>
      </c>
      <c r="AD246" s="63" t="e">
        <f t="array" ref="AD246">_xlfn.IFS(Saisie!T246="OUI",1,Saisie!T246="NON",0)</f>
        <v>#N/A</v>
      </c>
      <c r="AE246" s="171">
        <f>Saisie!U246</f>
        <v>0</v>
      </c>
      <c r="AF246" s="262">
        <v>3</v>
      </c>
      <c r="AG246" s="129">
        <f>Saisie!W246</f>
        <v>0</v>
      </c>
      <c r="AH246" s="20">
        <f>Saisie!X246</f>
        <v>0</v>
      </c>
      <c r="AI246" s="21">
        <f>Saisie!Y246</f>
        <v>0</v>
      </c>
      <c r="AJ246" s="59">
        <f>Saisie!Z246</f>
        <v>0</v>
      </c>
      <c r="AK246" s="20">
        <f>Saisie!AA246</f>
        <v>0</v>
      </c>
      <c r="AL246" s="21">
        <f>Saisie!AB246</f>
        <v>0</v>
      </c>
      <c r="AM246" s="59">
        <f>Saisie!AC246</f>
        <v>0</v>
      </c>
      <c r="AN246" s="20">
        <f>Saisie!AD246</f>
        <v>0</v>
      </c>
      <c r="AO246" s="21">
        <f>Saisie!AE246</f>
        <v>0</v>
      </c>
      <c r="AP246" s="59">
        <f>Saisie!AF246</f>
        <v>0</v>
      </c>
      <c r="AQ246" s="129" t="e">
        <f t="array" ref="AQ246">_xlfn.IFS(Saisie!AG246="OUI",1,Saisie!AG246="NON",0)</f>
        <v>#N/A</v>
      </c>
      <c r="AR246" s="129" t="e">
        <f t="array" ref="AR246">_xlfn.IFS(Saisie!AH246="OUI",1,Saisie!AH246="NON",0)</f>
        <v>#N/A</v>
      </c>
      <c r="AS246" s="171">
        <f>Saisie!AI246</f>
        <v>0</v>
      </c>
      <c r="AT246" s="263" t="e">
        <f t="array" ref="AT246">_xlfn.IFS(Saisie!AJ246="OUI",1,Saisie!AJ246="NON",0)</f>
        <v>#N/A</v>
      </c>
      <c r="AU246" s="173">
        <f>Saisie!AK246</f>
        <v>0</v>
      </c>
      <c r="AV246" s="263" t="e">
        <f t="array" ref="AV246">_xlfn.IFS(Saisie!AL246="OUI",1,Saisie!AL246="NON",0)</f>
        <v>#N/A</v>
      </c>
      <c r="AW246" s="171">
        <f>Saisie!AM246</f>
        <v>0</v>
      </c>
      <c r="AX246" s="68">
        <f>Saisie!AN246</f>
        <v>0</v>
      </c>
      <c r="AY246" s="20">
        <f>Saisie!AO246</f>
        <v>0</v>
      </c>
      <c r="AZ246" s="21">
        <f>Saisie!AP246</f>
        <v>0</v>
      </c>
      <c r="BA246" s="298">
        <f>Saisie!AQ246</f>
        <v>0</v>
      </c>
      <c r="BB246" s="170">
        <f>Saisie!AR246</f>
        <v>0</v>
      </c>
      <c r="BC246" s="174">
        <f>Saisie!AS246</f>
        <v>0</v>
      </c>
      <c r="BD246" s="61">
        <f>Saisie!AT246</f>
        <v>0</v>
      </c>
      <c r="BE246" s="175" t="e">
        <f t="array" ref="BE246">_xlfn.IFS(Saisie!AU246="OUI",1,Saisie!AU246="NON",0)</f>
        <v>#N/A</v>
      </c>
      <c r="BF246" s="267">
        <f>Saisie!AV246</f>
        <v>0</v>
      </c>
      <c r="BG246" s="55">
        <f>Saisie!AW246</f>
        <v>0</v>
      </c>
      <c r="BH246" s="55" t="e">
        <f t="array" ref="BH246">_xlfn.IFS(Saisie!AX246="OUI",1,Saisie!AX246="NON",0)</f>
        <v>#N/A</v>
      </c>
      <c r="BI246" s="62">
        <f>Saisie!AY246</f>
        <v>0</v>
      </c>
      <c r="BJ246" s="55" t="e">
        <f t="array" ref="BJ246">_xlfn.IFS(Saisie!AZ246="OUI",1,Saisie!AZ246="NON",0)</f>
        <v>#N/A</v>
      </c>
      <c r="BK246" s="55" t="e">
        <f t="array" ref="BK246">_xlfn.IFS(Saisie!BA246="OUI",1,Saisie!BA246="NON",0)</f>
        <v>#N/A</v>
      </c>
      <c r="BL246" s="55">
        <f>Saisie!BB246</f>
        <v>0</v>
      </c>
      <c r="BM246" s="49" t="e">
        <f>Saisie!BC246</f>
        <v>#REF!</v>
      </c>
      <c r="BN246" s="175"/>
    </row>
    <row r="247" spans="1:66" s="176" customFormat="1" x14ac:dyDescent="0.45">
      <c r="A247" s="12">
        <v>241</v>
      </c>
      <c r="B247" s="150">
        <f>Saisie!B247</f>
        <v>0</v>
      </c>
      <c r="C247" s="150">
        <f>Saisie!C247</f>
        <v>0</v>
      </c>
      <c r="D247" s="150">
        <f>Saisie!D247</f>
        <v>0</v>
      </c>
      <c r="E247" s="150">
        <f>Saisie!E247</f>
        <v>0</v>
      </c>
      <c r="F247" s="150">
        <f>Saisie!F247</f>
        <v>0</v>
      </c>
      <c r="G247" s="150">
        <f>Saisie!G247</f>
        <v>0</v>
      </c>
      <c r="H247" s="150">
        <f>Saisie!I247</f>
        <v>0</v>
      </c>
      <c r="I247" s="150">
        <f>Saisie!J247</f>
        <v>0</v>
      </c>
      <c r="J247" s="150">
        <f>Saisie!K247</f>
        <v>0</v>
      </c>
      <c r="K247" s="150">
        <f>Saisie!L247</f>
        <v>0</v>
      </c>
      <c r="L247" s="150" t="e">
        <f>Saisie!#REF!</f>
        <v>#REF!</v>
      </c>
      <c r="M247" s="55" t="e">
        <f t="array" ref="M247">_xlfn.IFS(Saisie!M247="OUI",1,Saisie!M247="NON",0)</f>
        <v>#N/A</v>
      </c>
      <c r="N247" s="64" t="e">
        <f>Saisie!#REF!</f>
        <v>#REF!</v>
      </c>
      <c r="O247" s="63" t="e">
        <f>Saisie!#REF!</f>
        <v>#REF!</v>
      </c>
      <c r="P247" s="63">
        <f>Saisie!N247</f>
        <v>0</v>
      </c>
      <c r="Q247" s="63" t="e">
        <f t="array" ref="Q247">_xlfn.IFS(Saisie!#REF!="OUI",1,Saisie!#REF!="NON",0)</f>
        <v>#REF!</v>
      </c>
      <c r="R247" s="63" t="e">
        <f>Saisie!#REF!</f>
        <v>#REF!</v>
      </c>
      <c r="S247" s="65" t="e">
        <f>Saisie!#REF!</f>
        <v>#REF!</v>
      </c>
      <c r="T247" s="63" t="e">
        <f>Saisie!#REF!</f>
        <v>#REF!</v>
      </c>
      <c r="U247" s="63" t="e">
        <f>Saisie!#REF!</f>
        <v>#REF!</v>
      </c>
      <c r="V247" s="63" t="e">
        <f t="array" ref="V247">_xlfn.IFS(Saisie!#REF!="OUI",1,Saisie!#REF!="NON",0)</f>
        <v>#REF!</v>
      </c>
      <c r="W247" s="63" t="e">
        <f t="array" ref="W247">_xlfn.IFS(Saisie!O247="OUI",1,Saisie!O247="NON",0)</f>
        <v>#N/A</v>
      </c>
      <c r="X247" s="63">
        <f>Saisie!P247</f>
        <v>0</v>
      </c>
      <c r="Y247" s="299">
        <f>Saisie!H247</f>
        <v>0</v>
      </c>
      <c r="Z247" s="58" t="e">
        <f>Saisie!#REF!</f>
        <v>#REF!</v>
      </c>
      <c r="AA247" s="299">
        <f>Saisie!Q247</f>
        <v>0</v>
      </c>
      <c r="AB247" s="63" t="e">
        <f t="array" ref="AB247">_xlfn.IFS(Saisie!R247="OUI",1,Saisie!R247="NON",0)</f>
        <v>#N/A</v>
      </c>
      <c r="AC247" s="63">
        <f>Saisie!S247</f>
        <v>0</v>
      </c>
      <c r="AD247" s="63" t="e">
        <f t="array" ref="AD247">_xlfn.IFS(Saisie!T247="OUI",1,Saisie!T247="NON",0)</f>
        <v>#N/A</v>
      </c>
      <c r="AE247" s="171">
        <f>Saisie!U247</f>
        <v>0</v>
      </c>
      <c r="AF247" s="262">
        <v>3</v>
      </c>
      <c r="AG247" s="129">
        <f>Saisie!W247</f>
        <v>0</v>
      </c>
      <c r="AH247" s="20">
        <f>Saisie!X247</f>
        <v>0</v>
      </c>
      <c r="AI247" s="21">
        <f>Saisie!Y247</f>
        <v>0</v>
      </c>
      <c r="AJ247" s="59">
        <f>Saisie!Z247</f>
        <v>0</v>
      </c>
      <c r="AK247" s="20">
        <f>Saisie!AA247</f>
        <v>0</v>
      </c>
      <c r="AL247" s="21">
        <f>Saisie!AB247</f>
        <v>0</v>
      </c>
      <c r="AM247" s="59">
        <f>Saisie!AC247</f>
        <v>0</v>
      </c>
      <c r="AN247" s="20">
        <f>Saisie!AD247</f>
        <v>0</v>
      </c>
      <c r="AO247" s="21">
        <f>Saisie!AE247</f>
        <v>0</v>
      </c>
      <c r="AP247" s="59">
        <f>Saisie!AF247</f>
        <v>0</v>
      </c>
      <c r="AQ247" s="129" t="e">
        <f t="array" ref="AQ247">_xlfn.IFS(Saisie!AG247="OUI",1,Saisie!AG247="NON",0)</f>
        <v>#N/A</v>
      </c>
      <c r="AR247" s="129" t="e">
        <f t="array" ref="AR247">_xlfn.IFS(Saisie!AH247="OUI",1,Saisie!AH247="NON",0)</f>
        <v>#N/A</v>
      </c>
      <c r="AS247" s="171">
        <f>Saisie!AI247</f>
        <v>0</v>
      </c>
      <c r="AT247" s="263" t="e">
        <f t="array" ref="AT247">_xlfn.IFS(Saisie!AJ247="OUI",1,Saisie!AJ247="NON",0)</f>
        <v>#N/A</v>
      </c>
      <c r="AU247" s="173">
        <f>Saisie!AK247</f>
        <v>0</v>
      </c>
      <c r="AV247" s="263" t="e">
        <f t="array" ref="AV247">_xlfn.IFS(Saisie!AL247="OUI",1,Saisie!AL247="NON",0)</f>
        <v>#N/A</v>
      </c>
      <c r="AW247" s="171">
        <f>Saisie!AM247</f>
        <v>0</v>
      </c>
      <c r="AX247" s="68">
        <f>Saisie!AN247</f>
        <v>0</v>
      </c>
      <c r="AY247" s="20">
        <f>Saisie!AO247</f>
        <v>0</v>
      </c>
      <c r="AZ247" s="21">
        <f>Saisie!AP247</f>
        <v>0</v>
      </c>
      <c r="BA247" s="298">
        <f>Saisie!AQ247</f>
        <v>0</v>
      </c>
      <c r="BB247" s="170">
        <f>Saisie!AR247</f>
        <v>0</v>
      </c>
      <c r="BC247" s="174">
        <f>Saisie!AS247</f>
        <v>0</v>
      </c>
      <c r="BD247" s="61">
        <f>Saisie!AT247</f>
        <v>0</v>
      </c>
      <c r="BE247" s="175" t="e">
        <f t="array" ref="BE247">_xlfn.IFS(Saisie!AU247="OUI",1,Saisie!AU247="NON",0)</f>
        <v>#N/A</v>
      </c>
      <c r="BF247" s="267">
        <f>Saisie!AV247</f>
        <v>0</v>
      </c>
      <c r="BG247" s="55">
        <f>Saisie!AW247</f>
        <v>0</v>
      </c>
      <c r="BH247" s="55" t="e">
        <f t="array" ref="BH247">_xlfn.IFS(Saisie!AX247="OUI",1,Saisie!AX247="NON",0)</f>
        <v>#N/A</v>
      </c>
      <c r="BI247" s="62">
        <f>Saisie!AY247</f>
        <v>0</v>
      </c>
      <c r="BJ247" s="55" t="e">
        <f t="array" ref="BJ247">_xlfn.IFS(Saisie!AZ247="OUI",1,Saisie!AZ247="NON",0)</f>
        <v>#N/A</v>
      </c>
      <c r="BK247" s="55" t="e">
        <f t="array" ref="BK247">_xlfn.IFS(Saisie!BA247="OUI",1,Saisie!BA247="NON",0)</f>
        <v>#N/A</v>
      </c>
      <c r="BL247" s="55">
        <f>Saisie!BB247</f>
        <v>0</v>
      </c>
      <c r="BM247" s="49" t="e">
        <f>Saisie!BC247</f>
        <v>#REF!</v>
      </c>
      <c r="BN247" s="175"/>
    </row>
    <row r="248" spans="1:66" s="176" customFormat="1" x14ac:dyDescent="0.45">
      <c r="A248" s="13">
        <v>242</v>
      </c>
      <c r="B248" s="150">
        <f>Saisie!B248</f>
        <v>0</v>
      </c>
      <c r="C248" s="150">
        <f>Saisie!C248</f>
        <v>0</v>
      </c>
      <c r="D248" s="150">
        <f>Saisie!D248</f>
        <v>0</v>
      </c>
      <c r="E248" s="150">
        <f>Saisie!E248</f>
        <v>0</v>
      </c>
      <c r="F248" s="150">
        <f>Saisie!F248</f>
        <v>0</v>
      </c>
      <c r="G248" s="150">
        <f>Saisie!G248</f>
        <v>0</v>
      </c>
      <c r="H248" s="150">
        <f>Saisie!I248</f>
        <v>0</v>
      </c>
      <c r="I248" s="150">
        <f>Saisie!J248</f>
        <v>0</v>
      </c>
      <c r="J248" s="150">
        <f>Saisie!K248</f>
        <v>0</v>
      </c>
      <c r="K248" s="150">
        <f>Saisie!L248</f>
        <v>0</v>
      </c>
      <c r="L248" s="150" t="e">
        <f>Saisie!#REF!</f>
        <v>#REF!</v>
      </c>
      <c r="M248" s="55" t="e">
        <f t="array" ref="M248">_xlfn.IFS(Saisie!M248="OUI",1,Saisie!M248="NON",0)</f>
        <v>#N/A</v>
      </c>
      <c r="N248" s="64" t="e">
        <f>Saisie!#REF!</f>
        <v>#REF!</v>
      </c>
      <c r="O248" s="63" t="e">
        <f>Saisie!#REF!</f>
        <v>#REF!</v>
      </c>
      <c r="P248" s="63">
        <f>Saisie!N248</f>
        <v>0</v>
      </c>
      <c r="Q248" s="63" t="e">
        <f t="array" ref="Q248">_xlfn.IFS(Saisie!#REF!="OUI",1,Saisie!#REF!="NON",0)</f>
        <v>#REF!</v>
      </c>
      <c r="R248" s="63" t="e">
        <f>Saisie!#REF!</f>
        <v>#REF!</v>
      </c>
      <c r="S248" s="65" t="e">
        <f>Saisie!#REF!</f>
        <v>#REF!</v>
      </c>
      <c r="T248" s="63" t="e">
        <f>Saisie!#REF!</f>
        <v>#REF!</v>
      </c>
      <c r="U248" s="63" t="e">
        <f>Saisie!#REF!</f>
        <v>#REF!</v>
      </c>
      <c r="V248" s="63" t="e">
        <f t="array" ref="V248">_xlfn.IFS(Saisie!#REF!="OUI",1,Saisie!#REF!="NON",0)</f>
        <v>#REF!</v>
      </c>
      <c r="W248" s="63" t="e">
        <f t="array" ref="W248">_xlfn.IFS(Saisie!O248="OUI",1,Saisie!O248="NON",0)</f>
        <v>#N/A</v>
      </c>
      <c r="X248" s="63">
        <f>Saisie!P248</f>
        <v>0</v>
      </c>
      <c r="Y248" s="299">
        <f>Saisie!H248</f>
        <v>0</v>
      </c>
      <c r="Z248" s="58" t="e">
        <f>Saisie!#REF!</f>
        <v>#REF!</v>
      </c>
      <c r="AA248" s="299">
        <f>Saisie!Q248</f>
        <v>0</v>
      </c>
      <c r="AB248" s="63" t="e">
        <f t="array" ref="AB248">_xlfn.IFS(Saisie!R248="OUI",1,Saisie!R248="NON",0)</f>
        <v>#N/A</v>
      </c>
      <c r="AC248" s="63">
        <f>Saisie!S248</f>
        <v>0</v>
      </c>
      <c r="AD248" s="63" t="e">
        <f t="array" ref="AD248">_xlfn.IFS(Saisie!T248="OUI",1,Saisie!T248="NON",0)</f>
        <v>#N/A</v>
      </c>
      <c r="AE248" s="171">
        <f>Saisie!U248</f>
        <v>0</v>
      </c>
      <c r="AF248" s="262">
        <v>3</v>
      </c>
      <c r="AG248" s="129">
        <f>Saisie!W248</f>
        <v>0</v>
      </c>
      <c r="AH248" s="20">
        <f>Saisie!X248</f>
        <v>0</v>
      </c>
      <c r="AI248" s="21">
        <f>Saisie!Y248</f>
        <v>0</v>
      </c>
      <c r="AJ248" s="59">
        <f>Saisie!Z248</f>
        <v>0</v>
      </c>
      <c r="AK248" s="20">
        <f>Saisie!AA248</f>
        <v>0</v>
      </c>
      <c r="AL248" s="21">
        <f>Saisie!AB248</f>
        <v>0</v>
      </c>
      <c r="AM248" s="59">
        <f>Saisie!AC248</f>
        <v>0</v>
      </c>
      <c r="AN248" s="20">
        <f>Saisie!AD248</f>
        <v>0</v>
      </c>
      <c r="AO248" s="21">
        <f>Saisie!AE248</f>
        <v>0</v>
      </c>
      <c r="AP248" s="59">
        <f>Saisie!AF248</f>
        <v>0</v>
      </c>
      <c r="AQ248" s="129" t="e">
        <f t="array" ref="AQ248">_xlfn.IFS(Saisie!AG248="OUI",1,Saisie!AG248="NON",0)</f>
        <v>#N/A</v>
      </c>
      <c r="AR248" s="129" t="e">
        <f t="array" ref="AR248">_xlfn.IFS(Saisie!AH248="OUI",1,Saisie!AH248="NON",0)</f>
        <v>#N/A</v>
      </c>
      <c r="AS248" s="171">
        <f>Saisie!AI248</f>
        <v>0</v>
      </c>
      <c r="AT248" s="263" t="e">
        <f t="array" ref="AT248">_xlfn.IFS(Saisie!AJ248="OUI",1,Saisie!AJ248="NON",0)</f>
        <v>#N/A</v>
      </c>
      <c r="AU248" s="173">
        <f>Saisie!AK248</f>
        <v>0</v>
      </c>
      <c r="AV248" s="263" t="e">
        <f t="array" ref="AV248">_xlfn.IFS(Saisie!AL248="OUI",1,Saisie!AL248="NON",0)</f>
        <v>#N/A</v>
      </c>
      <c r="AW248" s="171">
        <f>Saisie!AM248</f>
        <v>0</v>
      </c>
      <c r="AX248" s="68">
        <f>Saisie!AN248</f>
        <v>0</v>
      </c>
      <c r="AY248" s="20">
        <f>Saisie!AO248</f>
        <v>0</v>
      </c>
      <c r="AZ248" s="21">
        <f>Saisie!AP248</f>
        <v>0</v>
      </c>
      <c r="BA248" s="298">
        <f>Saisie!AQ248</f>
        <v>0</v>
      </c>
      <c r="BB248" s="170">
        <f>Saisie!AR248</f>
        <v>0</v>
      </c>
      <c r="BC248" s="174">
        <f>Saisie!AS248</f>
        <v>0</v>
      </c>
      <c r="BD248" s="61">
        <f>Saisie!AT248</f>
        <v>0</v>
      </c>
      <c r="BE248" s="175" t="e">
        <f t="array" ref="BE248">_xlfn.IFS(Saisie!AU248="OUI",1,Saisie!AU248="NON",0)</f>
        <v>#N/A</v>
      </c>
      <c r="BF248" s="267">
        <f>Saisie!AV248</f>
        <v>0</v>
      </c>
      <c r="BG248" s="55">
        <f>Saisie!AW248</f>
        <v>0</v>
      </c>
      <c r="BH248" s="55" t="e">
        <f t="array" ref="BH248">_xlfn.IFS(Saisie!AX248="OUI",1,Saisie!AX248="NON",0)</f>
        <v>#N/A</v>
      </c>
      <c r="BI248" s="62">
        <f>Saisie!AY248</f>
        <v>0</v>
      </c>
      <c r="BJ248" s="55" t="e">
        <f t="array" ref="BJ248">_xlfn.IFS(Saisie!AZ248="OUI",1,Saisie!AZ248="NON",0)</f>
        <v>#N/A</v>
      </c>
      <c r="BK248" s="55" t="e">
        <f t="array" ref="BK248">_xlfn.IFS(Saisie!BA248="OUI",1,Saisie!BA248="NON",0)</f>
        <v>#N/A</v>
      </c>
      <c r="BL248" s="55">
        <f>Saisie!BB248</f>
        <v>0</v>
      </c>
      <c r="BM248" s="49" t="e">
        <f>Saisie!BC248</f>
        <v>#REF!</v>
      </c>
      <c r="BN248" s="175"/>
    </row>
    <row r="249" spans="1:66" s="176" customFormat="1" x14ac:dyDescent="0.45">
      <c r="A249" s="13">
        <v>243</v>
      </c>
      <c r="B249" s="150">
        <f>Saisie!B249</f>
        <v>0</v>
      </c>
      <c r="C249" s="150">
        <f>Saisie!C249</f>
        <v>0</v>
      </c>
      <c r="D249" s="150">
        <f>Saisie!D249</f>
        <v>0</v>
      </c>
      <c r="E249" s="150">
        <f>Saisie!E249</f>
        <v>0</v>
      </c>
      <c r="F249" s="150">
        <f>Saisie!F249</f>
        <v>0</v>
      </c>
      <c r="G249" s="150">
        <f>Saisie!G249</f>
        <v>0</v>
      </c>
      <c r="H249" s="150">
        <f>Saisie!I249</f>
        <v>0</v>
      </c>
      <c r="I249" s="150">
        <f>Saisie!J249</f>
        <v>0</v>
      </c>
      <c r="J249" s="150">
        <f>Saisie!K249</f>
        <v>0</v>
      </c>
      <c r="K249" s="150">
        <f>Saisie!L249</f>
        <v>0</v>
      </c>
      <c r="L249" s="150" t="e">
        <f>Saisie!#REF!</f>
        <v>#REF!</v>
      </c>
      <c r="M249" s="55" t="e">
        <f t="array" ref="M249">_xlfn.IFS(Saisie!M249="OUI",1,Saisie!M249="NON",0)</f>
        <v>#N/A</v>
      </c>
      <c r="N249" s="64" t="e">
        <f>Saisie!#REF!</f>
        <v>#REF!</v>
      </c>
      <c r="O249" s="63" t="e">
        <f>Saisie!#REF!</f>
        <v>#REF!</v>
      </c>
      <c r="P249" s="63">
        <f>Saisie!N249</f>
        <v>0</v>
      </c>
      <c r="Q249" s="63" t="e">
        <f t="array" ref="Q249">_xlfn.IFS(Saisie!#REF!="OUI",1,Saisie!#REF!="NON",0)</f>
        <v>#REF!</v>
      </c>
      <c r="R249" s="63" t="e">
        <f>Saisie!#REF!</f>
        <v>#REF!</v>
      </c>
      <c r="S249" s="65" t="e">
        <f>Saisie!#REF!</f>
        <v>#REF!</v>
      </c>
      <c r="T249" s="63" t="e">
        <f>Saisie!#REF!</f>
        <v>#REF!</v>
      </c>
      <c r="U249" s="63" t="e">
        <f>Saisie!#REF!</f>
        <v>#REF!</v>
      </c>
      <c r="V249" s="63" t="e">
        <f t="array" ref="V249">_xlfn.IFS(Saisie!#REF!="OUI",1,Saisie!#REF!="NON",0)</f>
        <v>#REF!</v>
      </c>
      <c r="W249" s="63" t="e">
        <f t="array" ref="W249">_xlfn.IFS(Saisie!O249="OUI",1,Saisie!O249="NON",0)</f>
        <v>#N/A</v>
      </c>
      <c r="X249" s="63">
        <f>Saisie!P249</f>
        <v>0</v>
      </c>
      <c r="Y249" s="299">
        <f>Saisie!H249</f>
        <v>0</v>
      </c>
      <c r="Z249" s="58" t="e">
        <f>Saisie!#REF!</f>
        <v>#REF!</v>
      </c>
      <c r="AA249" s="299">
        <f>Saisie!Q249</f>
        <v>0</v>
      </c>
      <c r="AB249" s="63" t="e">
        <f t="array" ref="AB249">_xlfn.IFS(Saisie!R249="OUI",1,Saisie!R249="NON",0)</f>
        <v>#N/A</v>
      </c>
      <c r="AC249" s="63">
        <f>Saisie!S249</f>
        <v>0</v>
      </c>
      <c r="AD249" s="63" t="e">
        <f t="array" ref="AD249">_xlfn.IFS(Saisie!T249="OUI",1,Saisie!T249="NON",0)</f>
        <v>#N/A</v>
      </c>
      <c r="AE249" s="171">
        <f>Saisie!U249</f>
        <v>0</v>
      </c>
      <c r="AF249" s="262">
        <v>3</v>
      </c>
      <c r="AG249" s="129">
        <f>Saisie!W249</f>
        <v>0</v>
      </c>
      <c r="AH249" s="20">
        <f>Saisie!X249</f>
        <v>0</v>
      </c>
      <c r="AI249" s="21">
        <f>Saisie!Y249</f>
        <v>0</v>
      </c>
      <c r="AJ249" s="59">
        <f>Saisie!Z249</f>
        <v>0</v>
      </c>
      <c r="AK249" s="20">
        <f>Saisie!AA249</f>
        <v>0</v>
      </c>
      <c r="AL249" s="21">
        <f>Saisie!AB249</f>
        <v>0</v>
      </c>
      <c r="AM249" s="59">
        <f>Saisie!AC249</f>
        <v>0</v>
      </c>
      <c r="AN249" s="20">
        <f>Saisie!AD249</f>
        <v>0</v>
      </c>
      <c r="AO249" s="21">
        <f>Saisie!AE249</f>
        <v>0</v>
      </c>
      <c r="AP249" s="59">
        <f>Saisie!AF249</f>
        <v>0</v>
      </c>
      <c r="AQ249" s="129" t="e">
        <f t="array" ref="AQ249">_xlfn.IFS(Saisie!AG249="OUI",1,Saisie!AG249="NON",0)</f>
        <v>#N/A</v>
      </c>
      <c r="AR249" s="129" t="e">
        <f t="array" ref="AR249">_xlfn.IFS(Saisie!AH249="OUI",1,Saisie!AH249="NON",0)</f>
        <v>#N/A</v>
      </c>
      <c r="AS249" s="171">
        <f>Saisie!AI249</f>
        <v>0</v>
      </c>
      <c r="AT249" s="263" t="e">
        <f t="array" ref="AT249">_xlfn.IFS(Saisie!AJ249="OUI",1,Saisie!AJ249="NON",0)</f>
        <v>#N/A</v>
      </c>
      <c r="AU249" s="173">
        <f>Saisie!AK249</f>
        <v>0</v>
      </c>
      <c r="AV249" s="263" t="e">
        <f t="array" ref="AV249">_xlfn.IFS(Saisie!AL249="OUI",1,Saisie!AL249="NON",0)</f>
        <v>#N/A</v>
      </c>
      <c r="AW249" s="171">
        <f>Saisie!AM249</f>
        <v>0</v>
      </c>
      <c r="AX249" s="68">
        <f>Saisie!AN249</f>
        <v>0</v>
      </c>
      <c r="AY249" s="20">
        <f>Saisie!AO249</f>
        <v>0</v>
      </c>
      <c r="AZ249" s="21">
        <f>Saisie!AP249</f>
        <v>0</v>
      </c>
      <c r="BA249" s="298">
        <f>Saisie!AQ249</f>
        <v>0</v>
      </c>
      <c r="BB249" s="170">
        <f>Saisie!AR249</f>
        <v>0</v>
      </c>
      <c r="BC249" s="174">
        <f>Saisie!AS249</f>
        <v>0</v>
      </c>
      <c r="BD249" s="61">
        <f>Saisie!AT249</f>
        <v>0</v>
      </c>
      <c r="BE249" s="175" t="e">
        <f t="array" ref="BE249">_xlfn.IFS(Saisie!AU249="OUI",1,Saisie!AU249="NON",0)</f>
        <v>#N/A</v>
      </c>
      <c r="BF249" s="267">
        <f>Saisie!AV249</f>
        <v>0</v>
      </c>
      <c r="BG249" s="55">
        <f>Saisie!AW249</f>
        <v>0</v>
      </c>
      <c r="BH249" s="55" t="e">
        <f t="array" ref="BH249">_xlfn.IFS(Saisie!AX249="OUI",1,Saisie!AX249="NON",0)</f>
        <v>#N/A</v>
      </c>
      <c r="BI249" s="62">
        <f>Saisie!AY249</f>
        <v>0</v>
      </c>
      <c r="BJ249" s="55" t="e">
        <f t="array" ref="BJ249">_xlfn.IFS(Saisie!AZ249="OUI",1,Saisie!AZ249="NON",0)</f>
        <v>#N/A</v>
      </c>
      <c r="BK249" s="55" t="e">
        <f t="array" ref="BK249">_xlfn.IFS(Saisie!BA249="OUI",1,Saisie!BA249="NON",0)</f>
        <v>#N/A</v>
      </c>
      <c r="BL249" s="55">
        <f>Saisie!BB249</f>
        <v>0</v>
      </c>
      <c r="BM249" s="49" t="e">
        <f>Saisie!BC249</f>
        <v>#REF!</v>
      </c>
      <c r="BN249" s="175"/>
    </row>
    <row r="250" spans="1:66" s="176" customFormat="1" x14ac:dyDescent="0.45">
      <c r="A250" s="12">
        <v>244</v>
      </c>
      <c r="B250" s="150">
        <f>Saisie!B250</f>
        <v>0</v>
      </c>
      <c r="C250" s="150">
        <f>Saisie!C250</f>
        <v>0</v>
      </c>
      <c r="D250" s="150">
        <f>Saisie!D250</f>
        <v>0</v>
      </c>
      <c r="E250" s="150">
        <f>Saisie!E250</f>
        <v>0</v>
      </c>
      <c r="F250" s="150">
        <f>Saisie!F250</f>
        <v>0</v>
      </c>
      <c r="G250" s="150">
        <f>Saisie!G250</f>
        <v>0</v>
      </c>
      <c r="H250" s="150">
        <f>Saisie!I250</f>
        <v>0</v>
      </c>
      <c r="I250" s="150">
        <f>Saisie!J250</f>
        <v>0</v>
      </c>
      <c r="J250" s="150">
        <f>Saisie!K250</f>
        <v>0</v>
      </c>
      <c r="K250" s="150">
        <f>Saisie!L250</f>
        <v>0</v>
      </c>
      <c r="L250" s="150" t="e">
        <f>Saisie!#REF!</f>
        <v>#REF!</v>
      </c>
      <c r="M250" s="55" t="e">
        <f t="array" ref="M250">_xlfn.IFS(Saisie!M250="OUI",1,Saisie!M250="NON",0)</f>
        <v>#N/A</v>
      </c>
      <c r="N250" s="64" t="e">
        <f>Saisie!#REF!</f>
        <v>#REF!</v>
      </c>
      <c r="O250" s="63" t="e">
        <f>Saisie!#REF!</f>
        <v>#REF!</v>
      </c>
      <c r="P250" s="63">
        <f>Saisie!N250</f>
        <v>0</v>
      </c>
      <c r="Q250" s="63" t="e">
        <f t="array" ref="Q250">_xlfn.IFS(Saisie!#REF!="OUI",1,Saisie!#REF!="NON",0)</f>
        <v>#REF!</v>
      </c>
      <c r="R250" s="63" t="e">
        <f>Saisie!#REF!</f>
        <v>#REF!</v>
      </c>
      <c r="S250" s="65" t="e">
        <f>Saisie!#REF!</f>
        <v>#REF!</v>
      </c>
      <c r="T250" s="63" t="e">
        <f>Saisie!#REF!</f>
        <v>#REF!</v>
      </c>
      <c r="U250" s="63" t="e">
        <f>Saisie!#REF!</f>
        <v>#REF!</v>
      </c>
      <c r="V250" s="63" t="e">
        <f t="array" ref="V250">_xlfn.IFS(Saisie!#REF!="OUI",1,Saisie!#REF!="NON",0)</f>
        <v>#REF!</v>
      </c>
      <c r="W250" s="63" t="e">
        <f t="array" ref="W250">_xlfn.IFS(Saisie!O250="OUI",1,Saisie!O250="NON",0)</f>
        <v>#N/A</v>
      </c>
      <c r="X250" s="63">
        <f>Saisie!P250</f>
        <v>0</v>
      </c>
      <c r="Y250" s="299">
        <f>Saisie!H250</f>
        <v>0</v>
      </c>
      <c r="Z250" s="58" t="e">
        <f>Saisie!#REF!</f>
        <v>#REF!</v>
      </c>
      <c r="AA250" s="299">
        <f>Saisie!Q250</f>
        <v>0</v>
      </c>
      <c r="AB250" s="63" t="e">
        <f t="array" ref="AB250">_xlfn.IFS(Saisie!R250="OUI",1,Saisie!R250="NON",0)</f>
        <v>#N/A</v>
      </c>
      <c r="AC250" s="63">
        <f>Saisie!S250</f>
        <v>0</v>
      </c>
      <c r="AD250" s="63" t="e">
        <f t="array" ref="AD250">_xlfn.IFS(Saisie!T250="OUI",1,Saisie!T250="NON",0)</f>
        <v>#N/A</v>
      </c>
      <c r="AE250" s="171">
        <f>Saisie!U250</f>
        <v>0</v>
      </c>
      <c r="AF250" s="262">
        <v>3</v>
      </c>
      <c r="AG250" s="129">
        <f>Saisie!W250</f>
        <v>0</v>
      </c>
      <c r="AH250" s="20">
        <f>Saisie!X250</f>
        <v>0</v>
      </c>
      <c r="AI250" s="21">
        <f>Saisie!Y250</f>
        <v>0</v>
      </c>
      <c r="AJ250" s="59">
        <f>Saisie!Z250</f>
        <v>0</v>
      </c>
      <c r="AK250" s="20">
        <f>Saisie!AA250</f>
        <v>0</v>
      </c>
      <c r="AL250" s="21">
        <f>Saisie!AB250</f>
        <v>0</v>
      </c>
      <c r="AM250" s="59">
        <f>Saisie!AC250</f>
        <v>0</v>
      </c>
      <c r="AN250" s="20">
        <f>Saisie!AD250</f>
        <v>0</v>
      </c>
      <c r="AO250" s="21">
        <f>Saisie!AE250</f>
        <v>0</v>
      </c>
      <c r="AP250" s="59">
        <f>Saisie!AF250</f>
        <v>0</v>
      </c>
      <c r="AQ250" s="129" t="e">
        <f t="array" ref="AQ250">_xlfn.IFS(Saisie!AG250="OUI",1,Saisie!AG250="NON",0)</f>
        <v>#N/A</v>
      </c>
      <c r="AR250" s="129" t="e">
        <f t="array" ref="AR250">_xlfn.IFS(Saisie!AH250="OUI",1,Saisie!AH250="NON",0)</f>
        <v>#N/A</v>
      </c>
      <c r="AS250" s="171">
        <f>Saisie!AI250</f>
        <v>0</v>
      </c>
      <c r="AT250" s="263" t="e">
        <f t="array" ref="AT250">_xlfn.IFS(Saisie!AJ250="OUI",1,Saisie!AJ250="NON",0)</f>
        <v>#N/A</v>
      </c>
      <c r="AU250" s="173">
        <f>Saisie!AK250</f>
        <v>0</v>
      </c>
      <c r="AV250" s="263" t="e">
        <f t="array" ref="AV250">_xlfn.IFS(Saisie!AL250="OUI",1,Saisie!AL250="NON",0)</f>
        <v>#N/A</v>
      </c>
      <c r="AW250" s="171">
        <f>Saisie!AM250</f>
        <v>0</v>
      </c>
      <c r="AX250" s="68">
        <f>Saisie!AN250</f>
        <v>0</v>
      </c>
      <c r="AY250" s="20">
        <f>Saisie!AO250</f>
        <v>0</v>
      </c>
      <c r="AZ250" s="21">
        <f>Saisie!AP250</f>
        <v>0</v>
      </c>
      <c r="BA250" s="298">
        <f>Saisie!AQ250</f>
        <v>0</v>
      </c>
      <c r="BB250" s="170">
        <f>Saisie!AR250</f>
        <v>0</v>
      </c>
      <c r="BC250" s="174">
        <f>Saisie!AS250</f>
        <v>0</v>
      </c>
      <c r="BD250" s="61">
        <f>Saisie!AT250</f>
        <v>0</v>
      </c>
      <c r="BE250" s="175" t="e">
        <f t="array" ref="BE250">_xlfn.IFS(Saisie!AU250="OUI",1,Saisie!AU250="NON",0)</f>
        <v>#N/A</v>
      </c>
      <c r="BF250" s="267">
        <f>Saisie!AV250</f>
        <v>0</v>
      </c>
      <c r="BG250" s="55">
        <f>Saisie!AW250</f>
        <v>0</v>
      </c>
      <c r="BH250" s="55" t="e">
        <f t="array" ref="BH250">_xlfn.IFS(Saisie!AX250="OUI",1,Saisie!AX250="NON",0)</f>
        <v>#N/A</v>
      </c>
      <c r="BI250" s="62">
        <f>Saisie!AY250</f>
        <v>0</v>
      </c>
      <c r="BJ250" s="55" t="e">
        <f t="array" ref="BJ250">_xlfn.IFS(Saisie!AZ250="OUI",1,Saisie!AZ250="NON",0)</f>
        <v>#N/A</v>
      </c>
      <c r="BK250" s="55" t="e">
        <f t="array" ref="BK250">_xlfn.IFS(Saisie!BA250="OUI",1,Saisie!BA250="NON",0)</f>
        <v>#N/A</v>
      </c>
      <c r="BL250" s="55">
        <f>Saisie!BB250</f>
        <v>0</v>
      </c>
      <c r="BM250" s="49" t="e">
        <f>Saisie!BC250</f>
        <v>#REF!</v>
      </c>
      <c r="BN250" s="175"/>
    </row>
    <row r="251" spans="1:66" s="176" customFormat="1" x14ac:dyDescent="0.45">
      <c r="A251" s="13">
        <v>245</v>
      </c>
      <c r="B251" s="150">
        <f>Saisie!B251</f>
        <v>0</v>
      </c>
      <c r="C251" s="150">
        <f>Saisie!C251</f>
        <v>0</v>
      </c>
      <c r="D251" s="150">
        <f>Saisie!D251</f>
        <v>0</v>
      </c>
      <c r="E251" s="150">
        <f>Saisie!E251</f>
        <v>0</v>
      </c>
      <c r="F251" s="150">
        <f>Saisie!F251</f>
        <v>0</v>
      </c>
      <c r="G251" s="150">
        <f>Saisie!G251</f>
        <v>0</v>
      </c>
      <c r="H251" s="150">
        <f>Saisie!I251</f>
        <v>0</v>
      </c>
      <c r="I251" s="150">
        <f>Saisie!J251</f>
        <v>0</v>
      </c>
      <c r="J251" s="150">
        <f>Saisie!K251</f>
        <v>0</v>
      </c>
      <c r="K251" s="150">
        <f>Saisie!L251</f>
        <v>0</v>
      </c>
      <c r="L251" s="150" t="e">
        <f>Saisie!#REF!</f>
        <v>#REF!</v>
      </c>
      <c r="M251" s="55" t="e">
        <f t="array" ref="M251">_xlfn.IFS(Saisie!M251="OUI",1,Saisie!M251="NON",0)</f>
        <v>#N/A</v>
      </c>
      <c r="N251" s="64" t="e">
        <f>Saisie!#REF!</f>
        <v>#REF!</v>
      </c>
      <c r="O251" s="63" t="e">
        <f>Saisie!#REF!</f>
        <v>#REF!</v>
      </c>
      <c r="P251" s="63">
        <f>Saisie!N251</f>
        <v>0</v>
      </c>
      <c r="Q251" s="63" t="e">
        <f t="array" ref="Q251">_xlfn.IFS(Saisie!#REF!="OUI",1,Saisie!#REF!="NON",0)</f>
        <v>#REF!</v>
      </c>
      <c r="R251" s="63" t="e">
        <f>Saisie!#REF!</f>
        <v>#REF!</v>
      </c>
      <c r="S251" s="65" t="e">
        <f>Saisie!#REF!</f>
        <v>#REF!</v>
      </c>
      <c r="T251" s="63" t="e">
        <f>Saisie!#REF!</f>
        <v>#REF!</v>
      </c>
      <c r="U251" s="63" t="e">
        <f>Saisie!#REF!</f>
        <v>#REF!</v>
      </c>
      <c r="V251" s="63" t="e">
        <f t="array" ref="V251">_xlfn.IFS(Saisie!#REF!="OUI",1,Saisie!#REF!="NON",0)</f>
        <v>#REF!</v>
      </c>
      <c r="W251" s="63" t="e">
        <f t="array" ref="W251">_xlfn.IFS(Saisie!O251="OUI",1,Saisie!O251="NON",0)</f>
        <v>#N/A</v>
      </c>
      <c r="X251" s="63">
        <f>Saisie!P251</f>
        <v>0</v>
      </c>
      <c r="Y251" s="299">
        <f>Saisie!H251</f>
        <v>0</v>
      </c>
      <c r="Z251" s="58" t="e">
        <f>Saisie!#REF!</f>
        <v>#REF!</v>
      </c>
      <c r="AA251" s="299">
        <f>Saisie!Q251</f>
        <v>0</v>
      </c>
      <c r="AB251" s="63" t="e">
        <f t="array" ref="AB251">_xlfn.IFS(Saisie!R251="OUI",1,Saisie!R251="NON",0)</f>
        <v>#N/A</v>
      </c>
      <c r="AC251" s="63">
        <f>Saisie!S251</f>
        <v>0</v>
      </c>
      <c r="AD251" s="63" t="e">
        <f t="array" ref="AD251">_xlfn.IFS(Saisie!T251="OUI",1,Saisie!T251="NON",0)</f>
        <v>#N/A</v>
      </c>
      <c r="AE251" s="171">
        <f>Saisie!U251</f>
        <v>0</v>
      </c>
      <c r="AF251" s="262">
        <v>3</v>
      </c>
      <c r="AG251" s="129">
        <f>Saisie!W251</f>
        <v>0</v>
      </c>
      <c r="AH251" s="20">
        <f>Saisie!X251</f>
        <v>0</v>
      </c>
      <c r="AI251" s="21">
        <f>Saisie!Y251</f>
        <v>0</v>
      </c>
      <c r="AJ251" s="59">
        <f>Saisie!Z251</f>
        <v>0</v>
      </c>
      <c r="AK251" s="20">
        <f>Saisie!AA251</f>
        <v>0</v>
      </c>
      <c r="AL251" s="21">
        <f>Saisie!AB251</f>
        <v>0</v>
      </c>
      <c r="AM251" s="59">
        <f>Saisie!AC251</f>
        <v>0</v>
      </c>
      <c r="AN251" s="20">
        <f>Saisie!AD251</f>
        <v>0</v>
      </c>
      <c r="AO251" s="21">
        <f>Saisie!AE251</f>
        <v>0</v>
      </c>
      <c r="AP251" s="59">
        <f>Saisie!AF251</f>
        <v>0</v>
      </c>
      <c r="AQ251" s="129" t="e">
        <f t="array" ref="AQ251">_xlfn.IFS(Saisie!AG251="OUI",1,Saisie!AG251="NON",0)</f>
        <v>#N/A</v>
      </c>
      <c r="AR251" s="129" t="e">
        <f t="array" ref="AR251">_xlfn.IFS(Saisie!AH251="OUI",1,Saisie!AH251="NON",0)</f>
        <v>#N/A</v>
      </c>
      <c r="AS251" s="171">
        <f>Saisie!AI251</f>
        <v>0</v>
      </c>
      <c r="AT251" s="263" t="e">
        <f t="array" ref="AT251">_xlfn.IFS(Saisie!AJ251="OUI",1,Saisie!AJ251="NON",0)</f>
        <v>#N/A</v>
      </c>
      <c r="AU251" s="173">
        <f>Saisie!AK251</f>
        <v>0</v>
      </c>
      <c r="AV251" s="263" t="e">
        <f t="array" ref="AV251">_xlfn.IFS(Saisie!AL251="OUI",1,Saisie!AL251="NON",0)</f>
        <v>#N/A</v>
      </c>
      <c r="AW251" s="171">
        <f>Saisie!AM251</f>
        <v>0</v>
      </c>
      <c r="AX251" s="68">
        <f>Saisie!AN251</f>
        <v>0</v>
      </c>
      <c r="AY251" s="20">
        <f>Saisie!AO251</f>
        <v>0</v>
      </c>
      <c r="AZ251" s="21">
        <f>Saisie!AP251</f>
        <v>0</v>
      </c>
      <c r="BA251" s="298">
        <f>Saisie!AQ251</f>
        <v>0</v>
      </c>
      <c r="BB251" s="170">
        <f>Saisie!AR251</f>
        <v>0</v>
      </c>
      <c r="BC251" s="174">
        <f>Saisie!AS251</f>
        <v>0</v>
      </c>
      <c r="BD251" s="61">
        <f>Saisie!AT251</f>
        <v>0</v>
      </c>
      <c r="BE251" s="175" t="e">
        <f t="array" ref="BE251">_xlfn.IFS(Saisie!AU251="OUI",1,Saisie!AU251="NON",0)</f>
        <v>#N/A</v>
      </c>
      <c r="BF251" s="267">
        <f>Saisie!AV251</f>
        <v>0</v>
      </c>
      <c r="BG251" s="55">
        <f>Saisie!AW251</f>
        <v>0</v>
      </c>
      <c r="BH251" s="55" t="e">
        <f t="array" ref="BH251">_xlfn.IFS(Saisie!AX251="OUI",1,Saisie!AX251="NON",0)</f>
        <v>#N/A</v>
      </c>
      <c r="BI251" s="62">
        <f>Saisie!AY251</f>
        <v>0</v>
      </c>
      <c r="BJ251" s="55" t="e">
        <f t="array" ref="BJ251">_xlfn.IFS(Saisie!AZ251="OUI",1,Saisie!AZ251="NON",0)</f>
        <v>#N/A</v>
      </c>
      <c r="BK251" s="55" t="e">
        <f t="array" ref="BK251">_xlfn.IFS(Saisie!BA251="OUI",1,Saisie!BA251="NON",0)</f>
        <v>#N/A</v>
      </c>
      <c r="BL251" s="55">
        <f>Saisie!BB251</f>
        <v>0</v>
      </c>
      <c r="BM251" s="49" t="e">
        <f>Saisie!BC251</f>
        <v>#REF!</v>
      </c>
      <c r="BN251" s="175"/>
    </row>
    <row r="252" spans="1:66" s="176" customFormat="1" x14ac:dyDescent="0.45">
      <c r="A252" s="13">
        <v>246</v>
      </c>
      <c r="B252" s="150">
        <f>Saisie!B252</f>
        <v>0</v>
      </c>
      <c r="C252" s="150">
        <f>Saisie!C252</f>
        <v>0</v>
      </c>
      <c r="D252" s="150">
        <f>Saisie!D252</f>
        <v>0</v>
      </c>
      <c r="E252" s="150">
        <f>Saisie!E252</f>
        <v>0</v>
      </c>
      <c r="F252" s="150">
        <f>Saisie!F252</f>
        <v>0</v>
      </c>
      <c r="G252" s="150">
        <f>Saisie!G252</f>
        <v>0</v>
      </c>
      <c r="H252" s="150">
        <f>Saisie!I252</f>
        <v>0</v>
      </c>
      <c r="I252" s="150">
        <f>Saisie!J252</f>
        <v>0</v>
      </c>
      <c r="J252" s="150">
        <f>Saisie!K252</f>
        <v>0</v>
      </c>
      <c r="K252" s="150">
        <f>Saisie!L252</f>
        <v>0</v>
      </c>
      <c r="L252" s="150" t="e">
        <f>Saisie!#REF!</f>
        <v>#REF!</v>
      </c>
      <c r="M252" s="55" t="e">
        <f t="array" ref="M252">_xlfn.IFS(Saisie!M252="OUI",1,Saisie!M252="NON",0)</f>
        <v>#N/A</v>
      </c>
      <c r="N252" s="64" t="e">
        <f>Saisie!#REF!</f>
        <v>#REF!</v>
      </c>
      <c r="O252" s="63" t="e">
        <f>Saisie!#REF!</f>
        <v>#REF!</v>
      </c>
      <c r="P252" s="63">
        <f>Saisie!N252</f>
        <v>0</v>
      </c>
      <c r="Q252" s="63" t="e">
        <f t="array" ref="Q252">_xlfn.IFS(Saisie!#REF!="OUI",1,Saisie!#REF!="NON",0)</f>
        <v>#REF!</v>
      </c>
      <c r="R252" s="63" t="e">
        <f>Saisie!#REF!</f>
        <v>#REF!</v>
      </c>
      <c r="S252" s="65" t="e">
        <f>Saisie!#REF!</f>
        <v>#REF!</v>
      </c>
      <c r="T252" s="63" t="e">
        <f>Saisie!#REF!</f>
        <v>#REF!</v>
      </c>
      <c r="U252" s="63" t="e">
        <f>Saisie!#REF!</f>
        <v>#REF!</v>
      </c>
      <c r="V252" s="63" t="e">
        <f t="array" ref="V252">_xlfn.IFS(Saisie!#REF!="OUI",1,Saisie!#REF!="NON",0)</f>
        <v>#REF!</v>
      </c>
      <c r="W252" s="63" t="e">
        <f t="array" ref="W252">_xlfn.IFS(Saisie!O252="OUI",1,Saisie!O252="NON",0)</f>
        <v>#N/A</v>
      </c>
      <c r="X252" s="63">
        <f>Saisie!P252</f>
        <v>0</v>
      </c>
      <c r="Y252" s="299">
        <f>Saisie!H252</f>
        <v>0</v>
      </c>
      <c r="Z252" s="58" t="e">
        <f>Saisie!#REF!</f>
        <v>#REF!</v>
      </c>
      <c r="AA252" s="299">
        <f>Saisie!Q252</f>
        <v>0</v>
      </c>
      <c r="AB252" s="63" t="e">
        <f t="array" ref="AB252">_xlfn.IFS(Saisie!R252="OUI",1,Saisie!R252="NON",0)</f>
        <v>#N/A</v>
      </c>
      <c r="AC252" s="63">
        <f>Saisie!S252</f>
        <v>0</v>
      </c>
      <c r="AD252" s="63" t="e">
        <f t="array" ref="AD252">_xlfn.IFS(Saisie!T252="OUI",1,Saisie!T252="NON",0)</f>
        <v>#N/A</v>
      </c>
      <c r="AE252" s="171">
        <f>Saisie!U252</f>
        <v>0</v>
      </c>
      <c r="AF252" s="262">
        <v>3</v>
      </c>
      <c r="AG252" s="129">
        <f>Saisie!W252</f>
        <v>0</v>
      </c>
      <c r="AH252" s="20">
        <f>Saisie!X252</f>
        <v>0</v>
      </c>
      <c r="AI252" s="21">
        <f>Saisie!Y252</f>
        <v>0</v>
      </c>
      <c r="AJ252" s="59">
        <f>Saisie!Z252</f>
        <v>0</v>
      </c>
      <c r="AK252" s="20">
        <f>Saisie!AA252</f>
        <v>0</v>
      </c>
      <c r="AL252" s="21">
        <f>Saisie!AB252</f>
        <v>0</v>
      </c>
      <c r="AM252" s="59">
        <f>Saisie!AC252</f>
        <v>0</v>
      </c>
      <c r="AN252" s="20">
        <f>Saisie!AD252</f>
        <v>0</v>
      </c>
      <c r="AO252" s="21">
        <f>Saisie!AE252</f>
        <v>0</v>
      </c>
      <c r="AP252" s="59">
        <f>Saisie!AF252</f>
        <v>0</v>
      </c>
      <c r="AQ252" s="129" t="e">
        <f t="array" ref="AQ252">_xlfn.IFS(Saisie!AG252="OUI",1,Saisie!AG252="NON",0)</f>
        <v>#N/A</v>
      </c>
      <c r="AR252" s="129" t="e">
        <f t="array" ref="AR252">_xlfn.IFS(Saisie!AH252="OUI",1,Saisie!AH252="NON",0)</f>
        <v>#N/A</v>
      </c>
      <c r="AS252" s="171">
        <f>Saisie!AI252</f>
        <v>0</v>
      </c>
      <c r="AT252" s="263" t="e">
        <f t="array" ref="AT252">_xlfn.IFS(Saisie!AJ252="OUI",1,Saisie!AJ252="NON",0)</f>
        <v>#N/A</v>
      </c>
      <c r="AU252" s="173">
        <f>Saisie!AK252</f>
        <v>0</v>
      </c>
      <c r="AV252" s="263" t="e">
        <f t="array" ref="AV252">_xlfn.IFS(Saisie!AL252="OUI",1,Saisie!AL252="NON",0)</f>
        <v>#N/A</v>
      </c>
      <c r="AW252" s="171">
        <f>Saisie!AM252</f>
        <v>0</v>
      </c>
      <c r="AX252" s="68">
        <f>Saisie!AN252</f>
        <v>0</v>
      </c>
      <c r="AY252" s="20">
        <f>Saisie!AO252</f>
        <v>0</v>
      </c>
      <c r="AZ252" s="21">
        <f>Saisie!AP252</f>
        <v>0</v>
      </c>
      <c r="BA252" s="298">
        <f>Saisie!AQ252</f>
        <v>0</v>
      </c>
      <c r="BB252" s="170">
        <f>Saisie!AR252</f>
        <v>0</v>
      </c>
      <c r="BC252" s="174">
        <f>Saisie!AS252</f>
        <v>0</v>
      </c>
      <c r="BD252" s="61">
        <f>Saisie!AT252</f>
        <v>0</v>
      </c>
      <c r="BE252" s="175" t="e">
        <f t="array" ref="BE252">_xlfn.IFS(Saisie!AU252="OUI",1,Saisie!AU252="NON",0)</f>
        <v>#N/A</v>
      </c>
      <c r="BF252" s="267">
        <f>Saisie!AV252</f>
        <v>0</v>
      </c>
      <c r="BG252" s="55">
        <f>Saisie!AW252</f>
        <v>0</v>
      </c>
      <c r="BH252" s="55" t="e">
        <f t="array" ref="BH252">_xlfn.IFS(Saisie!AX252="OUI",1,Saisie!AX252="NON",0)</f>
        <v>#N/A</v>
      </c>
      <c r="BI252" s="62">
        <f>Saisie!AY252</f>
        <v>0</v>
      </c>
      <c r="BJ252" s="55" t="e">
        <f t="array" ref="BJ252">_xlfn.IFS(Saisie!AZ252="OUI",1,Saisie!AZ252="NON",0)</f>
        <v>#N/A</v>
      </c>
      <c r="BK252" s="55" t="e">
        <f t="array" ref="BK252">_xlfn.IFS(Saisie!BA252="OUI",1,Saisie!BA252="NON",0)</f>
        <v>#N/A</v>
      </c>
      <c r="BL252" s="55">
        <f>Saisie!BB252</f>
        <v>0</v>
      </c>
      <c r="BM252" s="49" t="e">
        <f>Saisie!BC252</f>
        <v>#REF!</v>
      </c>
      <c r="BN252" s="175"/>
    </row>
    <row r="253" spans="1:66" s="176" customFormat="1" x14ac:dyDescent="0.45">
      <c r="A253" s="12">
        <v>247</v>
      </c>
      <c r="B253" s="150">
        <f>Saisie!B253</f>
        <v>0</v>
      </c>
      <c r="C253" s="150">
        <f>Saisie!C253</f>
        <v>0</v>
      </c>
      <c r="D253" s="150">
        <f>Saisie!D253</f>
        <v>0</v>
      </c>
      <c r="E253" s="150">
        <f>Saisie!E253</f>
        <v>0</v>
      </c>
      <c r="F253" s="150">
        <f>Saisie!F253</f>
        <v>0</v>
      </c>
      <c r="G253" s="150">
        <f>Saisie!G253</f>
        <v>0</v>
      </c>
      <c r="H253" s="150">
        <f>Saisie!I253</f>
        <v>0</v>
      </c>
      <c r="I253" s="150">
        <f>Saisie!J253</f>
        <v>0</v>
      </c>
      <c r="J253" s="150">
        <f>Saisie!K253</f>
        <v>0</v>
      </c>
      <c r="K253" s="150">
        <f>Saisie!L253</f>
        <v>0</v>
      </c>
      <c r="L253" s="150" t="e">
        <f>Saisie!#REF!</f>
        <v>#REF!</v>
      </c>
      <c r="M253" s="55" t="e">
        <f t="array" ref="M253">_xlfn.IFS(Saisie!M253="OUI",1,Saisie!M253="NON",0)</f>
        <v>#N/A</v>
      </c>
      <c r="N253" s="64" t="e">
        <f>Saisie!#REF!</f>
        <v>#REF!</v>
      </c>
      <c r="O253" s="63" t="e">
        <f>Saisie!#REF!</f>
        <v>#REF!</v>
      </c>
      <c r="P253" s="63">
        <f>Saisie!N253</f>
        <v>0</v>
      </c>
      <c r="Q253" s="63" t="e">
        <f t="array" ref="Q253">_xlfn.IFS(Saisie!#REF!="OUI",1,Saisie!#REF!="NON",0)</f>
        <v>#REF!</v>
      </c>
      <c r="R253" s="63" t="e">
        <f>Saisie!#REF!</f>
        <v>#REF!</v>
      </c>
      <c r="S253" s="65" t="e">
        <f>Saisie!#REF!</f>
        <v>#REF!</v>
      </c>
      <c r="T253" s="63" t="e">
        <f>Saisie!#REF!</f>
        <v>#REF!</v>
      </c>
      <c r="U253" s="63" t="e">
        <f>Saisie!#REF!</f>
        <v>#REF!</v>
      </c>
      <c r="V253" s="63" t="e">
        <f t="array" ref="V253">_xlfn.IFS(Saisie!#REF!="OUI",1,Saisie!#REF!="NON",0)</f>
        <v>#REF!</v>
      </c>
      <c r="W253" s="63" t="e">
        <f t="array" ref="W253">_xlfn.IFS(Saisie!O253="OUI",1,Saisie!O253="NON",0)</f>
        <v>#N/A</v>
      </c>
      <c r="X253" s="63">
        <f>Saisie!P253</f>
        <v>0</v>
      </c>
      <c r="Y253" s="299">
        <f>Saisie!H253</f>
        <v>0</v>
      </c>
      <c r="Z253" s="58" t="e">
        <f>Saisie!#REF!</f>
        <v>#REF!</v>
      </c>
      <c r="AA253" s="299">
        <f>Saisie!Q253</f>
        <v>0</v>
      </c>
      <c r="AB253" s="63" t="e">
        <f t="array" ref="AB253">_xlfn.IFS(Saisie!R253="OUI",1,Saisie!R253="NON",0)</f>
        <v>#N/A</v>
      </c>
      <c r="AC253" s="63">
        <f>Saisie!S253</f>
        <v>0</v>
      </c>
      <c r="AD253" s="63" t="e">
        <f t="array" ref="AD253">_xlfn.IFS(Saisie!T253="OUI",1,Saisie!T253="NON",0)</f>
        <v>#N/A</v>
      </c>
      <c r="AE253" s="171">
        <f>Saisie!U253</f>
        <v>0</v>
      </c>
      <c r="AF253" s="262">
        <v>3</v>
      </c>
      <c r="AG253" s="129">
        <f>Saisie!W253</f>
        <v>0</v>
      </c>
      <c r="AH253" s="20">
        <f>Saisie!X253</f>
        <v>0</v>
      </c>
      <c r="AI253" s="21">
        <f>Saisie!Y253</f>
        <v>0</v>
      </c>
      <c r="AJ253" s="59">
        <f>Saisie!Z253</f>
        <v>0</v>
      </c>
      <c r="AK253" s="20">
        <f>Saisie!AA253</f>
        <v>0</v>
      </c>
      <c r="AL253" s="21">
        <f>Saisie!AB253</f>
        <v>0</v>
      </c>
      <c r="AM253" s="59">
        <f>Saisie!AC253</f>
        <v>0</v>
      </c>
      <c r="AN253" s="20">
        <f>Saisie!AD253</f>
        <v>0</v>
      </c>
      <c r="AO253" s="21">
        <f>Saisie!AE253</f>
        <v>0</v>
      </c>
      <c r="AP253" s="59">
        <f>Saisie!AF253</f>
        <v>0</v>
      </c>
      <c r="AQ253" s="129" t="e">
        <f t="array" ref="AQ253">_xlfn.IFS(Saisie!AG253="OUI",1,Saisie!AG253="NON",0)</f>
        <v>#N/A</v>
      </c>
      <c r="AR253" s="129" t="e">
        <f t="array" ref="AR253">_xlfn.IFS(Saisie!AH253="OUI",1,Saisie!AH253="NON",0)</f>
        <v>#N/A</v>
      </c>
      <c r="AS253" s="171">
        <f>Saisie!AI253</f>
        <v>0</v>
      </c>
      <c r="AT253" s="263" t="e">
        <f t="array" ref="AT253">_xlfn.IFS(Saisie!AJ253="OUI",1,Saisie!AJ253="NON",0)</f>
        <v>#N/A</v>
      </c>
      <c r="AU253" s="173">
        <f>Saisie!AK253</f>
        <v>0</v>
      </c>
      <c r="AV253" s="263" t="e">
        <f t="array" ref="AV253">_xlfn.IFS(Saisie!AL253="OUI",1,Saisie!AL253="NON",0)</f>
        <v>#N/A</v>
      </c>
      <c r="AW253" s="171">
        <f>Saisie!AM253</f>
        <v>0</v>
      </c>
      <c r="AX253" s="68">
        <f>Saisie!AN253</f>
        <v>0</v>
      </c>
      <c r="AY253" s="20">
        <f>Saisie!AO253</f>
        <v>0</v>
      </c>
      <c r="AZ253" s="21">
        <f>Saisie!AP253</f>
        <v>0</v>
      </c>
      <c r="BA253" s="298">
        <f>Saisie!AQ253</f>
        <v>0</v>
      </c>
      <c r="BB253" s="170">
        <f>Saisie!AR253</f>
        <v>0</v>
      </c>
      <c r="BC253" s="174">
        <f>Saisie!AS253</f>
        <v>0</v>
      </c>
      <c r="BD253" s="61">
        <f>Saisie!AT253</f>
        <v>0</v>
      </c>
      <c r="BE253" s="175" t="e">
        <f t="array" ref="BE253">_xlfn.IFS(Saisie!AU253="OUI",1,Saisie!AU253="NON",0)</f>
        <v>#N/A</v>
      </c>
      <c r="BF253" s="267">
        <f>Saisie!AV253</f>
        <v>0</v>
      </c>
      <c r="BG253" s="55">
        <f>Saisie!AW253</f>
        <v>0</v>
      </c>
      <c r="BH253" s="55" t="e">
        <f t="array" ref="BH253">_xlfn.IFS(Saisie!AX253="OUI",1,Saisie!AX253="NON",0)</f>
        <v>#N/A</v>
      </c>
      <c r="BI253" s="62">
        <f>Saisie!AY253</f>
        <v>0</v>
      </c>
      <c r="BJ253" s="55" t="e">
        <f t="array" ref="BJ253">_xlfn.IFS(Saisie!AZ253="OUI",1,Saisie!AZ253="NON",0)</f>
        <v>#N/A</v>
      </c>
      <c r="BK253" s="55" t="e">
        <f t="array" ref="BK253">_xlfn.IFS(Saisie!BA253="OUI",1,Saisie!BA253="NON",0)</f>
        <v>#N/A</v>
      </c>
      <c r="BL253" s="55">
        <f>Saisie!BB253</f>
        <v>0</v>
      </c>
      <c r="BM253" s="49" t="e">
        <f>Saisie!BC253</f>
        <v>#REF!</v>
      </c>
      <c r="BN253" s="175"/>
    </row>
    <row r="254" spans="1:66" s="176" customFormat="1" x14ac:dyDescent="0.45">
      <c r="A254" s="13">
        <v>248</v>
      </c>
      <c r="B254" s="150">
        <f>Saisie!B254</f>
        <v>0</v>
      </c>
      <c r="C254" s="150">
        <f>Saisie!C254</f>
        <v>0</v>
      </c>
      <c r="D254" s="150">
        <f>Saisie!D254</f>
        <v>0</v>
      </c>
      <c r="E254" s="150">
        <f>Saisie!E254</f>
        <v>0</v>
      </c>
      <c r="F254" s="150">
        <f>Saisie!F254</f>
        <v>0</v>
      </c>
      <c r="G254" s="150">
        <f>Saisie!G254</f>
        <v>0</v>
      </c>
      <c r="H254" s="150">
        <f>Saisie!I254</f>
        <v>0</v>
      </c>
      <c r="I254" s="150">
        <f>Saisie!J254</f>
        <v>0</v>
      </c>
      <c r="J254" s="150">
        <f>Saisie!K254</f>
        <v>0</v>
      </c>
      <c r="K254" s="150">
        <f>Saisie!L254</f>
        <v>0</v>
      </c>
      <c r="L254" s="150" t="e">
        <f>Saisie!#REF!</f>
        <v>#REF!</v>
      </c>
      <c r="M254" s="55" t="e">
        <f t="array" ref="M254">_xlfn.IFS(Saisie!M254="OUI",1,Saisie!M254="NON",0)</f>
        <v>#N/A</v>
      </c>
      <c r="N254" s="64" t="e">
        <f>Saisie!#REF!</f>
        <v>#REF!</v>
      </c>
      <c r="O254" s="63" t="e">
        <f>Saisie!#REF!</f>
        <v>#REF!</v>
      </c>
      <c r="P254" s="63">
        <f>Saisie!N254</f>
        <v>0</v>
      </c>
      <c r="Q254" s="63" t="e">
        <f t="array" ref="Q254">_xlfn.IFS(Saisie!#REF!="OUI",1,Saisie!#REF!="NON",0)</f>
        <v>#REF!</v>
      </c>
      <c r="R254" s="63" t="e">
        <f>Saisie!#REF!</f>
        <v>#REF!</v>
      </c>
      <c r="S254" s="65" t="e">
        <f>Saisie!#REF!</f>
        <v>#REF!</v>
      </c>
      <c r="T254" s="63" t="e">
        <f>Saisie!#REF!</f>
        <v>#REF!</v>
      </c>
      <c r="U254" s="63" t="e">
        <f>Saisie!#REF!</f>
        <v>#REF!</v>
      </c>
      <c r="V254" s="63" t="e">
        <f t="array" ref="V254">_xlfn.IFS(Saisie!#REF!="OUI",1,Saisie!#REF!="NON",0)</f>
        <v>#REF!</v>
      </c>
      <c r="W254" s="63" t="e">
        <f t="array" ref="W254">_xlfn.IFS(Saisie!O254="OUI",1,Saisie!O254="NON",0)</f>
        <v>#N/A</v>
      </c>
      <c r="X254" s="63">
        <f>Saisie!P254</f>
        <v>0</v>
      </c>
      <c r="Y254" s="299">
        <f>Saisie!H254</f>
        <v>0</v>
      </c>
      <c r="Z254" s="58" t="e">
        <f>Saisie!#REF!</f>
        <v>#REF!</v>
      </c>
      <c r="AA254" s="299">
        <f>Saisie!Q254</f>
        <v>0</v>
      </c>
      <c r="AB254" s="63" t="e">
        <f t="array" ref="AB254">_xlfn.IFS(Saisie!R254="OUI",1,Saisie!R254="NON",0)</f>
        <v>#N/A</v>
      </c>
      <c r="AC254" s="63">
        <f>Saisie!S254</f>
        <v>0</v>
      </c>
      <c r="AD254" s="63" t="e">
        <f t="array" ref="AD254">_xlfn.IFS(Saisie!T254="OUI",1,Saisie!T254="NON",0)</f>
        <v>#N/A</v>
      </c>
      <c r="AE254" s="171">
        <f>Saisie!U254</f>
        <v>0</v>
      </c>
      <c r="AF254" s="262">
        <v>3</v>
      </c>
      <c r="AG254" s="129">
        <f>Saisie!W254</f>
        <v>0</v>
      </c>
      <c r="AH254" s="20">
        <f>Saisie!X254</f>
        <v>0</v>
      </c>
      <c r="AI254" s="21">
        <f>Saisie!Y254</f>
        <v>0</v>
      </c>
      <c r="AJ254" s="59">
        <f>Saisie!Z254</f>
        <v>0</v>
      </c>
      <c r="AK254" s="20">
        <f>Saisie!AA254</f>
        <v>0</v>
      </c>
      <c r="AL254" s="21">
        <f>Saisie!AB254</f>
        <v>0</v>
      </c>
      <c r="AM254" s="59">
        <f>Saisie!AC254</f>
        <v>0</v>
      </c>
      <c r="AN254" s="20">
        <f>Saisie!AD254</f>
        <v>0</v>
      </c>
      <c r="AO254" s="21">
        <f>Saisie!AE254</f>
        <v>0</v>
      </c>
      <c r="AP254" s="59">
        <f>Saisie!AF254</f>
        <v>0</v>
      </c>
      <c r="AQ254" s="129" t="e">
        <f t="array" ref="AQ254">_xlfn.IFS(Saisie!AG254="OUI",1,Saisie!AG254="NON",0)</f>
        <v>#N/A</v>
      </c>
      <c r="AR254" s="129" t="e">
        <f t="array" ref="AR254">_xlfn.IFS(Saisie!AH254="OUI",1,Saisie!AH254="NON",0)</f>
        <v>#N/A</v>
      </c>
      <c r="AS254" s="171">
        <f>Saisie!AI254</f>
        <v>0</v>
      </c>
      <c r="AT254" s="263" t="e">
        <f t="array" ref="AT254">_xlfn.IFS(Saisie!AJ254="OUI",1,Saisie!AJ254="NON",0)</f>
        <v>#N/A</v>
      </c>
      <c r="AU254" s="173">
        <f>Saisie!AK254</f>
        <v>0</v>
      </c>
      <c r="AV254" s="263" t="e">
        <f t="array" ref="AV254">_xlfn.IFS(Saisie!AL254="OUI",1,Saisie!AL254="NON",0)</f>
        <v>#N/A</v>
      </c>
      <c r="AW254" s="171">
        <f>Saisie!AM254</f>
        <v>0</v>
      </c>
      <c r="AX254" s="68">
        <f>Saisie!AN254</f>
        <v>0</v>
      </c>
      <c r="AY254" s="20">
        <f>Saisie!AO254</f>
        <v>0</v>
      </c>
      <c r="AZ254" s="21">
        <f>Saisie!AP254</f>
        <v>0</v>
      </c>
      <c r="BA254" s="298">
        <f>Saisie!AQ254</f>
        <v>0</v>
      </c>
      <c r="BB254" s="170">
        <f>Saisie!AR254</f>
        <v>0</v>
      </c>
      <c r="BC254" s="174">
        <f>Saisie!AS254</f>
        <v>0</v>
      </c>
      <c r="BD254" s="61">
        <f>Saisie!AT254</f>
        <v>0</v>
      </c>
      <c r="BE254" s="175" t="e">
        <f t="array" ref="BE254">_xlfn.IFS(Saisie!AU254="OUI",1,Saisie!AU254="NON",0)</f>
        <v>#N/A</v>
      </c>
      <c r="BF254" s="267">
        <f>Saisie!AV254</f>
        <v>0</v>
      </c>
      <c r="BG254" s="55">
        <f>Saisie!AW254</f>
        <v>0</v>
      </c>
      <c r="BH254" s="55" t="e">
        <f t="array" ref="BH254">_xlfn.IFS(Saisie!AX254="OUI",1,Saisie!AX254="NON",0)</f>
        <v>#N/A</v>
      </c>
      <c r="BI254" s="62">
        <f>Saisie!AY254</f>
        <v>0</v>
      </c>
      <c r="BJ254" s="55" t="e">
        <f t="array" ref="BJ254">_xlfn.IFS(Saisie!AZ254="OUI",1,Saisie!AZ254="NON",0)</f>
        <v>#N/A</v>
      </c>
      <c r="BK254" s="55" t="e">
        <f t="array" ref="BK254">_xlfn.IFS(Saisie!BA254="OUI",1,Saisie!BA254="NON",0)</f>
        <v>#N/A</v>
      </c>
      <c r="BL254" s="55">
        <f>Saisie!BB254</f>
        <v>0</v>
      </c>
      <c r="BM254" s="49" t="e">
        <f>Saisie!BC254</f>
        <v>#REF!</v>
      </c>
      <c r="BN254" s="175"/>
    </row>
    <row r="255" spans="1:66" s="176" customFormat="1" x14ac:dyDescent="0.45">
      <c r="A255" s="13">
        <v>249</v>
      </c>
      <c r="B255" s="150">
        <f>Saisie!B255</f>
        <v>0</v>
      </c>
      <c r="C255" s="150">
        <f>Saisie!C255</f>
        <v>0</v>
      </c>
      <c r="D255" s="150">
        <f>Saisie!D255</f>
        <v>0</v>
      </c>
      <c r="E255" s="150">
        <f>Saisie!E255</f>
        <v>0</v>
      </c>
      <c r="F255" s="150">
        <f>Saisie!F255</f>
        <v>0</v>
      </c>
      <c r="G255" s="150">
        <f>Saisie!G255</f>
        <v>0</v>
      </c>
      <c r="H255" s="150">
        <f>Saisie!I255</f>
        <v>0</v>
      </c>
      <c r="I255" s="150">
        <f>Saisie!J255</f>
        <v>0</v>
      </c>
      <c r="J255" s="150">
        <f>Saisie!K255</f>
        <v>0</v>
      </c>
      <c r="K255" s="150">
        <f>Saisie!L255</f>
        <v>0</v>
      </c>
      <c r="L255" s="150" t="e">
        <f>Saisie!#REF!</f>
        <v>#REF!</v>
      </c>
      <c r="M255" s="55" t="e">
        <f t="array" ref="M255">_xlfn.IFS(Saisie!M255="OUI",1,Saisie!M255="NON",0)</f>
        <v>#N/A</v>
      </c>
      <c r="N255" s="64" t="e">
        <f>Saisie!#REF!</f>
        <v>#REF!</v>
      </c>
      <c r="O255" s="63" t="e">
        <f>Saisie!#REF!</f>
        <v>#REF!</v>
      </c>
      <c r="P255" s="63">
        <f>Saisie!N255</f>
        <v>0</v>
      </c>
      <c r="Q255" s="63" t="e">
        <f t="array" ref="Q255">_xlfn.IFS(Saisie!#REF!="OUI",1,Saisie!#REF!="NON",0)</f>
        <v>#REF!</v>
      </c>
      <c r="R255" s="63" t="e">
        <f>Saisie!#REF!</f>
        <v>#REF!</v>
      </c>
      <c r="S255" s="65" t="e">
        <f>Saisie!#REF!</f>
        <v>#REF!</v>
      </c>
      <c r="T255" s="63" t="e">
        <f>Saisie!#REF!</f>
        <v>#REF!</v>
      </c>
      <c r="U255" s="63" t="e">
        <f>Saisie!#REF!</f>
        <v>#REF!</v>
      </c>
      <c r="V255" s="63" t="e">
        <f t="array" ref="V255">_xlfn.IFS(Saisie!#REF!="OUI",1,Saisie!#REF!="NON",0)</f>
        <v>#REF!</v>
      </c>
      <c r="W255" s="63" t="e">
        <f t="array" ref="W255">_xlfn.IFS(Saisie!O255="OUI",1,Saisie!O255="NON",0)</f>
        <v>#N/A</v>
      </c>
      <c r="X255" s="63">
        <f>Saisie!P255</f>
        <v>0</v>
      </c>
      <c r="Y255" s="299">
        <f>Saisie!H255</f>
        <v>0</v>
      </c>
      <c r="Z255" s="58" t="e">
        <f>Saisie!#REF!</f>
        <v>#REF!</v>
      </c>
      <c r="AA255" s="299">
        <f>Saisie!Q255</f>
        <v>0</v>
      </c>
      <c r="AB255" s="63" t="e">
        <f t="array" ref="AB255">_xlfn.IFS(Saisie!R255="OUI",1,Saisie!R255="NON",0)</f>
        <v>#N/A</v>
      </c>
      <c r="AC255" s="63">
        <f>Saisie!S255</f>
        <v>0</v>
      </c>
      <c r="AD255" s="63" t="e">
        <f t="array" ref="AD255">_xlfn.IFS(Saisie!T255="OUI",1,Saisie!T255="NON",0)</f>
        <v>#N/A</v>
      </c>
      <c r="AE255" s="171">
        <f>Saisie!U255</f>
        <v>0</v>
      </c>
      <c r="AF255" s="262">
        <v>3</v>
      </c>
      <c r="AG255" s="129">
        <f>Saisie!W255</f>
        <v>0</v>
      </c>
      <c r="AH255" s="20">
        <f>Saisie!X255</f>
        <v>0</v>
      </c>
      <c r="AI255" s="21">
        <f>Saisie!Y255</f>
        <v>0</v>
      </c>
      <c r="AJ255" s="59">
        <f>Saisie!Z255</f>
        <v>0</v>
      </c>
      <c r="AK255" s="20">
        <f>Saisie!AA255</f>
        <v>0</v>
      </c>
      <c r="AL255" s="21">
        <f>Saisie!AB255</f>
        <v>0</v>
      </c>
      <c r="AM255" s="59">
        <f>Saisie!AC255</f>
        <v>0</v>
      </c>
      <c r="AN255" s="20">
        <f>Saisie!AD255</f>
        <v>0</v>
      </c>
      <c r="AO255" s="21">
        <f>Saisie!AE255</f>
        <v>0</v>
      </c>
      <c r="AP255" s="59">
        <f>Saisie!AF255</f>
        <v>0</v>
      </c>
      <c r="AQ255" s="129" t="e">
        <f t="array" ref="AQ255">_xlfn.IFS(Saisie!AG255="OUI",1,Saisie!AG255="NON",0)</f>
        <v>#N/A</v>
      </c>
      <c r="AR255" s="129" t="e">
        <f t="array" ref="AR255">_xlfn.IFS(Saisie!AH255="OUI",1,Saisie!AH255="NON",0)</f>
        <v>#N/A</v>
      </c>
      <c r="AS255" s="171">
        <f>Saisie!AI255</f>
        <v>0</v>
      </c>
      <c r="AT255" s="263" t="e">
        <f t="array" ref="AT255">_xlfn.IFS(Saisie!AJ255="OUI",1,Saisie!AJ255="NON",0)</f>
        <v>#N/A</v>
      </c>
      <c r="AU255" s="173">
        <f>Saisie!AK255</f>
        <v>0</v>
      </c>
      <c r="AV255" s="263" t="e">
        <f t="array" ref="AV255">_xlfn.IFS(Saisie!AL255="OUI",1,Saisie!AL255="NON",0)</f>
        <v>#N/A</v>
      </c>
      <c r="AW255" s="171">
        <f>Saisie!AM255</f>
        <v>0</v>
      </c>
      <c r="AX255" s="68">
        <f>Saisie!AN255</f>
        <v>0</v>
      </c>
      <c r="AY255" s="20">
        <f>Saisie!AO255</f>
        <v>0</v>
      </c>
      <c r="AZ255" s="21">
        <f>Saisie!AP255</f>
        <v>0</v>
      </c>
      <c r="BA255" s="298">
        <f>Saisie!AQ255</f>
        <v>0</v>
      </c>
      <c r="BB255" s="170">
        <f>Saisie!AR255</f>
        <v>0</v>
      </c>
      <c r="BC255" s="174">
        <f>Saisie!AS255</f>
        <v>0</v>
      </c>
      <c r="BD255" s="61">
        <f>Saisie!AT255</f>
        <v>0</v>
      </c>
      <c r="BE255" s="175" t="e">
        <f t="array" ref="BE255">_xlfn.IFS(Saisie!AU255="OUI",1,Saisie!AU255="NON",0)</f>
        <v>#N/A</v>
      </c>
      <c r="BF255" s="267">
        <f>Saisie!AV255</f>
        <v>0</v>
      </c>
      <c r="BG255" s="55">
        <f>Saisie!AW255</f>
        <v>0</v>
      </c>
      <c r="BH255" s="55" t="e">
        <f t="array" ref="BH255">_xlfn.IFS(Saisie!AX255="OUI",1,Saisie!AX255="NON",0)</f>
        <v>#N/A</v>
      </c>
      <c r="BI255" s="62">
        <f>Saisie!AY255</f>
        <v>0</v>
      </c>
      <c r="BJ255" s="55" t="e">
        <f t="array" ref="BJ255">_xlfn.IFS(Saisie!AZ255="OUI",1,Saisie!AZ255="NON",0)</f>
        <v>#N/A</v>
      </c>
      <c r="BK255" s="55" t="e">
        <f t="array" ref="BK255">_xlfn.IFS(Saisie!BA255="OUI",1,Saisie!BA255="NON",0)</f>
        <v>#N/A</v>
      </c>
      <c r="BL255" s="55">
        <f>Saisie!BB255</f>
        <v>0</v>
      </c>
      <c r="BM255" s="49" t="e">
        <f>Saisie!BC255</f>
        <v>#REF!</v>
      </c>
      <c r="BN255" s="175"/>
    </row>
    <row r="256" spans="1:66" s="176" customFormat="1" x14ac:dyDescent="0.45">
      <c r="A256" s="12">
        <v>250</v>
      </c>
      <c r="B256" s="150">
        <f>Saisie!B256</f>
        <v>0</v>
      </c>
      <c r="C256" s="150">
        <f>Saisie!C256</f>
        <v>0</v>
      </c>
      <c r="D256" s="150">
        <f>Saisie!D256</f>
        <v>0</v>
      </c>
      <c r="E256" s="150">
        <f>Saisie!E256</f>
        <v>0</v>
      </c>
      <c r="F256" s="150">
        <f>Saisie!F256</f>
        <v>0</v>
      </c>
      <c r="G256" s="150">
        <f>Saisie!G256</f>
        <v>0</v>
      </c>
      <c r="H256" s="150">
        <f>Saisie!I256</f>
        <v>0</v>
      </c>
      <c r="I256" s="150">
        <f>Saisie!J256</f>
        <v>0</v>
      </c>
      <c r="J256" s="150">
        <f>Saisie!K256</f>
        <v>0</v>
      </c>
      <c r="K256" s="150">
        <f>Saisie!L256</f>
        <v>0</v>
      </c>
      <c r="L256" s="150" t="e">
        <f>Saisie!#REF!</f>
        <v>#REF!</v>
      </c>
      <c r="M256" s="55" t="e">
        <f t="array" ref="M256">_xlfn.IFS(Saisie!M256="OUI",1,Saisie!M256="NON",0)</f>
        <v>#N/A</v>
      </c>
      <c r="N256" s="64" t="e">
        <f>Saisie!#REF!</f>
        <v>#REF!</v>
      </c>
      <c r="O256" s="63" t="e">
        <f>Saisie!#REF!</f>
        <v>#REF!</v>
      </c>
      <c r="P256" s="63">
        <f>Saisie!N256</f>
        <v>0</v>
      </c>
      <c r="Q256" s="63" t="e">
        <f t="array" ref="Q256">_xlfn.IFS(Saisie!#REF!="OUI",1,Saisie!#REF!="NON",0)</f>
        <v>#REF!</v>
      </c>
      <c r="R256" s="63" t="e">
        <f>Saisie!#REF!</f>
        <v>#REF!</v>
      </c>
      <c r="S256" s="65" t="e">
        <f>Saisie!#REF!</f>
        <v>#REF!</v>
      </c>
      <c r="T256" s="63" t="e">
        <f>Saisie!#REF!</f>
        <v>#REF!</v>
      </c>
      <c r="U256" s="63" t="e">
        <f>Saisie!#REF!</f>
        <v>#REF!</v>
      </c>
      <c r="V256" s="63" t="e">
        <f t="array" ref="V256">_xlfn.IFS(Saisie!#REF!="OUI",1,Saisie!#REF!="NON",0)</f>
        <v>#REF!</v>
      </c>
      <c r="W256" s="63" t="e">
        <f t="array" ref="W256">_xlfn.IFS(Saisie!O256="OUI",1,Saisie!O256="NON",0)</f>
        <v>#N/A</v>
      </c>
      <c r="X256" s="63">
        <f>Saisie!P256</f>
        <v>0</v>
      </c>
      <c r="Y256" s="299">
        <f>Saisie!H256</f>
        <v>0</v>
      </c>
      <c r="Z256" s="58" t="e">
        <f>Saisie!#REF!</f>
        <v>#REF!</v>
      </c>
      <c r="AA256" s="299">
        <f>Saisie!Q256</f>
        <v>0</v>
      </c>
      <c r="AB256" s="63" t="e">
        <f t="array" ref="AB256">_xlfn.IFS(Saisie!R256="OUI",1,Saisie!R256="NON",0)</f>
        <v>#N/A</v>
      </c>
      <c r="AC256" s="63">
        <f>Saisie!S256</f>
        <v>0</v>
      </c>
      <c r="AD256" s="63" t="e">
        <f t="array" ref="AD256">_xlfn.IFS(Saisie!T256="OUI",1,Saisie!T256="NON",0)</f>
        <v>#N/A</v>
      </c>
      <c r="AE256" s="171">
        <f>Saisie!U256</f>
        <v>0</v>
      </c>
      <c r="AF256" s="262">
        <v>3</v>
      </c>
      <c r="AG256" s="129">
        <f>Saisie!W256</f>
        <v>0</v>
      </c>
      <c r="AH256" s="20">
        <f>Saisie!X256</f>
        <v>0</v>
      </c>
      <c r="AI256" s="21">
        <f>Saisie!Y256</f>
        <v>0</v>
      </c>
      <c r="AJ256" s="59">
        <f>Saisie!Z256</f>
        <v>0</v>
      </c>
      <c r="AK256" s="20">
        <f>Saisie!AA256</f>
        <v>0</v>
      </c>
      <c r="AL256" s="21">
        <f>Saisie!AB256</f>
        <v>0</v>
      </c>
      <c r="AM256" s="59">
        <f>Saisie!AC256</f>
        <v>0</v>
      </c>
      <c r="AN256" s="20">
        <f>Saisie!AD256</f>
        <v>0</v>
      </c>
      <c r="AO256" s="21">
        <f>Saisie!AE256</f>
        <v>0</v>
      </c>
      <c r="AP256" s="59">
        <f>Saisie!AF256</f>
        <v>0</v>
      </c>
      <c r="AQ256" s="129" t="e">
        <f t="array" ref="AQ256">_xlfn.IFS(Saisie!AG256="OUI",1,Saisie!AG256="NON",0)</f>
        <v>#N/A</v>
      </c>
      <c r="AR256" s="129" t="e">
        <f t="array" ref="AR256">_xlfn.IFS(Saisie!AH256="OUI",1,Saisie!AH256="NON",0)</f>
        <v>#N/A</v>
      </c>
      <c r="AS256" s="171">
        <f>Saisie!AI256</f>
        <v>0</v>
      </c>
      <c r="AT256" s="263" t="e">
        <f t="array" ref="AT256">_xlfn.IFS(Saisie!AJ256="OUI",1,Saisie!AJ256="NON",0)</f>
        <v>#N/A</v>
      </c>
      <c r="AU256" s="173">
        <f>Saisie!AK256</f>
        <v>0</v>
      </c>
      <c r="AV256" s="263" t="e">
        <f t="array" ref="AV256">_xlfn.IFS(Saisie!AL256="OUI",1,Saisie!AL256="NON",0)</f>
        <v>#N/A</v>
      </c>
      <c r="AW256" s="171">
        <f>Saisie!AM256</f>
        <v>0</v>
      </c>
      <c r="AX256" s="68">
        <f>Saisie!AN256</f>
        <v>0</v>
      </c>
      <c r="AY256" s="20">
        <f>Saisie!AO256</f>
        <v>0</v>
      </c>
      <c r="AZ256" s="21">
        <f>Saisie!AP256</f>
        <v>0</v>
      </c>
      <c r="BA256" s="298">
        <f>Saisie!AQ256</f>
        <v>0</v>
      </c>
      <c r="BB256" s="170">
        <f>Saisie!AR256</f>
        <v>0</v>
      </c>
      <c r="BC256" s="174">
        <f>Saisie!AS256</f>
        <v>0</v>
      </c>
      <c r="BD256" s="61">
        <f>Saisie!AT256</f>
        <v>0</v>
      </c>
      <c r="BE256" s="175" t="e">
        <f t="array" ref="BE256">_xlfn.IFS(Saisie!AU256="OUI",1,Saisie!AU256="NON",0)</f>
        <v>#N/A</v>
      </c>
      <c r="BF256" s="267">
        <f>Saisie!AV256</f>
        <v>0</v>
      </c>
      <c r="BG256" s="55">
        <f>Saisie!AW256</f>
        <v>0</v>
      </c>
      <c r="BH256" s="55" t="e">
        <f t="array" ref="BH256">_xlfn.IFS(Saisie!AX256="OUI",1,Saisie!AX256="NON",0)</f>
        <v>#N/A</v>
      </c>
      <c r="BI256" s="62">
        <f>Saisie!AY256</f>
        <v>0</v>
      </c>
      <c r="BJ256" s="55" t="e">
        <f t="array" ref="BJ256">_xlfn.IFS(Saisie!AZ256="OUI",1,Saisie!AZ256="NON",0)</f>
        <v>#N/A</v>
      </c>
      <c r="BK256" s="55" t="e">
        <f t="array" ref="BK256">_xlfn.IFS(Saisie!BA256="OUI",1,Saisie!BA256="NON",0)</f>
        <v>#N/A</v>
      </c>
      <c r="BL256" s="55">
        <f>Saisie!BB256</f>
        <v>0</v>
      </c>
      <c r="BM256" s="49" t="e">
        <f>Saisie!BC256</f>
        <v>#REF!</v>
      </c>
      <c r="BN256" s="175"/>
    </row>
    <row r="257" spans="1:66" s="176" customFormat="1" x14ac:dyDescent="0.45">
      <c r="A257" s="13">
        <v>251</v>
      </c>
      <c r="B257" s="150">
        <f>Saisie!B257</f>
        <v>0</v>
      </c>
      <c r="C257" s="150">
        <f>Saisie!C257</f>
        <v>0</v>
      </c>
      <c r="D257" s="150">
        <f>Saisie!D257</f>
        <v>0</v>
      </c>
      <c r="E257" s="150">
        <f>Saisie!E257</f>
        <v>0</v>
      </c>
      <c r="F257" s="150">
        <f>Saisie!F257</f>
        <v>0</v>
      </c>
      <c r="G257" s="150">
        <f>Saisie!G257</f>
        <v>0</v>
      </c>
      <c r="H257" s="150">
        <f>Saisie!I257</f>
        <v>0</v>
      </c>
      <c r="I257" s="150">
        <f>Saisie!J257</f>
        <v>0</v>
      </c>
      <c r="J257" s="150">
        <f>Saisie!K257</f>
        <v>0</v>
      </c>
      <c r="K257" s="150">
        <f>Saisie!L257</f>
        <v>0</v>
      </c>
      <c r="L257" s="150" t="e">
        <f>Saisie!#REF!</f>
        <v>#REF!</v>
      </c>
      <c r="M257" s="55" t="e">
        <f t="array" ref="M257">_xlfn.IFS(Saisie!M257="OUI",1,Saisie!M257="NON",0)</f>
        <v>#N/A</v>
      </c>
      <c r="N257" s="64" t="e">
        <f>Saisie!#REF!</f>
        <v>#REF!</v>
      </c>
      <c r="O257" s="63" t="e">
        <f>Saisie!#REF!</f>
        <v>#REF!</v>
      </c>
      <c r="P257" s="63">
        <f>Saisie!N257</f>
        <v>0</v>
      </c>
      <c r="Q257" s="63" t="e">
        <f t="array" ref="Q257">_xlfn.IFS(Saisie!#REF!="OUI",1,Saisie!#REF!="NON",0)</f>
        <v>#REF!</v>
      </c>
      <c r="R257" s="63" t="e">
        <f>Saisie!#REF!</f>
        <v>#REF!</v>
      </c>
      <c r="S257" s="65" t="e">
        <f>Saisie!#REF!</f>
        <v>#REF!</v>
      </c>
      <c r="T257" s="63" t="e">
        <f>Saisie!#REF!</f>
        <v>#REF!</v>
      </c>
      <c r="U257" s="63" t="e">
        <f>Saisie!#REF!</f>
        <v>#REF!</v>
      </c>
      <c r="V257" s="63" t="e">
        <f t="array" ref="V257">_xlfn.IFS(Saisie!#REF!="OUI",1,Saisie!#REF!="NON",0)</f>
        <v>#REF!</v>
      </c>
      <c r="W257" s="63" t="e">
        <f t="array" ref="W257">_xlfn.IFS(Saisie!O257="OUI",1,Saisie!O257="NON",0)</f>
        <v>#N/A</v>
      </c>
      <c r="X257" s="63">
        <f>Saisie!P257</f>
        <v>0</v>
      </c>
      <c r="Y257" s="299">
        <f>Saisie!H257</f>
        <v>0</v>
      </c>
      <c r="Z257" s="58" t="e">
        <f>Saisie!#REF!</f>
        <v>#REF!</v>
      </c>
      <c r="AA257" s="299">
        <f>Saisie!Q257</f>
        <v>0</v>
      </c>
      <c r="AB257" s="63" t="e">
        <f t="array" ref="AB257">_xlfn.IFS(Saisie!R257="OUI",1,Saisie!R257="NON",0)</f>
        <v>#N/A</v>
      </c>
      <c r="AC257" s="63">
        <f>Saisie!S257</f>
        <v>0</v>
      </c>
      <c r="AD257" s="63" t="e">
        <f t="array" ref="AD257">_xlfn.IFS(Saisie!T257="OUI",1,Saisie!T257="NON",0)</f>
        <v>#N/A</v>
      </c>
      <c r="AE257" s="171">
        <f>Saisie!U257</f>
        <v>0</v>
      </c>
      <c r="AF257" s="262">
        <v>3</v>
      </c>
      <c r="AG257" s="129">
        <f>Saisie!W257</f>
        <v>0</v>
      </c>
      <c r="AH257" s="20">
        <f>Saisie!X257</f>
        <v>0</v>
      </c>
      <c r="AI257" s="21">
        <f>Saisie!Y257</f>
        <v>0</v>
      </c>
      <c r="AJ257" s="59">
        <f>Saisie!Z257</f>
        <v>0</v>
      </c>
      <c r="AK257" s="20">
        <f>Saisie!AA257</f>
        <v>0</v>
      </c>
      <c r="AL257" s="21">
        <f>Saisie!AB257</f>
        <v>0</v>
      </c>
      <c r="AM257" s="59">
        <f>Saisie!AC257</f>
        <v>0</v>
      </c>
      <c r="AN257" s="20">
        <f>Saisie!AD257</f>
        <v>0</v>
      </c>
      <c r="AO257" s="21">
        <f>Saisie!AE257</f>
        <v>0</v>
      </c>
      <c r="AP257" s="59">
        <f>Saisie!AF257</f>
        <v>0</v>
      </c>
      <c r="AQ257" s="129" t="e">
        <f t="array" ref="AQ257">_xlfn.IFS(Saisie!AG257="OUI",1,Saisie!AG257="NON",0)</f>
        <v>#N/A</v>
      </c>
      <c r="AR257" s="129" t="e">
        <f t="array" ref="AR257">_xlfn.IFS(Saisie!AH257="OUI",1,Saisie!AH257="NON",0)</f>
        <v>#N/A</v>
      </c>
      <c r="AS257" s="171">
        <f>Saisie!AI257</f>
        <v>0</v>
      </c>
      <c r="AT257" s="263" t="e">
        <f t="array" ref="AT257">_xlfn.IFS(Saisie!AJ257="OUI",1,Saisie!AJ257="NON",0)</f>
        <v>#N/A</v>
      </c>
      <c r="AU257" s="173">
        <f>Saisie!AK257</f>
        <v>0</v>
      </c>
      <c r="AV257" s="263" t="e">
        <f t="array" ref="AV257">_xlfn.IFS(Saisie!AL257="OUI",1,Saisie!AL257="NON",0)</f>
        <v>#N/A</v>
      </c>
      <c r="AW257" s="171">
        <f>Saisie!AM257</f>
        <v>0</v>
      </c>
      <c r="AX257" s="68">
        <f>Saisie!AN257</f>
        <v>0</v>
      </c>
      <c r="AY257" s="20">
        <f>Saisie!AO257</f>
        <v>0</v>
      </c>
      <c r="AZ257" s="21">
        <f>Saisie!AP257</f>
        <v>0</v>
      </c>
      <c r="BA257" s="298">
        <f>Saisie!AQ257</f>
        <v>0</v>
      </c>
      <c r="BB257" s="170">
        <f>Saisie!AR257</f>
        <v>0</v>
      </c>
      <c r="BC257" s="174">
        <f>Saisie!AS257</f>
        <v>0</v>
      </c>
      <c r="BD257" s="61">
        <f>Saisie!AT257</f>
        <v>0</v>
      </c>
      <c r="BE257" s="175" t="e">
        <f t="array" ref="BE257">_xlfn.IFS(Saisie!AU257="OUI",1,Saisie!AU257="NON",0)</f>
        <v>#N/A</v>
      </c>
      <c r="BF257" s="267">
        <f>Saisie!AV257</f>
        <v>0</v>
      </c>
      <c r="BG257" s="55">
        <f>Saisie!AW257</f>
        <v>0</v>
      </c>
      <c r="BH257" s="55" t="e">
        <f t="array" ref="BH257">_xlfn.IFS(Saisie!AX257="OUI",1,Saisie!AX257="NON",0)</f>
        <v>#N/A</v>
      </c>
      <c r="BI257" s="62">
        <f>Saisie!AY257</f>
        <v>0</v>
      </c>
      <c r="BJ257" s="55" t="e">
        <f t="array" ref="BJ257">_xlfn.IFS(Saisie!AZ257="OUI",1,Saisie!AZ257="NON",0)</f>
        <v>#N/A</v>
      </c>
      <c r="BK257" s="55" t="e">
        <f t="array" ref="BK257">_xlfn.IFS(Saisie!BA257="OUI",1,Saisie!BA257="NON",0)</f>
        <v>#N/A</v>
      </c>
      <c r="BL257" s="55">
        <f>Saisie!BB257</f>
        <v>0</v>
      </c>
      <c r="BM257" s="49" t="e">
        <f>Saisie!BC257</f>
        <v>#REF!</v>
      </c>
      <c r="BN257" s="175"/>
    </row>
    <row r="258" spans="1:66" s="176" customFormat="1" x14ac:dyDescent="0.45">
      <c r="A258" s="13">
        <v>252</v>
      </c>
      <c r="B258" s="150">
        <f>Saisie!B258</f>
        <v>0</v>
      </c>
      <c r="C258" s="150">
        <f>Saisie!C258</f>
        <v>0</v>
      </c>
      <c r="D258" s="150">
        <f>Saisie!D258</f>
        <v>0</v>
      </c>
      <c r="E258" s="150">
        <f>Saisie!E258</f>
        <v>0</v>
      </c>
      <c r="F258" s="150">
        <f>Saisie!F258</f>
        <v>0</v>
      </c>
      <c r="G258" s="150">
        <f>Saisie!G258</f>
        <v>0</v>
      </c>
      <c r="H258" s="150">
        <f>Saisie!I258</f>
        <v>0</v>
      </c>
      <c r="I258" s="150">
        <f>Saisie!J258</f>
        <v>0</v>
      </c>
      <c r="J258" s="150">
        <f>Saisie!K258</f>
        <v>0</v>
      </c>
      <c r="K258" s="150">
        <f>Saisie!L258</f>
        <v>0</v>
      </c>
      <c r="L258" s="150" t="e">
        <f>Saisie!#REF!</f>
        <v>#REF!</v>
      </c>
      <c r="M258" s="55" t="e">
        <f t="array" ref="M258">_xlfn.IFS(Saisie!M258="OUI",1,Saisie!M258="NON",0)</f>
        <v>#N/A</v>
      </c>
      <c r="N258" s="64" t="e">
        <f>Saisie!#REF!</f>
        <v>#REF!</v>
      </c>
      <c r="O258" s="63" t="e">
        <f>Saisie!#REF!</f>
        <v>#REF!</v>
      </c>
      <c r="P258" s="63">
        <f>Saisie!N258</f>
        <v>0</v>
      </c>
      <c r="Q258" s="63" t="e">
        <f t="array" ref="Q258">_xlfn.IFS(Saisie!#REF!="OUI",1,Saisie!#REF!="NON",0)</f>
        <v>#REF!</v>
      </c>
      <c r="R258" s="63" t="e">
        <f>Saisie!#REF!</f>
        <v>#REF!</v>
      </c>
      <c r="S258" s="65" t="e">
        <f>Saisie!#REF!</f>
        <v>#REF!</v>
      </c>
      <c r="T258" s="63" t="e">
        <f>Saisie!#REF!</f>
        <v>#REF!</v>
      </c>
      <c r="U258" s="63" t="e">
        <f>Saisie!#REF!</f>
        <v>#REF!</v>
      </c>
      <c r="V258" s="63" t="e">
        <f t="array" ref="V258">_xlfn.IFS(Saisie!#REF!="OUI",1,Saisie!#REF!="NON",0)</f>
        <v>#REF!</v>
      </c>
      <c r="W258" s="63" t="e">
        <f t="array" ref="W258">_xlfn.IFS(Saisie!O258="OUI",1,Saisie!O258="NON",0)</f>
        <v>#N/A</v>
      </c>
      <c r="X258" s="63">
        <f>Saisie!P258</f>
        <v>0</v>
      </c>
      <c r="Y258" s="299">
        <f>Saisie!H258</f>
        <v>0</v>
      </c>
      <c r="Z258" s="58" t="e">
        <f>Saisie!#REF!</f>
        <v>#REF!</v>
      </c>
      <c r="AA258" s="299">
        <f>Saisie!Q258</f>
        <v>0</v>
      </c>
      <c r="AB258" s="63" t="e">
        <f t="array" ref="AB258">_xlfn.IFS(Saisie!R258="OUI",1,Saisie!R258="NON",0)</f>
        <v>#N/A</v>
      </c>
      <c r="AC258" s="63">
        <f>Saisie!S258</f>
        <v>0</v>
      </c>
      <c r="AD258" s="63" t="e">
        <f t="array" ref="AD258">_xlfn.IFS(Saisie!T258="OUI",1,Saisie!T258="NON",0)</f>
        <v>#N/A</v>
      </c>
      <c r="AE258" s="171">
        <f>Saisie!U258</f>
        <v>0</v>
      </c>
      <c r="AF258" s="262">
        <v>3</v>
      </c>
      <c r="AG258" s="129">
        <f>Saisie!W258</f>
        <v>0</v>
      </c>
      <c r="AH258" s="20">
        <f>Saisie!X258</f>
        <v>0</v>
      </c>
      <c r="AI258" s="21">
        <f>Saisie!Y258</f>
        <v>0</v>
      </c>
      <c r="AJ258" s="59">
        <f>Saisie!Z258</f>
        <v>0</v>
      </c>
      <c r="AK258" s="20">
        <f>Saisie!AA258</f>
        <v>0</v>
      </c>
      <c r="AL258" s="21">
        <f>Saisie!AB258</f>
        <v>0</v>
      </c>
      <c r="AM258" s="59">
        <f>Saisie!AC258</f>
        <v>0</v>
      </c>
      <c r="AN258" s="20">
        <f>Saisie!AD258</f>
        <v>0</v>
      </c>
      <c r="AO258" s="21">
        <f>Saisie!AE258</f>
        <v>0</v>
      </c>
      <c r="AP258" s="59">
        <f>Saisie!AF258</f>
        <v>0</v>
      </c>
      <c r="AQ258" s="129" t="e">
        <f t="array" ref="AQ258">_xlfn.IFS(Saisie!AG258="OUI",1,Saisie!AG258="NON",0)</f>
        <v>#N/A</v>
      </c>
      <c r="AR258" s="129" t="e">
        <f t="array" ref="AR258">_xlfn.IFS(Saisie!AH258="OUI",1,Saisie!AH258="NON",0)</f>
        <v>#N/A</v>
      </c>
      <c r="AS258" s="171">
        <f>Saisie!AI258</f>
        <v>0</v>
      </c>
      <c r="AT258" s="263" t="e">
        <f t="array" ref="AT258">_xlfn.IFS(Saisie!AJ258="OUI",1,Saisie!AJ258="NON",0)</f>
        <v>#N/A</v>
      </c>
      <c r="AU258" s="173">
        <f>Saisie!AK258</f>
        <v>0</v>
      </c>
      <c r="AV258" s="263" t="e">
        <f t="array" ref="AV258">_xlfn.IFS(Saisie!AL258="OUI",1,Saisie!AL258="NON",0)</f>
        <v>#N/A</v>
      </c>
      <c r="AW258" s="171">
        <f>Saisie!AM258</f>
        <v>0</v>
      </c>
      <c r="AX258" s="68">
        <f>Saisie!AN258</f>
        <v>0</v>
      </c>
      <c r="AY258" s="20">
        <f>Saisie!AO258</f>
        <v>0</v>
      </c>
      <c r="AZ258" s="21">
        <f>Saisie!AP258</f>
        <v>0</v>
      </c>
      <c r="BA258" s="298">
        <f>Saisie!AQ258</f>
        <v>0</v>
      </c>
      <c r="BB258" s="170">
        <f>Saisie!AR258</f>
        <v>0</v>
      </c>
      <c r="BC258" s="174">
        <f>Saisie!AS258</f>
        <v>0</v>
      </c>
      <c r="BD258" s="61">
        <f>Saisie!AT258</f>
        <v>0</v>
      </c>
      <c r="BE258" s="175" t="e">
        <f t="array" ref="BE258">_xlfn.IFS(Saisie!AU258="OUI",1,Saisie!AU258="NON",0)</f>
        <v>#N/A</v>
      </c>
      <c r="BF258" s="267">
        <f>Saisie!AV258</f>
        <v>0</v>
      </c>
      <c r="BG258" s="55">
        <f>Saisie!AW258</f>
        <v>0</v>
      </c>
      <c r="BH258" s="55" t="e">
        <f t="array" ref="BH258">_xlfn.IFS(Saisie!AX258="OUI",1,Saisie!AX258="NON",0)</f>
        <v>#N/A</v>
      </c>
      <c r="BI258" s="62">
        <f>Saisie!AY258</f>
        <v>0</v>
      </c>
      <c r="BJ258" s="55" t="e">
        <f t="array" ref="BJ258">_xlfn.IFS(Saisie!AZ258="OUI",1,Saisie!AZ258="NON",0)</f>
        <v>#N/A</v>
      </c>
      <c r="BK258" s="55" t="e">
        <f t="array" ref="BK258">_xlfn.IFS(Saisie!BA258="OUI",1,Saisie!BA258="NON",0)</f>
        <v>#N/A</v>
      </c>
      <c r="BL258" s="55">
        <f>Saisie!BB258</f>
        <v>0</v>
      </c>
      <c r="BM258" s="49" t="e">
        <f>Saisie!BC258</f>
        <v>#REF!</v>
      </c>
      <c r="BN258" s="175"/>
    </row>
    <row r="259" spans="1:66" s="176" customFormat="1" x14ac:dyDescent="0.45">
      <c r="A259" s="12">
        <v>253</v>
      </c>
      <c r="B259" s="150">
        <f>Saisie!B259</f>
        <v>0</v>
      </c>
      <c r="C259" s="150">
        <f>Saisie!C259</f>
        <v>0</v>
      </c>
      <c r="D259" s="150">
        <f>Saisie!D259</f>
        <v>0</v>
      </c>
      <c r="E259" s="150">
        <f>Saisie!E259</f>
        <v>0</v>
      </c>
      <c r="F259" s="150">
        <f>Saisie!F259</f>
        <v>0</v>
      </c>
      <c r="G259" s="150">
        <f>Saisie!G259</f>
        <v>0</v>
      </c>
      <c r="H259" s="150">
        <f>Saisie!I259</f>
        <v>0</v>
      </c>
      <c r="I259" s="150">
        <f>Saisie!J259</f>
        <v>0</v>
      </c>
      <c r="J259" s="150">
        <f>Saisie!K259</f>
        <v>0</v>
      </c>
      <c r="K259" s="150">
        <f>Saisie!L259</f>
        <v>0</v>
      </c>
      <c r="L259" s="150" t="e">
        <f>Saisie!#REF!</f>
        <v>#REF!</v>
      </c>
      <c r="M259" s="55" t="e">
        <f t="array" ref="M259">_xlfn.IFS(Saisie!M259="OUI",1,Saisie!M259="NON",0)</f>
        <v>#N/A</v>
      </c>
      <c r="N259" s="64" t="e">
        <f>Saisie!#REF!</f>
        <v>#REF!</v>
      </c>
      <c r="O259" s="63" t="e">
        <f>Saisie!#REF!</f>
        <v>#REF!</v>
      </c>
      <c r="P259" s="63">
        <f>Saisie!N259</f>
        <v>0</v>
      </c>
      <c r="Q259" s="63" t="e">
        <f t="array" ref="Q259">_xlfn.IFS(Saisie!#REF!="OUI",1,Saisie!#REF!="NON",0)</f>
        <v>#REF!</v>
      </c>
      <c r="R259" s="63" t="e">
        <f>Saisie!#REF!</f>
        <v>#REF!</v>
      </c>
      <c r="S259" s="65" t="e">
        <f>Saisie!#REF!</f>
        <v>#REF!</v>
      </c>
      <c r="T259" s="63" t="e">
        <f>Saisie!#REF!</f>
        <v>#REF!</v>
      </c>
      <c r="U259" s="63" t="e">
        <f>Saisie!#REF!</f>
        <v>#REF!</v>
      </c>
      <c r="V259" s="63" t="e">
        <f t="array" ref="V259">_xlfn.IFS(Saisie!#REF!="OUI",1,Saisie!#REF!="NON",0)</f>
        <v>#REF!</v>
      </c>
      <c r="W259" s="63" t="e">
        <f t="array" ref="W259">_xlfn.IFS(Saisie!O259="OUI",1,Saisie!O259="NON",0)</f>
        <v>#N/A</v>
      </c>
      <c r="X259" s="63">
        <f>Saisie!P259</f>
        <v>0</v>
      </c>
      <c r="Y259" s="299">
        <f>Saisie!H259</f>
        <v>0</v>
      </c>
      <c r="Z259" s="58" t="e">
        <f>Saisie!#REF!</f>
        <v>#REF!</v>
      </c>
      <c r="AA259" s="299">
        <f>Saisie!Q259</f>
        <v>0</v>
      </c>
      <c r="AB259" s="63" t="e">
        <f t="array" ref="AB259">_xlfn.IFS(Saisie!R259="OUI",1,Saisie!R259="NON",0)</f>
        <v>#N/A</v>
      </c>
      <c r="AC259" s="63">
        <f>Saisie!S259</f>
        <v>0</v>
      </c>
      <c r="AD259" s="63" t="e">
        <f t="array" ref="AD259">_xlfn.IFS(Saisie!T259="OUI",1,Saisie!T259="NON",0)</f>
        <v>#N/A</v>
      </c>
      <c r="AE259" s="171">
        <f>Saisie!U259</f>
        <v>0</v>
      </c>
      <c r="AF259" s="262">
        <v>3</v>
      </c>
      <c r="AG259" s="129">
        <f>Saisie!W259</f>
        <v>0</v>
      </c>
      <c r="AH259" s="20">
        <f>Saisie!X259</f>
        <v>0</v>
      </c>
      <c r="AI259" s="21">
        <f>Saisie!Y259</f>
        <v>0</v>
      </c>
      <c r="AJ259" s="59">
        <f>Saisie!Z259</f>
        <v>0</v>
      </c>
      <c r="AK259" s="20">
        <f>Saisie!AA259</f>
        <v>0</v>
      </c>
      <c r="AL259" s="21">
        <f>Saisie!AB259</f>
        <v>0</v>
      </c>
      <c r="AM259" s="59">
        <f>Saisie!AC259</f>
        <v>0</v>
      </c>
      <c r="AN259" s="20">
        <f>Saisie!AD259</f>
        <v>0</v>
      </c>
      <c r="AO259" s="21">
        <f>Saisie!AE259</f>
        <v>0</v>
      </c>
      <c r="AP259" s="59">
        <f>Saisie!AF259</f>
        <v>0</v>
      </c>
      <c r="AQ259" s="129" t="e">
        <f t="array" ref="AQ259">_xlfn.IFS(Saisie!AG259="OUI",1,Saisie!AG259="NON",0)</f>
        <v>#N/A</v>
      </c>
      <c r="AR259" s="129" t="e">
        <f t="array" ref="AR259">_xlfn.IFS(Saisie!AH259="OUI",1,Saisie!AH259="NON",0)</f>
        <v>#N/A</v>
      </c>
      <c r="AS259" s="171">
        <f>Saisie!AI259</f>
        <v>0</v>
      </c>
      <c r="AT259" s="263" t="e">
        <f t="array" ref="AT259">_xlfn.IFS(Saisie!AJ259="OUI",1,Saisie!AJ259="NON",0)</f>
        <v>#N/A</v>
      </c>
      <c r="AU259" s="173">
        <f>Saisie!AK259</f>
        <v>0</v>
      </c>
      <c r="AV259" s="263" t="e">
        <f t="array" ref="AV259">_xlfn.IFS(Saisie!AL259="OUI",1,Saisie!AL259="NON",0)</f>
        <v>#N/A</v>
      </c>
      <c r="AW259" s="171">
        <f>Saisie!AM259</f>
        <v>0</v>
      </c>
      <c r="AX259" s="68">
        <f>Saisie!AN259</f>
        <v>0</v>
      </c>
      <c r="AY259" s="20">
        <f>Saisie!AO259</f>
        <v>0</v>
      </c>
      <c r="AZ259" s="21">
        <f>Saisie!AP259</f>
        <v>0</v>
      </c>
      <c r="BA259" s="298">
        <f>Saisie!AQ259</f>
        <v>0</v>
      </c>
      <c r="BB259" s="170">
        <f>Saisie!AR259</f>
        <v>0</v>
      </c>
      <c r="BC259" s="174">
        <f>Saisie!AS259</f>
        <v>0</v>
      </c>
      <c r="BD259" s="61">
        <f>Saisie!AT259</f>
        <v>0</v>
      </c>
      <c r="BE259" s="175" t="e">
        <f t="array" ref="BE259">_xlfn.IFS(Saisie!AU259="OUI",1,Saisie!AU259="NON",0)</f>
        <v>#N/A</v>
      </c>
      <c r="BF259" s="267">
        <f>Saisie!AV259</f>
        <v>0</v>
      </c>
      <c r="BG259" s="55">
        <f>Saisie!AW259</f>
        <v>0</v>
      </c>
      <c r="BH259" s="55" t="e">
        <f t="array" ref="BH259">_xlfn.IFS(Saisie!AX259="OUI",1,Saisie!AX259="NON",0)</f>
        <v>#N/A</v>
      </c>
      <c r="BI259" s="62">
        <f>Saisie!AY259</f>
        <v>0</v>
      </c>
      <c r="BJ259" s="55" t="e">
        <f t="array" ref="BJ259">_xlfn.IFS(Saisie!AZ259="OUI",1,Saisie!AZ259="NON",0)</f>
        <v>#N/A</v>
      </c>
      <c r="BK259" s="55" t="e">
        <f t="array" ref="BK259">_xlfn.IFS(Saisie!BA259="OUI",1,Saisie!BA259="NON",0)</f>
        <v>#N/A</v>
      </c>
      <c r="BL259" s="55">
        <f>Saisie!BB259</f>
        <v>0</v>
      </c>
      <c r="BM259" s="49" t="e">
        <f>Saisie!BC259</f>
        <v>#REF!</v>
      </c>
      <c r="BN259" s="175"/>
    </row>
    <row r="260" spans="1:66" s="176" customFormat="1" x14ac:dyDescent="0.45">
      <c r="A260" s="13">
        <v>254</v>
      </c>
      <c r="B260" s="150">
        <f>Saisie!B260</f>
        <v>0</v>
      </c>
      <c r="C260" s="150">
        <f>Saisie!C260</f>
        <v>0</v>
      </c>
      <c r="D260" s="150">
        <f>Saisie!D260</f>
        <v>0</v>
      </c>
      <c r="E260" s="150">
        <f>Saisie!E260</f>
        <v>0</v>
      </c>
      <c r="F260" s="150">
        <f>Saisie!F260</f>
        <v>0</v>
      </c>
      <c r="G260" s="150">
        <f>Saisie!G260</f>
        <v>0</v>
      </c>
      <c r="H260" s="150">
        <f>Saisie!I260</f>
        <v>0</v>
      </c>
      <c r="I260" s="150">
        <f>Saisie!J260</f>
        <v>0</v>
      </c>
      <c r="J260" s="150">
        <f>Saisie!K260</f>
        <v>0</v>
      </c>
      <c r="K260" s="150">
        <f>Saisie!L260</f>
        <v>0</v>
      </c>
      <c r="L260" s="150" t="e">
        <f>Saisie!#REF!</f>
        <v>#REF!</v>
      </c>
      <c r="M260" s="55" t="e">
        <f t="array" ref="M260">_xlfn.IFS(Saisie!M260="OUI",1,Saisie!M260="NON",0)</f>
        <v>#N/A</v>
      </c>
      <c r="N260" s="64" t="e">
        <f>Saisie!#REF!</f>
        <v>#REF!</v>
      </c>
      <c r="O260" s="63" t="e">
        <f>Saisie!#REF!</f>
        <v>#REF!</v>
      </c>
      <c r="P260" s="63">
        <f>Saisie!N260</f>
        <v>0</v>
      </c>
      <c r="Q260" s="63" t="e">
        <f t="array" ref="Q260">_xlfn.IFS(Saisie!#REF!="OUI",1,Saisie!#REF!="NON",0)</f>
        <v>#REF!</v>
      </c>
      <c r="R260" s="63" t="e">
        <f>Saisie!#REF!</f>
        <v>#REF!</v>
      </c>
      <c r="S260" s="65" t="e">
        <f>Saisie!#REF!</f>
        <v>#REF!</v>
      </c>
      <c r="T260" s="63" t="e">
        <f>Saisie!#REF!</f>
        <v>#REF!</v>
      </c>
      <c r="U260" s="63" t="e">
        <f>Saisie!#REF!</f>
        <v>#REF!</v>
      </c>
      <c r="V260" s="63" t="e">
        <f t="array" ref="V260">_xlfn.IFS(Saisie!#REF!="OUI",1,Saisie!#REF!="NON",0)</f>
        <v>#REF!</v>
      </c>
      <c r="W260" s="63" t="e">
        <f t="array" ref="W260">_xlfn.IFS(Saisie!O260="OUI",1,Saisie!O260="NON",0)</f>
        <v>#N/A</v>
      </c>
      <c r="X260" s="63">
        <f>Saisie!P260</f>
        <v>0</v>
      </c>
      <c r="Y260" s="299">
        <f>Saisie!H260</f>
        <v>0</v>
      </c>
      <c r="Z260" s="58" t="e">
        <f>Saisie!#REF!</f>
        <v>#REF!</v>
      </c>
      <c r="AA260" s="299">
        <f>Saisie!Q260</f>
        <v>0</v>
      </c>
      <c r="AB260" s="63" t="e">
        <f t="array" ref="AB260">_xlfn.IFS(Saisie!R260="OUI",1,Saisie!R260="NON",0)</f>
        <v>#N/A</v>
      </c>
      <c r="AC260" s="63">
        <f>Saisie!S260</f>
        <v>0</v>
      </c>
      <c r="AD260" s="63" t="e">
        <f t="array" ref="AD260">_xlfn.IFS(Saisie!T260="OUI",1,Saisie!T260="NON",0)</f>
        <v>#N/A</v>
      </c>
      <c r="AE260" s="171">
        <f>Saisie!U260</f>
        <v>0</v>
      </c>
      <c r="AF260" s="262">
        <v>3</v>
      </c>
      <c r="AG260" s="129">
        <f>Saisie!W260</f>
        <v>0</v>
      </c>
      <c r="AH260" s="20">
        <f>Saisie!X260</f>
        <v>0</v>
      </c>
      <c r="AI260" s="21">
        <f>Saisie!Y260</f>
        <v>0</v>
      </c>
      <c r="AJ260" s="59">
        <f>Saisie!Z260</f>
        <v>0</v>
      </c>
      <c r="AK260" s="20">
        <f>Saisie!AA260</f>
        <v>0</v>
      </c>
      <c r="AL260" s="21">
        <f>Saisie!AB260</f>
        <v>0</v>
      </c>
      <c r="AM260" s="59">
        <f>Saisie!AC260</f>
        <v>0</v>
      </c>
      <c r="AN260" s="20">
        <f>Saisie!AD260</f>
        <v>0</v>
      </c>
      <c r="AO260" s="21">
        <f>Saisie!AE260</f>
        <v>0</v>
      </c>
      <c r="AP260" s="59">
        <f>Saisie!AF260</f>
        <v>0</v>
      </c>
      <c r="AQ260" s="129" t="e">
        <f t="array" ref="AQ260">_xlfn.IFS(Saisie!AG260="OUI",1,Saisie!AG260="NON",0)</f>
        <v>#N/A</v>
      </c>
      <c r="AR260" s="129" t="e">
        <f t="array" ref="AR260">_xlfn.IFS(Saisie!AH260="OUI",1,Saisie!AH260="NON",0)</f>
        <v>#N/A</v>
      </c>
      <c r="AS260" s="171">
        <f>Saisie!AI260</f>
        <v>0</v>
      </c>
      <c r="AT260" s="263" t="e">
        <f t="array" ref="AT260">_xlfn.IFS(Saisie!AJ260="OUI",1,Saisie!AJ260="NON",0)</f>
        <v>#N/A</v>
      </c>
      <c r="AU260" s="173">
        <f>Saisie!AK260</f>
        <v>0</v>
      </c>
      <c r="AV260" s="263" t="e">
        <f t="array" ref="AV260">_xlfn.IFS(Saisie!AL260="OUI",1,Saisie!AL260="NON",0)</f>
        <v>#N/A</v>
      </c>
      <c r="AW260" s="171">
        <f>Saisie!AM260</f>
        <v>0</v>
      </c>
      <c r="AX260" s="68">
        <f>Saisie!AN260</f>
        <v>0</v>
      </c>
      <c r="AY260" s="20">
        <f>Saisie!AO260</f>
        <v>0</v>
      </c>
      <c r="AZ260" s="21">
        <f>Saisie!AP260</f>
        <v>0</v>
      </c>
      <c r="BA260" s="298">
        <f>Saisie!AQ260</f>
        <v>0</v>
      </c>
      <c r="BB260" s="170">
        <f>Saisie!AR260</f>
        <v>0</v>
      </c>
      <c r="BC260" s="174">
        <f>Saisie!AS260</f>
        <v>0</v>
      </c>
      <c r="BD260" s="61">
        <f>Saisie!AT260</f>
        <v>0</v>
      </c>
      <c r="BE260" s="175" t="e">
        <f t="array" ref="BE260">_xlfn.IFS(Saisie!AU260="OUI",1,Saisie!AU260="NON",0)</f>
        <v>#N/A</v>
      </c>
      <c r="BF260" s="267">
        <f>Saisie!AV260</f>
        <v>0</v>
      </c>
      <c r="BG260" s="55">
        <f>Saisie!AW260</f>
        <v>0</v>
      </c>
      <c r="BH260" s="55" t="e">
        <f t="array" ref="BH260">_xlfn.IFS(Saisie!AX260="OUI",1,Saisie!AX260="NON",0)</f>
        <v>#N/A</v>
      </c>
      <c r="BI260" s="62">
        <f>Saisie!AY260</f>
        <v>0</v>
      </c>
      <c r="BJ260" s="55" t="e">
        <f t="array" ref="BJ260">_xlfn.IFS(Saisie!AZ260="OUI",1,Saisie!AZ260="NON",0)</f>
        <v>#N/A</v>
      </c>
      <c r="BK260" s="55" t="e">
        <f t="array" ref="BK260">_xlfn.IFS(Saisie!BA260="OUI",1,Saisie!BA260="NON",0)</f>
        <v>#N/A</v>
      </c>
      <c r="BL260" s="55">
        <f>Saisie!BB260</f>
        <v>0</v>
      </c>
      <c r="BM260" s="49" t="e">
        <f>Saisie!BC260</f>
        <v>#REF!</v>
      </c>
      <c r="BN260" s="175"/>
    </row>
    <row r="261" spans="1:66" s="176" customFormat="1" x14ac:dyDescent="0.45">
      <c r="A261" s="13">
        <v>255</v>
      </c>
      <c r="B261" s="150">
        <f>Saisie!B261</f>
        <v>0</v>
      </c>
      <c r="C261" s="150">
        <f>Saisie!C261</f>
        <v>0</v>
      </c>
      <c r="D261" s="150">
        <f>Saisie!D261</f>
        <v>0</v>
      </c>
      <c r="E261" s="150">
        <f>Saisie!E261</f>
        <v>0</v>
      </c>
      <c r="F261" s="150">
        <f>Saisie!F261</f>
        <v>0</v>
      </c>
      <c r="G261" s="150">
        <f>Saisie!G261</f>
        <v>0</v>
      </c>
      <c r="H261" s="150">
        <f>Saisie!I261</f>
        <v>0</v>
      </c>
      <c r="I261" s="150">
        <f>Saisie!J261</f>
        <v>0</v>
      </c>
      <c r="J261" s="150">
        <f>Saisie!K261</f>
        <v>0</v>
      </c>
      <c r="K261" s="150">
        <f>Saisie!L261</f>
        <v>0</v>
      </c>
      <c r="L261" s="150" t="e">
        <f>Saisie!#REF!</f>
        <v>#REF!</v>
      </c>
      <c r="M261" s="55" t="e">
        <f t="array" ref="M261">_xlfn.IFS(Saisie!M261="OUI",1,Saisie!M261="NON",0)</f>
        <v>#N/A</v>
      </c>
      <c r="N261" s="64" t="e">
        <f>Saisie!#REF!</f>
        <v>#REF!</v>
      </c>
      <c r="O261" s="63" t="e">
        <f>Saisie!#REF!</f>
        <v>#REF!</v>
      </c>
      <c r="P261" s="63">
        <f>Saisie!N261</f>
        <v>0</v>
      </c>
      <c r="Q261" s="63" t="e">
        <f t="array" ref="Q261">_xlfn.IFS(Saisie!#REF!="OUI",1,Saisie!#REF!="NON",0)</f>
        <v>#REF!</v>
      </c>
      <c r="R261" s="63" t="e">
        <f>Saisie!#REF!</f>
        <v>#REF!</v>
      </c>
      <c r="S261" s="65" t="e">
        <f>Saisie!#REF!</f>
        <v>#REF!</v>
      </c>
      <c r="T261" s="63" t="e">
        <f>Saisie!#REF!</f>
        <v>#REF!</v>
      </c>
      <c r="U261" s="63" t="e">
        <f>Saisie!#REF!</f>
        <v>#REF!</v>
      </c>
      <c r="V261" s="63" t="e">
        <f t="array" ref="V261">_xlfn.IFS(Saisie!#REF!="OUI",1,Saisie!#REF!="NON",0)</f>
        <v>#REF!</v>
      </c>
      <c r="W261" s="63" t="e">
        <f t="array" ref="W261">_xlfn.IFS(Saisie!O261="OUI",1,Saisie!O261="NON",0)</f>
        <v>#N/A</v>
      </c>
      <c r="X261" s="63">
        <f>Saisie!P261</f>
        <v>0</v>
      </c>
      <c r="Y261" s="299">
        <f>Saisie!H261</f>
        <v>0</v>
      </c>
      <c r="Z261" s="58" t="e">
        <f>Saisie!#REF!</f>
        <v>#REF!</v>
      </c>
      <c r="AA261" s="299">
        <f>Saisie!Q261</f>
        <v>0</v>
      </c>
      <c r="AB261" s="63" t="e">
        <f t="array" ref="AB261">_xlfn.IFS(Saisie!R261="OUI",1,Saisie!R261="NON",0)</f>
        <v>#N/A</v>
      </c>
      <c r="AC261" s="63">
        <f>Saisie!S261</f>
        <v>0</v>
      </c>
      <c r="AD261" s="63" t="e">
        <f t="array" ref="AD261">_xlfn.IFS(Saisie!T261="OUI",1,Saisie!T261="NON",0)</f>
        <v>#N/A</v>
      </c>
      <c r="AE261" s="171">
        <f>Saisie!U261</f>
        <v>0</v>
      </c>
      <c r="AF261" s="262">
        <v>3</v>
      </c>
      <c r="AG261" s="129">
        <f>Saisie!W261</f>
        <v>0</v>
      </c>
      <c r="AH261" s="20">
        <f>Saisie!X261</f>
        <v>0</v>
      </c>
      <c r="AI261" s="21">
        <f>Saisie!Y261</f>
        <v>0</v>
      </c>
      <c r="AJ261" s="59">
        <f>Saisie!Z261</f>
        <v>0</v>
      </c>
      <c r="AK261" s="20">
        <f>Saisie!AA261</f>
        <v>0</v>
      </c>
      <c r="AL261" s="21">
        <f>Saisie!AB261</f>
        <v>0</v>
      </c>
      <c r="AM261" s="59">
        <f>Saisie!AC261</f>
        <v>0</v>
      </c>
      <c r="AN261" s="20">
        <f>Saisie!AD261</f>
        <v>0</v>
      </c>
      <c r="AO261" s="21">
        <f>Saisie!AE261</f>
        <v>0</v>
      </c>
      <c r="AP261" s="59">
        <f>Saisie!AF261</f>
        <v>0</v>
      </c>
      <c r="AQ261" s="129" t="e">
        <f t="array" ref="AQ261">_xlfn.IFS(Saisie!AG261="OUI",1,Saisie!AG261="NON",0)</f>
        <v>#N/A</v>
      </c>
      <c r="AR261" s="129" t="e">
        <f t="array" ref="AR261">_xlfn.IFS(Saisie!AH261="OUI",1,Saisie!AH261="NON",0)</f>
        <v>#N/A</v>
      </c>
      <c r="AS261" s="171">
        <f>Saisie!AI261</f>
        <v>0</v>
      </c>
      <c r="AT261" s="263" t="e">
        <f t="array" ref="AT261">_xlfn.IFS(Saisie!AJ261="OUI",1,Saisie!AJ261="NON",0)</f>
        <v>#N/A</v>
      </c>
      <c r="AU261" s="173">
        <f>Saisie!AK261</f>
        <v>0</v>
      </c>
      <c r="AV261" s="263" t="e">
        <f t="array" ref="AV261">_xlfn.IFS(Saisie!AL261="OUI",1,Saisie!AL261="NON",0)</f>
        <v>#N/A</v>
      </c>
      <c r="AW261" s="171">
        <f>Saisie!AM261</f>
        <v>0</v>
      </c>
      <c r="AX261" s="68">
        <f>Saisie!AN261</f>
        <v>0</v>
      </c>
      <c r="AY261" s="20">
        <f>Saisie!AO261</f>
        <v>0</v>
      </c>
      <c r="AZ261" s="21">
        <f>Saisie!AP261</f>
        <v>0</v>
      </c>
      <c r="BA261" s="298">
        <f>Saisie!AQ261</f>
        <v>0</v>
      </c>
      <c r="BB261" s="170">
        <f>Saisie!AR261</f>
        <v>0</v>
      </c>
      <c r="BC261" s="174">
        <f>Saisie!AS261</f>
        <v>0</v>
      </c>
      <c r="BD261" s="61">
        <f>Saisie!AT261</f>
        <v>0</v>
      </c>
      <c r="BE261" s="175" t="e">
        <f t="array" ref="BE261">_xlfn.IFS(Saisie!AU261="OUI",1,Saisie!AU261="NON",0)</f>
        <v>#N/A</v>
      </c>
      <c r="BF261" s="267">
        <f>Saisie!AV261</f>
        <v>0</v>
      </c>
      <c r="BG261" s="55">
        <f>Saisie!AW261</f>
        <v>0</v>
      </c>
      <c r="BH261" s="55" t="e">
        <f t="array" ref="BH261">_xlfn.IFS(Saisie!AX261="OUI",1,Saisie!AX261="NON",0)</f>
        <v>#N/A</v>
      </c>
      <c r="BI261" s="62">
        <f>Saisie!AY261</f>
        <v>0</v>
      </c>
      <c r="BJ261" s="55" t="e">
        <f t="array" ref="BJ261">_xlfn.IFS(Saisie!AZ261="OUI",1,Saisie!AZ261="NON",0)</f>
        <v>#N/A</v>
      </c>
      <c r="BK261" s="55" t="e">
        <f t="array" ref="BK261">_xlfn.IFS(Saisie!BA261="OUI",1,Saisie!BA261="NON",0)</f>
        <v>#N/A</v>
      </c>
      <c r="BL261" s="55">
        <f>Saisie!BB261</f>
        <v>0</v>
      </c>
      <c r="BM261" s="49" t="e">
        <f>Saisie!BC261</f>
        <v>#REF!</v>
      </c>
      <c r="BN261" s="175"/>
    </row>
    <row r="262" spans="1:66" s="176" customFormat="1" x14ac:dyDescent="0.45">
      <c r="A262" s="12">
        <v>256</v>
      </c>
      <c r="B262" s="150">
        <f>Saisie!B262</f>
        <v>0</v>
      </c>
      <c r="C262" s="150">
        <f>Saisie!C262</f>
        <v>0</v>
      </c>
      <c r="D262" s="150">
        <f>Saisie!D262</f>
        <v>0</v>
      </c>
      <c r="E262" s="150">
        <f>Saisie!E262</f>
        <v>0</v>
      </c>
      <c r="F262" s="150">
        <f>Saisie!F262</f>
        <v>0</v>
      </c>
      <c r="G262" s="150">
        <f>Saisie!G262</f>
        <v>0</v>
      </c>
      <c r="H262" s="150">
        <f>Saisie!I262</f>
        <v>0</v>
      </c>
      <c r="I262" s="150">
        <f>Saisie!J262</f>
        <v>0</v>
      </c>
      <c r="J262" s="150">
        <f>Saisie!K262</f>
        <v>0</v>
      </c>
      <c r="K262" s="150">
        <f>Saisie!L262</f>
        <v>0</v>
      </c>
      <c r="L262" s="150" t="e">
        <f>Saisie!#REF!</f>
        <v>#REF!</v>
      </c>
      <c r="M262" s="55" t="e">
        <f t="array" ref="M262">_xlfn.IFS(Saisie!M262="OUI",1,Saisie!M262="NON",0)</f>
        <v>#N/A</v>
      </c>
      <c r="N262" s="64" t="e">
        <f>Saisie!#REF!</f>
        <v>#REF!</v>
      </c>
      <c r="O262" s="63" t="e">
        <f>Saisie!#REF!</f>
        <v>#REF!</v>
      </c>
      <c r="P262" s="63">
        <f>Saisie!N262</f>
        <v>0</v>
      </c>
      <c r="Q262" s="63" t="e">
        <f t="array" ref="Q262">_xlfn.IFS(Saisie!#REF!="OUI",1,Saisie!#REF!="NON",0)</f>
        <v>#REF!</v>
      </c>
      <c r="R262" s="63" t="e">
        <f>Saisie!#REF!</f>
        <v>#REF!</v>
      </c>
      <c r="S262" s="65" t="e">
        <f>Saisie!#REF!</f>
        <v>#REF!</v>
      </c>
      <c r="T262" s="63" t="e">
        <f>Saisie!#REF!</f>
        <v>#REF!</v>
      </c>
      <c r="U262" s="63" t="e">
        <f>Saisie!#REF!</f>
        <v>#REF!</v>
      </c>
      <c r="V262" s="63" t="e">
        <f t="array" ref="V262">_xlfn.IFS(Saisie!#REF!="OUI",1,Saisie!#REF!="NON",0)</f>
        <v>#REF!</v>
      </c>
      <c r="W262" s="63" t="e">
        <f t="array" ref="W262">_xlfn.IFS(Saisie!O262="OUI",1,Saisie!O262="NON",0)</f>
        <v>#N/A</v>
      </c>
      <c r="X262" s="63">
        <f>Saisie!P262</f>
        <v>0</v>
      </c>
      <c r="Y262" s="299">
        <f>Saisie!H262</f>
        <v>0</v>
      </c>
      <c r="Z262" s="58" t="e">
        <f>Saisie!#REF!</f>
        <v>#REF!</v>
      </c>
      <c r="AA262" s="299">
        <f>Saisie!Q262</f>
        <v>0</v>
      </c>
      <c r="AB262" s="63" t="e">
        <f t="array" ref="AB262">_xlfn.IFS(Saisie!R262="OUI",1,Saisie!R262="NON",0)</f>
        <v>#N/A</v>
      </c>
      <c r="AC262" s="63">
        <f>Saisie!S262</f>
        <v>0</v>
      </c>
      <c r="AD262" s="63" t="e">
        <f t="array" ref="AD262">_xlfn.IFS(Saisie!T262="OUI",1,Saisie!T262="NON",0)</f>
        <v>#N/A</v>
      </c>
      <c r="AE262" s="171">
        <f>Saisie!U262</f>
        <v>0</v>
      </c>
      <c r="AF262" s="262">
        <v>3</v>
      </c>
      <c r="AG262" s="129">
        <f>Saisie!W262</f>
        <v>0</v>
      </c>
      <c r="AH262" s="20">
        <f>Saisie!X262</f>
        <v>0</v>
      </c>
      <c r="AI262" s="21">
        <f>Saisie!Y262</f>
        <v>0</v>
      </c>
      <c r="AJ262" s="59">
        <f>Saisie!Z262</f>
        <v>0</v>
      </c>
      <c r="AK262" s="20">
        <f>Saisie!AA262</f>
        <v>0</v>
      </c>
      <c r="AL262" s="21">
        <f>Saisie!AB262</f>
        <v>0</v>
      </c>
      <c r="AM262" s="59">
        <f>Saisie!AC262</f>
        <v>0</v>
      </c>
      <c r="AN262" s="20">
        <f>Saisie!AD262</f>
        <v>0</v>
      </c>
      <c r="AO262" s="21">
        <f>Saisie!AE262</f>
        <v>0</v>
      </c>
      <c r="AP262" s="59">
        <f>Saisie!AF262</f>
        <v>0</v>
      </c>
      <c r="AQ262" s="129" t="e">
        <f t="array" ref="AQ262">_xlfn.IFS(Saisie!AG262="OUI",1,Saisie!AG262="NON",0)</f>
        <v>#N/A</v>
      </c>
      <c r="AR262" s="129" t="e">
        <f t="array" ref="AR262">_xlfn.IFS(Saisie!AH262="OUI",1,Saisie!AH262="NON",0)</f>
        <v>#N/A</v>
      </c>
      <c r="AS262" s="171">
        <f>Saisie!AI262</f>
        <v>0</v>
      </c>
      <c r="AT262" s="263" t="e">
        <f t="array" ref="AT262">_xlfn.IFS(Saisie!AJ262="OUI",1,Saisie!AJ262="NON",0)</f>
        <v>#N/A</v>
      </c>
      <c r="AU262" s="173">
        <f>Saisie!AK262</f>
        <v>0</v>
      </c>
      <c r="AV262" s="263" t="e">
        <f t="array" ref="AV262">_xlfn.IFS(Saisie!AL262="OUI",1,Saisie!AL262="NON",0)</f>
        <v>#N/A</v>
      </c>
      <c r="AW262" s="171">
        <f>Saisie!AM262</f>
        <v>0</v>
      </c>
      <c r="AX262" s="68">
        <f>Saisie!AN262</f>
        <v>0</v>
      </c>
      <c r="AY262" s="20">
        <f>Saisie!AO262</f>
        <v>0</v>
      </c>
      <c r="AZ262" s="21">
        <f>Saisie!AP262</f>
        <v>0</v>
      </c>
      <c r="BA262" s="298">
        <f>Saisie!AQ262</f>
        <v>0</v>
      </c>
      <c r="BB262" s="170">
        <f>Saisie!AR262</f>
        <v>0</v>
      </c>
      <c r="BC262" s="174">
        <f>Saisie!AS262</f>
        <v>0</v>
      </c>
      <c r="BD262" s="61">
        <f>Saisie!AT262</f>
        <v>0</v>
      </c>
      <c r="BE262" s="175" t="e">
        <f t="array" ref="BE262">_xlfn.IFS(Saisie!AU262="OUI",1,Saisie!AU262="NON",0)</f>
        <v>#N/A</v>
      </c>
      <c r="BF262" s="267">
        <f>Saisie!AV262</f>
        <v>0</v>
      </c>
      <c r="BG262" s="55">
        <f>Saisie!AW262</f>
        <v>0</v>
      </c>
      <c r="BH262" s="55" t="e">
        <f t="array" ref="BH262">_xlfn.IFS(Saisie!AX262="OUI",1,Saisie!AX262="NON",0)</f>
        <v>#N/A</v>
      </c>
      <c r="BI262" s="62">
        <f>Saisie!AY262</f>
        <v>0</v>
      </c>
      <c r="BJ262" s="55" t="e">
        <f t="array" ref="BJ262">_xlfn.IFS(Saisie!AZ262="OUI",1,Saisie!AZ262="NON",0)</f>
        <v>#N/A</v>
      </c>
      <c r="BK262" s="55" t="e">
        <f t="array" ref="BK262">_xlfn.IFS(Saisie!BA262="OUI",1,Saisie!BA262="NON",0)</f>
        <v>#N/A</v>
      </c>
      <c r="BL262" s="55">
        <f>Saisie!BB262</f>
        <v>0</v>
      </c>
      <c r="BM262" s="49" t="e">
        <f>Saisie!BC262</f>
        <v>#REF!</v>
      </c>
      <c r="BN262" s="175"/>
    </row>
    <row r="263" spans="1:66" s="176" customFormat="1" x14ac:dyDescent="0.45">
      <c r="A263" s="13">
        <v>257</v>
      </c>
      <c r="B263" s="150">
        <f>Saisie!B263</f>
        <v>0</v>
      </c>
      <c r="C263" s="150">
        <f>Saisie!C263</f>
        <v>0</v>
      </c>
      <c r="D263" s="150">
        <f>Saisie!D263</f>
        <v>0</v>
      </c>
      <c r="E263" s="150">
        <f>Saisie!E263</f>
        <v>0</v>
      </c>
      <c r="F263" s="150">
        <f>Saisie!F263</f>
        <v>0</v>
      </c>
      <c r="G263" s="150">
        <f>Saisie!G263</f>
        <v>0</v>
      </c>
      <c r="H263" s="150">
        <f>Saisie!I263</f>
        <v>0</v>
      </c>
      <c r="I263" s="150">
        <f>Saisie!J263</f>
        <v>0</v>
      </c>
      <c r="J263" s="150">
        <f>Saisie!K263</f>
        <v>0</v>
      </c>
      <c r="K263" s="150">
        <f>Saisie!L263</f>
        <v>0</v>
      </c>
      <c r="L263" s="150" t="e">
        <f>Saisie!#REF!</f>
        <v>#REF!</v>
      </c>
      <c r="M263" s="55" t="e">
        <f t="array" ref="M263">_xlfn.IFS(Saisie!M263="OUI",1,Saisie!M263="NON",0)</f>
        <v>#N/A</v>
      </c>
      <c r="N263" s="64" t="e">
        <f>Saisie!#REF!</f>
        <v>#REF!</v>
      </c>
      <c r="O263" s="63" t="e">
        <f>Saisie!#REF!</f>
        <v>#REF!</v>
      </c>
      <c r="P263" s="63">
        <f>Saisie!N263</f>
        <v>0</v>
      </c>
      <c r="Q263" s="63" t="e">
        <f t="array" ref="Q263">_xlfn.IFS(Saisie!#REF!="OUI",1,Saisie!#REF!="NON",0)</f>
        <v>#REF!</v>
      </c>
      <c r="R263" s="63" t="e">
        <f>Saisie!#REF!</f>
        <v>#REF!</v>
      </c>
      <c r="S263" s="65" t="e">
        <f>Saisie!#REF!</f>
        <v>#REF!</v>
      </c>
      <c r="T263" s="63" t="e">
        <f>Saisie!#REF!</f>
        <v>#REF!</v>
      </c>
      <c r="U263" s="63" t="e">
        <f>Saisie!#REF!</f>
        <v>#REF!</v>
      </c>
      <c r="V263" s="63" t="e">
        <f t="array" ref="V263">_xlfn.IFS(Saisie!#REF!="OUI",1,Saisie!#REF!="NON",0)</f>
        <v>#REF!</v>
      </c>
      <c r="W263" s="63" t="e">
        <f t="array" ref="W263">_xlfn.IFS(Saisie!O263="OUI",1,Saisie!O263="NON",0)</f>
        <v>#N/A</v>
      </c>
      <c r="X263" s="63">
        <f>Saisie!P263</f>
        <v>0</v>
      </c>
      <c r="Y263" s="299">
        <f>Saisie!H263</f>
        <v>0</v>
      </c>
      <c r="Z263" s="58" t="e">
        <f>Saisie!#REF!</f>
        <v>#REF!</v>
      </c>
      <c r="AA263" s="299">
        <f>Saisie!Q263</f>
        <v>0</v>
      </c>
      <c r="AB263" s="63" t="e">
        <f t="array" ref="AB263">_xlfn.IFS(Saisie!R263="OUI",1,Saisie!R263="NON",0)</f>
        <v>#N/A</v>
      </c>
      <c r="AC263" s="63">
        <f>Saisie!S263</f>
        <v>0</v>
      </c>
      <c r="AD263" s="63" t="e">
        <f t="array" ref="AD263">_xlfn.IFS(Saisie!T263="OUI",1,Saisie!T263="NON",0)</f>
        <v>#N/A</v>
      </c>
      <c r="AE263" s="171">
        <f>Saisie!U263</f>
        <v>0</v>
      </c>
      <c r="AF263" s="262">
        <v>3</v>
      </c>
      <c r="AG263" s="129">
        <f>Saisie!W263</f>
        <v>0</v>
      </c>
      <c r="AH263" s="20">
        <f>Saisie!X263</f>
        <v>0</v>
      </c>
      <c r="AI263" s="21">
        <f>Saisie!Y263</f>
        <v>0</v>
      </c>
      <c r="AJ263" s="59">
        <f>Saisie!Z263</f>
        <v>0</v>
      </c>
      <c r="AK263" s="20">
        <f>Saisie!AA263</f>
        <v>0</v>
      </c>
      <c r="AL263" s="21">
        <f>Saisie!AB263</f>
        <v>0</v>
      </c>
      <c r="AM263" s="59">
        <f>Saisie!AC263</f>
        <v>0</v>
      </c>
      <c r="AN263" s="20">
        <f>Saisie!AD263</f>
        <v>0</v>
      </c>
      <c r="AO263" s="21">
        <f>Saisie!AE263</f>
        <v>0</v>
      </c>
      <c r="AP263" s="59">
        <f>Saisie!AF263</f>
        <v>0</v>
      </c>
      <c r="AQ263" s="129" t="e">
        <f t="array" ref="AQ263">_xlfn.IFS(Saisie!AG263="OUI",1,Saisie!AG263="NON",0)</f>
        <v>#N/A</v>
      </c>
      <c r="AR263" s="129" t="e">
        <f t="array" ref="AR263">_xlfn.IFS(Saisie!AH263="OUI",1,Saisie!AH263="NON",0)</f>
        <v>#N/A</v>
      </c>
      <c r="AS263" s="171">
        <f>Saisie!AI263</f>
        <v>0</v>
      </c>
      <c r="AT263" s="263" t="e">
        <f t="array" ref="AT263">_xlfn.IFS(Saisie!AJ263="OUI",1,Saisie!AJ263="NON",0)</f>
        <v>#N/A</v>
      </c>
      <c r="AU263" s="173">
        <f>Saisie!AK263</f>
        <v>0</v>
      </c>
      <c r="AV263" s="263" t="e">
        <f t="array" ref="AV263">_xlfn.IFS(Saisie!AL263="OUI",1,Saisie!AL263="NON",0)</f>
        <v>#N/A</v>
      </c>
      <c r="AW263" s="171">
        <f>Saisie!AM263</f>
        <v>0</v>
      </c>
      <c r="AX263" s="68">
        <f>Saisie!AN263</f>
        <v>0</v>
      </c>
      <c r="AY263" s="20">
        <f>Saisie!AO263</f>
        <v>0</v>
      </c>
      <c r="AZ263" s="21">
        <f>Saisie!AP263</f>
        <v>0</v>
      </c>
      <c r="BA263" s="298">
        <f>Saisie!AQ263</f>
        <v>0</v>
      </c>
      <c r="BB263" s="170">
        <f>Saisie!AR263</f>
        <v>0</v>
      </c>
      <c r="BC263" s="174">
        <f>Saisie!AS263</f>
        <v>0</v>
      </c>
      <c r="BD263" s="61">
        <f>Saisie!AT263</f>
        <v>0</v>
      </c>
      <c r="BE263" s="175" t="e">
        <f t="array" ref="BE263">_xlfn.IFS(Saisie!AU263="OUI",1,Saisie!AU263="NON",0)</f>
        <v>#N/A</v>
      </c>
      <c r="BF263" s="267">
        <f>Saisie!AV263</f>
        <v>0</v>
      </c>
      <c r="BG263" s="55">
        <f>Saisie!AW263</f>
        <v>0</v>
      </c>
      <c r="BH263" s="55" t="e">
        <f t="array" ref="BH263">_xlfn.IFS(Saisie!AX263="OUI",1,Saisie!AX263="NON",0)</f>
        <v>#N/A</v>
      </c>
      <c r="BI263" s="62">
        <f>Saisie!AY263</f>
        <v>0</v>
      </c>
      <c r="BJ263" s="55" t="e">
        <f t="array" ref="BJ263">_xlfn.IFS(Saisie!AZ263="OUI",1,Saisie!AZ263="NON",0)</f>
        <v>#N/A</v>
      </c>
      <c r="BK263" s="55" t="e">
        <f t="array" ref="BK263">_xlfn.IFS(Saisie!BA263="OUI",1,Saisie!BA263="NON",0)</f>
        <v>#N/A</v>
      </c>
      <c r="BL263" s="55">
        <f>Saisie!BB263</f>
        <v>0</v>
      </c>
      <c r="BM263" s="49" t="e">
        <f>Saisie!BC263</f>
        <v>#REF!</v>
      </c>
      <c r="BN263" s="175"/>
    </row>
    <row r="264" spans="1:66" s="176" customFormat="1" x14ac:dyDescent="0.45">
      <c r="A264" s="13">
        <v>258</v>
      </c>
      <c r="B264" s="150">
        <f>Saisie!B264</f>
        <v>0</v>
      </c>
      <c r="C264" s="150">
        <f>Saisie!C264</f>
        <v>0</v>
      </c>
      <c r="D264" s="150">
        <f>Saisie!D264</f>
        <v>0</v>
      </c>
      <c r="E264" s="150">
        <f>Saisie!E264</f>
        <v>0</v>
      </c>
      <c r="F264" s="150">
        <f>Saisie!F264</f>
        <v>0</v>
      </c>
      <c r="G264" s="150">
        <f>Saisie!G264</f>
        <v>0</v>
      </c>
      <c r="H264" s="150">
        <f>Saisie!I264</f>
        <v>0</v>
      </c>
      <c r="I264" s="150">
        <f>Saisie!J264</f>
        <v>0</v>
      </c>
      <c r="J264" s="150">
        <f>Saisie!K264</f>
        <v>0</v>
      </c>
      <c r="K264" s="150">
        <f>Saisie!L264</f>
        <v>0</v>
      </c>
      <c r="L264" s="150" t="e">
        <f>Saisie!#REF!</f>
        <v>#REF!</v>
      </c>
      <c r="M264" s="55" t="e">
        <f t="array" ref="M264">_xlfn.IFS(Saisie!M264="OUI",1,Saisie!M264="NON",0)</f>
        <v>#N/A</v>
      </c>
      <c r="N264" s="64" t="e">
        <f>Saisie!#REF!</f>
        <v>#REF!</v>
      </c>
      <c r="O264" s="63" t="e">
        <f>Saisie!#REF!</f>
        <v>#REF!</v>
      </c>
      <c r="P264" s="63">
        <f>Saisie!N264</f>
        <v>0</v>
      </c>
      <c r="Q264" s="63" t="e">
        <f t="array" ref="Q264">_xlfn.IFS(Saisie!#REF!="OUI",1,Saisie!#REF!="NON",0)</f>
        <v>#REF!</v>
      </c>
      <c r="R264" s="63" t="e">
        <f>Saisie!#REF!</f>
        <v>#REF!</v>
      </c>
      <c r="S264" s="65" t="e">
        <f>Saisie!#REF!</f>
        <v>#REF!</v>
      </c>
      <c r="T264" s="63" t="e">
        <f>Saisie!#REF!</f>
        <v>#REF!</v>
      </c>
      <c r="U264" s="63" t="e">
        <f>Saisie!#REF!</f>
        <v>#REF!</v>
      </c>
      <c r="V264" s="63" t="e">
        <f t="array" ref="V264">_xlfn.IFS(Saisie!#REF!="OUI",1,Saisie!#REF!="NON",0)</f>
        <v>#REF!</v>
      </c>
      <c r="W264" s="63" t="e">
        <f t="array" ref="W264">_xlfn.IFS(Saisie!O264="OUI",1,Saisie!O264="NON",0)</f>
        <v>#N/A</v>
      </c>
      <c r="X264" s="63">
        <f>Saisie!P264</f>
        <v>0</v>
      </c>
      <c r="Y264" s="299">
        <f>Saisie!H264</f>
        <v>0</v>
      </c>
      <c r="Z264" s="58" t="e">
        <f>Saisie!#REF!</f>
        <v>#REF!</v>
      </c>
      <c r="AA264" s="299">
        <f>Saisie!Q264</f>
        <v>0</v>
      </c>
      <c r="AB264" s="63" t="e">
        <f t="array" ref="AB264">_xlfn.IFS(Saisie!R264="OUI",1,Saisie!R264="NON",0)</f>
        <v>#N/A</v>
      </c>
      <c r="AC264" s="63">
        <f>Saisie!S264</f>
        <v>0</v>
      </c>
      <c r="AD264" s="63" t="e">
        <f t="array" ref="AD264">_xlfn.IFS(Saisie!T264="OUI",1,Saisie!T264="NON",0)</f>
        <v>#N/A</v>
      </c>
      <c r="AE264" s="171">
        <f>Saisie!U264</f>
        <v>0</v>
      </c>
      <c r="AF264" s="262">
        <v>3</v>
      </c>
      <c r="AG264" s="129">
        <f>Saisie!W264</f>
        <v>0</v>
      </c>
      <c r="AH264" s="20">
        <f>Saisie!X264</f>
        <v>0</v>
      </c>
      <c r="AI264" s="21">
        <f>Saisie!Y264</f>
        <v>0</v>
      </c>
      <c r="AJ264" s="59">
        <f>Saisie!Z264</f>
        <v>0</v>
      </c>
      <c r="AK264" s="20">
        <f>Saisie!AA264</f>
        <v>0</v>
      </c>
      <c r="AL264" s="21">
        <f>Saisie!AB264</f>
        <v>0</v>
      </c>
      <c r="AM264" s="59">
        <f>Saisie!AC264</f>
        <v>0</v>
      </c>
      <c r="AN264" s="20">
        <f>Saisie!AD264</f>
        <v>0</v>
      </c>
      <c r="AO264" s="21">
        <f>Saisie!AE264</f>
        <v>0</v>
      </c>
      <c r="AP264" s="59">
        <f>Saisie!AF264</f>
        <v>0</v>
      </c>
      <c r="AQ264" s="129" t="e">
        <f t="array" ref="AQ264">_xlfn.IFS(Saisie!AG264="OUI",1,Saisie!AG264="NON",0)</f>
        <v>#N/A</v>
      </c>
      <c r="AR264" s="129" t="e">
        <f t="array" ref="AR264">_xlfn.IFS(Saisie!AH264="OUI",1,Saisie!AH264="NON",0)</f>
        <v>#N/A</v>
      </c>
      <c r="AS264" s="171">
        <f>Saisie!AI264</f>
        <v>0</v>
      </c>
      <c r="AT264" s="263" t="e">
        <f t="array" ref="AT264">_xlfn.IFS(Saisie!AJ264="OUI",1,Saisie!AJ264="NON",0)</f>
        <v>#N/A</v>
      </c>
      <c r="AU264" s="173">
        <f>Saisie!AK264</f>
        <v>0</v>
      </c>
      <c r="AV264" s="263" t="e">
        <f t="array" ref="AV264">_xlfn.IFS(Saisie!AL264="OUI",1,Saisie!AL264="NON",0)</f>
        <v>#N/A</v>
      </c>
      <c r="AW264" s="171">
        <f>Saisie!AM264</f>
        <v>0</v>
      </c>
      <c r="AX264" s="68">
        <f>Saisie!AN264</f>
        <v>0</v>
      </c>
      <c r="AY264" s="20">
        <f>Saisie!AO264</f>
        <v>0</v>
      </c>
      <c r="AZ264" s="21">
        <f>Saisie!AP264</f>
        <v>0</v>
      </c>
      <c r="BA264" s="298">
        <f>Saisie!AQ264</f>
        <v>0</v>
      </c>
      <c r="BB264" s="170">
        <f>Saisie!AR264</f>
        <v>0</v>
      </c>
      <c r="BC264" s="174">
        <f>Saisie!AS264</f>
        <v>0</v>
      </c>
      <c r="BD264" s="61">
        <f>Saisie!AT264</f>
        <v>0</v>
      </c>
      <c r="BE264" s="175" t="e">
        <f t="array" ref="BE264">_xlfn.IFS(Saisie!AU264="OUI",1,Saisie!AU264="NON",0)</f>
        <v>#N/A</v>
      </c>
      <c r="BF264" s="267">
        <f>Saisie!AV264</f>
        <v>0</v>
      </c>
      <c r="BG264" s="55">
        <f>Saisie!AW264</f>
        <v>0</v>
      </c>
      <c r="BH264" s="55" t="e">
        <f t="array" ref="BH264">_xlfn.IFS(Saisie!AX264="OUI",1,Saisie!AX264="NON",0)</f>
        <v>#N/A</v>
      </c>
      <c r="BI264" s="62">
        <f>Saisie!AY264</f>
        <v>0</v>
      </c>
      <c r="BJ264" s="55" t="e">
        <f t="array" ref="BJ264">_xlfn.IFS(Saisie!AZ264="OUI",1,Saisie!AZ264="NON",0)</f>
        <v>#N/A</v>
      </c>
      <c r="BK264" s="55" t="e">
        <f t="array" ref="BK264">_xlfn.IFS(Saisie!BA264="OUI",1,Saisie!BA264="NON",0)</f>
        <v>#N/A</v>
      </c>
      <c r="BL264" s="55">
        <f>Saisie!BB264</f>
        <v>0</v>
      </c>
      <c r="BM264" s="49" t="e">
        <f>Saisie!BC264</f>
        <v>#REF!</v>
      </c>
      <c r="BN264" s="175"/>
    </row>
    <row r="265" spans="1:66" s="176" customFormat="1" x14ac:dyDescent="0.45">
      <c r="A265" s="12">
        <v>259</v>
      </c>
      <c r="B265" s="150">
        <f>Saisie!B265</f>
        <v>0</v>
      </c>
      <c r="C265" s="150">
        <f>Saisie!C265</f>
        <v>0</v>
      </c>
      <c r="D265" s="150">
        <f>Saisie!D265</f>
        <v>0</v>
      </c>
      <c r="E265" s="150">
        <f>Saisie!E265</f>
        <v>0</v>
      </c>
      <c r="F265" s="150">
        <f>Saisie!F265</f>
        <v>0</v>
      </c>
      <c r="G265" s="150">
        <f>Saisie!G265</f>
        <v>0</v>
      </c>
      <c r="H265" s="150">
        <f>Saisie!I265</f>
        <v>0</v>
      </c>
      <c r="I265" s="150">
        <f>Saisie!J265</f>
        <v>0</v>
      </c>
      <c r="J265" s="150">
        <f>Saisie!K265</f>
        <v>0</v>
      </c>
      <c r="K265" s="150">
        <f>Saisie!L265</f>
        <v>0</v>
      </c>
      <c r="L265" s="150" t="e">
        <f>Saisie!#REF!</f>
        <v>#REF!</v>
      </c>
      <c r="M265" s="55" t="e">
        <f t="array" ref="M265">_xlfn.IFS(Saisie!M265="OUI",1,Saisie!M265="NON",0)</f>
        <v>#N/A</v>
      </c>
      <c r="N265" s="64" t="e">
        <f>Saisie!#REF!</f>
        <v>#REF!</v>
      </c>
      <c r="O265" s="63" t="e">
        <f>Saisie!#REF!</f>
        <v>#REF!</v>
      </c>
      <c r="P265" s="63">
        <f>Saisie!N265</f>
        <v>0</v>
      </c>
      <c r="Q265" s="63" t="e">
        <f t="array" ref="Q265">_xlfn.IFS(Saisie!#REF!="OUI",1,Saisie!#REF!="NON",0)</f>
        <v>#REF!</v>
      </c>
      <c r="R265" s="63" t="e">
        <f>Saisie!#REF!</f>
        <v>#REF!</v>
      </c>
      <c r="S265" s="65" t="e">
        <f>Saisie!#REF!</f>
        <v>#REF!</v>
      </c>
      <c r="T265" s="63" t="e">
        <f>Saisie!#REF!</f>
        <v>#REF!</v>
      </c>
      <c r="U265" s="63" t="e">
        <f>Saisie!#REF!</f>
        <v>#REF!</v>
      </c>
      <c r="V265" s="63" t="e">
        <f t="array" ref="V265">_xlfn.IFS(Saisie!#REF!="OUI",1,Saisie!#REF!="NON",0)</f>
        <v>#REF!</v>
      </c>
      <c r="W265" s="63" t="e">
        <f t="array" ref="W265">_xlfn.IFS(Saisie!O265="OUI",1,Saisie!O265="NON",0)</f>
        <v>#N/A</v>
      </c>
      <c r="X265" s="63">
        <f>Saisie!P265</f>
        <v>0</v>
      </c>
      <c r="Y265" s="299">
        <f>Saisie!H265</f>
        <v>0</v>
      </c>
      <c r="Z265" s="58" t="e">
        <f>Saisie!#REF!</f>
        <v>#REF!</v>
      </c>
      <c r="AA265" s="299">
        <f>Saisie!Q265</f>
        <v>0</v>
      </c>
      <c r="AB265" s="63" t="e">
        <f t="array" ref="AB265">_xlfn.IFS(Saisie!R265="OUI",1,Saisie!R265="NON",0)</f>
        <v>#N/A</v>
      </c>
      <c r="AC265" s="63">
        <f>Saisie!S265</f>
        <v>0</v>
      </c>
      <c r="AD265" s="63" t="e">
        <f t="array" ref="AD265">_xlfn.IFS(Saisie!T265="OUI",1,Saisie!T265="NON",0)</f>
        <v>#N/A</v>
      </c>
      <c r="AE265" s="171">
        <f>Saisie!U265</f>
        <v>0</v>
      </c>
      <c r="AF265" s="262">
        <v>3</v>
      </c>
      <c r="AG265" s="129">
        <f>Saisie!W265</f>
        <v>0</v>
      </c>
      <c r="AH265" s="20">
        <f>Saisie!X265</f>
        <v>0</v>
      </c>
      <c r="AI265" s="21">
        <f>Saisie!Y265</f>
        <v>0</v>
      </c>
      <c r="AJ265" s="59">
        <f>Saisie!Z265</f>
        <v>0</v>
      </c>
      <c r="AK265" s="20">
        <f>Saisie!AA265</f>
        <v>0</v>
      </c>
      <c r="AL265" s="21">
        <f>Saisie!AB265</f>
        <v>0</v>
      </c>
      <c r="AM265" s="59">
        <f>Saisie!AC265</f>
        <v>0</v>
      </c>
      <c r="AN265" s="20">
        <f>Saisie!AD265</f>
        <v>0</v>
      </c>
      <c r="AO265" s="21">
        <f>Saisie!AE265</f>
        <v>0</v>
      </c>
      <c r="AP265" s="59">
        <f>Saisie!AF265</f>
        <v>0</v>
      </c>
      <c r="AQ265" s="129" t="e">
        <f t="array" ref="AQ265">_xlfn.IFS(Saisie!AG265="OUI",1,Saisie!AG265="NON",0)</f>
        <v>#N/A</v>
      </c>
      <c r="AR265" s="129" t="e">
        <f t="array" ref="AR265">_xlfn.IFS(Saisie!AH265="OUI",1,Saisie!AH265="NON",0)</f>
        <v>#N/A</v>
      </c>
      <c r="AS265" s="171">
        <f>Saisie!AI265</f>
        <v>0</v>
      </c>
      <c r="AT265" s="263" t="e">
        <f t="array" ref="AT265">_xlfn.IFS(Saisie!AJ265="OUI",1,Saisie!AJ265="NON",0)</f>
        <v>#N/A</v>
      </c>
      <c r="AU265" s="173">
        <f>Saisie!AK265</f>
        <v>0</v>
      </c>
      <c r="AV265" s="263" t="e">
        <f t="array" ref="AV265">_xlfn.IFS(Saisie!AL265="OUI",1,Saisie!AL265="NON",0)</f>
        <v>#N/A</v>
      </c>
      <c r="AW265" s="171">
        <f>Saisie!AM265</f>
        <v>0</v>
      </c>
      <c r="AX265" s="68">
        <f>Saisie!AN265</f>
        <v>0</v>
      </c>
      <c r="AY265" s="20">
        <f>Saisie!AO265</f>
        <v>0</v>
      </c>
      <c r="AZ265" s="21">
        <f>Saisie!AP265</f>
        <v>0</v>
      </c>
      <c r="BA265" s="298">
        <f>Saisie!AQ265</f>
        <v>0</v>
      </c>
      <c r="BB265" s="170">
        <f>Saisie!AR265</f>
        <v>0</v>
      </c>
      <c r="BC265" s="174">
        <f>Saisie!AS265</f>
        <v>0</v>
      </c>
      <c r="BD265" s="61">
        <f>Saisie!AT265</f>
        <v>0</v>
      </c>
      <c r="BE265" s="175" t="e">
        <f t="array" ref="BE265">_xlfn.IFS(Saisie!AU265="OUI",1,Saisie!AU265="NON",0)</f>
        <v>#N/A</v>
      </c>
      <c r="BF265" s="267">
        <f>Saisie!AV265</f>
        <v>0</v>
      </c>
      <c r="BG265" s="55">
        <f>Saisie!AW265</f>
        <v>0</v>
      </c>
      <c r="BH265" s="55" t="e">
        <f t="array" ref="BH265">_xlfn.IFS(Saisie!AX265="OUI",1,Saisie!AX265="NON",0)</f>
        <v>#N/A</v>
      </c>
      <c r="BI265" s="62">
        <f>Saisie!AY265</f>
        <v>0</v>
      </c>
      <c r="BJ265" s="55" t="e">
        <f t="array" ref="BJ265">_xlfn.IFS(Saisie!AZ265="OUI",1,Saisie!AZ265="NON",0)</f>
        <v>#N/A</v>
      </c>
      <c r="BK265" s="55" t="e">
        <f t="array" ref="BK265">_xlfn.IFS(Saisie!BA265="OUI",1,Saisie!BA265="NON",0)</f>
        <v>#N/A</v>
      </c>
      <c r="BL265" s="55">
        <f>Saisie!BB265</f>
        <v>0</v>
      </c>
      <c r="BM265" s="49" t="e">
        <f>Saisie!BC265</f>
        <v>#REF!</v>
      </c>
      <c r="BN265" s="175"/>
    </row>
    <row r="266" spans="1:66" s="176" customFormat="1" x14ac:dyDescent="0.45">
      <c r="A266" s="13">
        <v>260</v>
      </c>
      <c r="B266" s="150">
        <f>Saisie!B266</f>
        <v>0</v>
      </c>
      <c r="C266" s="150">
        <f>Saisie!C266</f>
        <v>0</v>
      </c>
      <c r="D266" s="150">
        <f>Saisie!D266</f>
        <v>0</v>
      </c>
      <c r="E266" s="150">
        <f>Saisie!E266</f>
        <v>0</v>
      </c>
      <c r="F266" s="150">
        <f>Saisie!F266</f>
        <v>0</v>
      </c>
      <c r="G266" s="150">
        <f>Saisie!G266</f>
        <v>0</v>
      </c>
      <c r="H266" s="150">
        <f>Saisie!I266</f>
        <v>0</v>
      </c>
      <c r="I266" s="150">
        <f>Saisie!J266</f>
        <v>0</v>
      </c>
      <c r="J266" s="150">
        <f>Saisie!K266</f>
        <v>0</v>
      </c>
      <c r="K266" s="150">
        <f>Saisie!L266</f>
        <v>0</v>
      </c>
      <c r="L266" s="150" t="e">
        <f>Saisie!#REF!</f>
        <v>#REF!</v>
      </c>
      <c r="M266" s="55" t="e">
        <f t="array" ref="M266">_xlfn.IFS(Saisie!M266="OUI",1,Saisie!M266="NON",0)</f>
        <v>#N/A</v>
      </c>
      <c r="N266" s="64" t="e">
        <f>Saisie!#REF!</f>
        <v>#REF!</v>
      </c>
      <c r="O266" s="63" t="e">
        <f>Saisie!#REF!</f>
        <v>#REF!</v>
      </c>
      <c r="P266" s="63">
        <f>Saisie!N266</f>
        <v>0</v>
      </c>
      <c r="Q266" s="63" t="e">
        <f t="array" ref="Q266">_xlfn.IFS(Saisie!#REF!="OUI",1,Saisie!#REF!="NON",0)</f>
        <v>#REF!</v>
      </c>
      <c r="R266" s="63" t="e">
        <f>Saisie!#REF!</f>
        <v>#REF!</v>
      </c>
      <c r="S266" s="65" t="e">
        <f>Saisie!#REF!</f>
        <v>#REF!</v>
      </c>
      <c r="T266" s="63" t="e">
        <f>Saisie!#REF!</f>
        <v>#REF!</v>
      </c>
      <c r="U266" s="63" t="e">
        <f>Saisie!#REF!</f>
        <v>#REF!</v>
      </c>
      <c r="V266" s="63" t="e">
        <f t="array" ref="V266">_xlfn.IFS(Saisie!#REF!="OUI",1,Saisie!#REF!="NON",0)</f>
        <v>#REF!</v>
      </c>
      <c r="W266" s="63" t="e">
        <f t="array" ref="W266">_xlfn.IFS(Saisie!O266="OUI",1,Saisie!O266="NON",0)</f>
        <v>#N/A</v>
      </c>
      <c r="X266" s="63">
        <f>Saisie!P266</f>
        <v>0</v>
      </c>
      <c r="Y266" s="299">
        <f>Saisie!H266</f>
        <v>0</v>
      </c>
      <c r="Z266" s="58" t="e">
        <f>Saisie!#REF!</f>
        <v>#REF!</v>
      </c>
      <c r="AA266" s="299">
        <f>Saisie!Q266</f>
        <v>0</v>
      </c>
      <c r="AB266" s="63" t="e">
        <f t="array" ref="AB266">_xlfn.IFS(Saisie!R266="OUI",1,Saisie!R266="NON",0)</f>
        <v>#N/A</v>
      </c>
      <c r="AC266" s="63">
        <f>Saisie!S266</f>
        <v>0</v>
      </c>
      <c r="AD266" s="63" t="e">
        <f t="array" ref="AD266">_xlfn.IFS(Saisie!T266="OUI",1,Saisie!T266="NON",0)</f>
        <v>#N/A</v>
      </c>
      <c r="AE266" s="171">
        <f>Saisie!U266</f>
        <v>0</v>
      </c>
      <c r="AF266" s="262">
        <v>3</v>
      </c>
      <c r="AG266" s="129">
        <f>Saisie!W266</f>
        <v>0</v>
      </c>
      <c r="AH266" s="20">
        <f>Saisie!X266</f>
        <v>0</v>
      </c>
      <c r="AI266" s="21">
        <f>Saisie!Y266</f>
        <v>0</v>
      </c>
      <c r="AJ266" s="59">
        <f>Saisie!Z266</f>
        <v>0</v>
      </c>
      <c r="AK266" s="20">
        <f>Saisie!AA266</f>
        <v>0</v>
      </c>
      <c r="AL266" s="21">
        <f>Saisie!AB266</f>
        <v>0</v>
      </c>
      <c r="AM266" s="59">
        <f>Saisie!AC266</f>
        <v>0</v>
      </c>
      <c r="AN266" s="20">
        <f>Saisie!AD266</f>
        <v>0</v>
      </c>
      <c r="AO266" s="21">
        <f>Saisie!AE266</f>
        <v>0</v>
      </c>
      <c r="AP266" s="59">
        <f>Saisie!AF266</f>
        <v>0</v>
      </c>
      <c r="AQ266" s="129" t="e">
        <f t="array" ref="AQ266">_xlfn.IFS(Saisie!AG266="OUI",1,Saisie!AG266="NON",0)</f>
        <v>#N/A</v>
      </c>
      <c r="AR266" s="129" t="e">
        <f t="array" ref="AR266">_xlfn.IFS(Saisie!AH266="OUI",1,Saisie!AH266="NON",0)</f>
        <v>#N/A</v>
      </c>
      <c r="AS266" s="171">
        <f>Saisie!AI266</f>
        <v>0</v>
      </c>
      <c r="AT266" s="263" t="e">
        <f t="array" ref="AT266">_xlfn.IFS(Saisie!AJ266="OUI",1,Saisie!AJ266="NON",0)</f>
        <v>#N/A</v>
      </c>
      <c r="AU266" s="173">
        <f>Saisie!AK266</f>
        <v>0</v>
      </c>
      <c r="AV266" s="263" t="e">
        <f t="array" ref="AV266">_xlfn.IFS(Saisie!AL266="OUI",1,Saisie!AL266="NON",0)</f>
        <v>#N/A</v>
      </c>
      <c r="AW266" s="171">
        <f>Saisie!AM266</f>
        <v>0</v>
      </c>
      <c r="AX266" s="68">
        <f>Saisie!AN266</f>
        <v>0</v>
      </c>
      <c r="AY266" s="20">
        <f>Saisie!AO266</f>
        <v>0</v>
      </c>
      <c r="AZ266" s="21">
        <f>Saisie!AP266</f>
        <v>0</v>
      </c>
      <c r="BA266" s="298">
        <f>Saisie!AQ266</f>
        <v>0</v>
      </c>
      <c r="BB266" s="170">
        <f>Saisie!AR266</f>
        <v>0</v>
      </c>
      <c r="BC266" s="174">
        <f>Saisie!AS266</f>
        <v>0</v>
      </c>
      <c r="BD266" s="61">
        <f>Saisie!AT266</f>
        <v>0</v>
      </c>
      <c r="BE266" s="175" t="e">
        <f t="array" ref="BE266">_xlfn.IFS(Saisie!AU266="OUI",1,Saisie!AU266="NON",0)</f>
        <v>#N/A</v>
      </c>
      <c r="BF266" s="267">
        <f>Saisie!AV266</f>
        <v>0</v>
      </c>
      <c r="BG266" s="55">
        <f>Saisie!AW266</f>
        <v>0</v>
      </c>
      <c r="BH266" s="55" t="e">
        <f t="array" ref="BH266">_xlfn.IFS(Saisie!AX266="OUI",1,Saisie!AX266="NON",0)</f>
        <v>#N/A</v>
      </c>
      <c r="BI266" s="62">
        <f>Saisie!AY266</f>
        <v>0</v>
      </c>
      <c r="BJ266" s="55" t="e">
        <f t="array" ref="BJ266">_xlfn.IFS(Saisie!AZ266="OUI",1,Saisie!AZ266="NON",0)</f>
        <v>#N/A</v>
      </c>
      <c r="BK266" s="55" t="e">
        <f t="array" ref="BK266">_xlfn.IFS(Saisie!BA266="OUI",1,Saisie!BA266="NON",0)</f>
        <v>#N/A</v>
      </c>
      <c r="BL266" s="55">
        <f>Saisie!BB266</f>
        <v>0</v>
      </c>
      <c r="BM266" s="49" t="e">
        <f>Saisie!BC266</f>
        <v>#REF!</v>
      </c>
      <c r="BN266" s="175"/>
    </row>
    <row r="267" spans="1:66" s="176" customFormat="1" x14ac:dyDescent="0.45">
      <c r="A267" s="13">
        <v>261</v>
      </c>
      <c r="B267" s="150">
        <f>Saisie!B267</f>
        <v>0</v>
      </c>
      <c r="C267" s="150">
        <f>Saisie!C267</f>
        <v>0</v>
      </c>
      <c r="D267" s="150">
        <f>Saisie!D267</f>
        <v>0</v>
      </c>
      <c r="E267" s="150">
        <f>Saisie!E267</f>
        <v>0</v>
      </c>
      <c r="F267" s="150">
        <f>Saisie!F267</f>
        <v>0</v>
      </c>
      <c r="G267" s="150">
        <f>Saisie!G267</f>
        <v>0</v>
      </c>
      <c r="H267" s="150">
        <f>Saisie!I267</f>
        <v>0</v>
      </c>
      <c r="I267" s="150">
        <f>Saisie!J267</f>
        <v>0</v>
      </c>
      <c r="J267" s="150">
        <f>Saisie!K267</f>
        <v>0</v>
      </c>
      <c r="K267" s="150">
        <f>Saisie!L267</f>
        <v>0</v>
      </c>
      <c r="L267" s="150" t="e">
        <f>Saisie!#REF!</f>
        <v>#REF!</v>
      </c>
      <c r="M267" s="55" t="e">
        <f t="array" ref="M267">_xlfn.IFS(Saisie!M267="OUI",1,Saisie!M267="NON",0)</f>
        <v>#N/A</v>
      </c>
      <c r="N267" s="64" t="e">
        <f>Saisie!#REF!</f>
        <v>#REF!</v>
      </c>
      <c r="O267" s="63" t="e">
        <f>Saisie!#REF!</f>
        <v>#REF!</v>
      </c>
      <c r="P267" s="63">
        <f>Saisie!N267</f>
        <v>0</v>
      </c>
      <c r="Q267" s="63" t="e">
        <f t="array" ref="Q267">_xlfn.IFS(Saisie!#REF!="OUI",1,Saisie!#REF!="NON",0)</f>
        <v>#REF!</v>
      </c>
      <c r="R267" s="63" t="e">
        <f>Saisie!#REF!</f>
        <v>#REF!</v>
      </c>
      <c r="S267" s="65" t="e">
        <f>Saisie!#REF!</f>
        <v>#REF!</v>
      </c>
      <c r="T267" s="63" t="e">
        <f>Saisie!#REF!</f>
        <v>#REF!</v>
      </c>
      <c r="U267" s="63" t="e">
        <f>Saisie!#REF!</f>
        <v>#REF!</v>
      </c>
      <c r="V267" s="63" t="e">
        <f t="array" ref="V267">_xlfn.IFS(Saisie!#REF!="OUI",1,Saisie!#REF!="NON",0)</f>
        <v>#REF!</v>
      </c>
      <c r="W267" s="63" t="e">
        <f t="array" ref="W267">_xlfn.IFS(Saisie!O267="OUI",1,Saisie!O267="NON",0)</f>
        <v>#N/A</v>
      </c>
      <c r="X267" s="63">
        <f>Saisie!P267</f>
        <v>0</v>
      </c>
      <c r="Y267" s="299">
        <f>Saisie!H267</f>
        <v>0</v>
      </c>
      <c r="Z267" s="58" t="e">
        <f>Saisie!#REF!</f>
        <v>#REF!</v>
      </c>
      <c r="AA267" s="299">
        <f>Saisie!Q267</f>
        <v>0</v>
      </c>
      <c r="AB267" s="63" t="e">
        <f t="array" ref="AB267">_xlfn.IFS(Saisie!R267="OUI",1,Saisie!R267="NON",0)</f>
        <v>#N/A</v>
      </c>
      <c r="AC267" s="63">
        <f>Saisie!S267</f>
        <v>0</v>
      </c>
      <c r="AD267" s="63" t="e">
        <f t="array" ref="AD267">_xlfn.IFS(Saisie!T267="OUI",1,Saisie!T267="NON",0)</f>
        <v>#N/A</v>
      </c>
      <c r="AE267" s="171">
        <f>Saisie!U267</f>
        <v>0</v>
      </c>
      <c r="AF267" s="262">
        <v>3</v>
      </c>
      <c r="AG267" s="129">
        <f>Saisie!W267</f>
        <v>0</v>
      </c>
      <c r="AH267" s="20">
        <f>Saisie!X267</f>
        <v>0</v>
      </c>
      <c r="AI267" s="21">
        <f>Saisie!Y267</f>
        <v>0</v>
      </c>
      <c r="AJ267" s="59">
        <f>Saisie!Z267</f>
        <v>0</v>
      </c>
      <c r="AK267" s="20">
        <f>Saisie!AA267</f>
        <v>0</v>
      </c>
      <c r="AL267" s="21">
        <f>Saisie!AB267</f>
        <v>0</v>
      </c>
      <c r="AM267" s="59">
        <f>Saisie!AC267</f>
        <v>0</v>
      </c>
      <c r="AN267" s="20">
        <f>Saisie!AD267</f>
        <v>0</v>
      </c>
      <c r="AO267" s="21">
        <f>Saisie!AE267</f>
        <v>0</v>
      </c>
      <c r="AP267" s="59">
        <f>Saisie!AF267</f>
        <v>0</v>
      </c>
      <c r="AQ267" s="129" t="e">
        <f t="array" ref="AQ267">_xlfn.IFS(Saisie!AG267="OUI",1,Saisie!AG267="NON",0)</f>
        <v>#N/A</v>
      </c>
      <c r="AR267" s="129" t="e">
        <f t="array" ref="AR267">_xlfn.IFS(Saisie!AH267="OUI",1,Saisie!AH267="NON",0)</f>
        <v>#N/A</v>
      </c>
      <c r="AS267" s="171">
        <f>Saisie!AI267</f>
        <v>0</v>
      </c>
      <c r="AT267" s="263" t="e">
        <f t="array" ref="AT267">_xlfn.IFS(Saisie!AJ267="OUI",1,Saisie!AJ267="NON",0)</f>
        <v>#N/A</v>
      </c>
      <c r="AU267" s="173">
        <f>Saisie!AK267</f>
        <v>0</v>
      </c>
      <c r="AV267" s="263" t="e">
        <f t="array" ref="AV267">_xlfn.IFS(Saisie!AL267="OUI",1,Saisie!AL267="NON",0)</f>
        <v>#N/A</v>
      </c>
      <c r="AW267" s="171">
        <f>Saisie!AM267</f>
        <v>0</v>
      </c>
      <c r="AX267" s="68">
        <f>Saisie!AN267</f>
        <v>0</v>
      </c>
      <c r="AY267" s="20">
        <f>Saisie!AO267</f>
        <v>0</v>
      </c>
      <c r="AZ267" s="21">
        <f>Saisie!AP267</f>
        <v>0</v>
      </c>
      <c r="BA267" s="298">
        <f>Saisie!AQ267</f>
        <v>0</v>
      </c>
      <c r="BB267" s="170">
        <f>Saisie!AR267</f>
        <v>0</v>
      </c>
      <c r="BC267" s="174">
        <f>Saisie!AS267</f>
        <v>0</v>
      </c>
      <c r="BD267" s="61">
        <f>Saisie!AT267</f>
        <v>0</v>
      </c>
      <c r="BE267" s="175" t="e">
        <f t="array" ref="BE267">_xlfn.IFS(Saisie!AU267="OUI",1,Saisie!AU267="NON",0)</f>
        <v>#N/A</v>
      </c>
      <c r="BF267" s="267">
        <f>Saisie!AV267</f>
        <v>0</v>
      </c>
      <c r="BG267" s="55">
        <f>Saisie!AW267</f>
        <v>0</v>
      </c>
      <c r="BH267" s="55" t="e">
        <f t="array" ref="BH267">_xlfn.IFS(Saisie!AX267="OUI",1,Saisie!AX267="NON",0)</f>
        <v>#N/A</v>
      </c>
      <c r="BI267" s="62">
        <f>Saisie!AY267</f>
        <v>0</v>
      </c>
      <c r="BJ267" s="55" t="e">
        <f t="array" ref="BJ267">_xlfn.IFS(Saisie!AZ267="OUI",1,Saisie!AZ267="NON",0)</f>
        <v>#N/A</v>
      </c>
      <c r="BK267" s="55" t="e">
        <f t="array" ref="BK267">_xlfn.IFS(Saisie!BA267="OUI",1,Saisie!BA267="NON",0)</f>
        <v>#N/A</v>
      </c>
      <c r="BL267" s="55">
        <f>Saisie!BB267</f>
        <v>0</v>
      </c>
      <c r="BM267" s="49" t="e">
        <f>Saisie!BC267</f>
        <v>#REF!</v>
      </c>
      <c r="BN267" s="175"/>
    </row>
    <row r="268" spans="1:66" s="176" customFormat="1" x14ac:dyDescent="0.45">
      <c r="A268" s="12">
        <v>262</v>
      </c>
      <c r="B268" s="150">
        <f>Saisie!B268</f>
        <v>0</v>
      </c>
      <c r="C268" s="150">
        <f>Saisie!C268</f>
        <v>0</v>
      </c>
      <c r="D268" s="150">
        <f>Saisie!D268</f>
        <v>0</v>
      </c>
      <c r="E268" s="150">
        <f>Saisie!E268</f>
        <v>0</v>
      </c>
      <c r="F268" s="150">
        <f>Saisie!F268</f>
        <v>0</v>
      </c>
      <c r="G268" s="150">
        <f>Saisie!G268</f>
        <v>0</v>
      </c>
      <c r="H268" s="150">
        <f>Saisie!I268</f>
        <v>0</v>
      </c>
      <c r="I268" s="150">
        <f>Saisie!J268</f>
        <v>0</v>
      </c>
      <c r="J268" s="150">
        <f>Saisie!K268</f>
        <v>0</v>
      </c>
      <c r="K268" s="150">
        <f>Saisie!L268</f>
        <v>0</v>
      </c>
      <c r="L268" s="150" t="e">
        <f>Saisie!#REF!</f>
        <v>#REF!</v>
      </c>
      <c r="M268" s="55" t="e">
        <f t="array" ref="M268">_xlfn.IFS(Saisie!M268="OUI",1,Saisie!M268="NON",0)</f>
        <v>#N/A</v>
      </c>
      <c r="N268" s="64" t="e">
        <f>Saisie!#REF!</f>
        <v>#REF!</v>
      </c>
      <c r="O268" s="63" t="e">
        <f>Saisie!#REF!</f>
        <v>#REF!</v>
      </c>
      <c r="P268" s="63">
        <f>Saisie!N268</f>
        <v>0</v>
      </c>
      <c r="Q268" s="63" t="e">
        <f t="array" ref="Q268">_xlfn.IFS(Saisie!#REF!="OUI",1,Saisie!#REF!="NON",0)</f>
        <v>#REF!</v>
      </c>
      <c r="R268" s="63" t="e">
        <f>Saisie!#REF!</f>
        <v>#REF!</v>
      </c>
      <c r="S268" s="65" t="e">
        <f>Saisie!#REF!</f>
        <v>#REF!</v>
      </c>
      <c r="T268" s="63" t="e">
        <f>Saisie!#REF!</f>
        <v>#REF!</v>
      </c>
      <c r="U268" s="63" t="e">
        <f>Saisie!#REF!</f>
        <v>#REF!</v>
      </c>
      <c r="V268" s="63" t="e">
        <f t="array" ref="V268">_xlfn.IFS(Saisie!#REF!="OUI",1,Saisie!#REF!="NON",0)</f>
        <v>#REF!</v>
      </c>
      <c r="W268" s="63" t="e">
        <f t="array" ref="W268">_xlfn.IFS(Saisie!O268="OUI",1,Saisie!O268="NON",0)</f>
        <v>#N/A</v>
      </c>
      <c r="X268" s="63">
        <f>Saisie!P268</f>
        <v>0</v>
      </c>
      <c r="Y268" s="299">
        <f>Saisie!H268</f>
        <v>0</v>
      </c>
      <c r="Z268" s="58" t="e">
        <f>Saisie!#REF!</f>
        <v>#REF!</v>
      </c>
      <c r="AA268" s="299">
        <f>Saisie!Q268</f>
        <v>0</v>
      </c>
      <c r="AB268" s="63" t="e">
        <f t="array" ref="AB268">_xlfn.IFS(Saisie!R268="OUI",1,Saisie!R268="NON",0)</f>
        <v>#N/A</v>
      </c>
      <c r="AC268" s="63">
        <f>Saisie!S268</f>
        <v>0</v>
      </c>
      <c r="AD268" s="63" t="e">
        <f t="array" ref="AD268">_xlfn.IFS(Saisie!T268="OUI",1,Saisie!T268="NON",0)</f>
        <v>#N/A</v>
      </c>
      <c r="AE268" s="171">
        <f>Saisie!U268</f>
        <v>0</v>
      </c>
      <c r="AF268" s="262">
        <v>3</v>
      </c>
      <c r="AG268" s="129">
        <f>Saisie!W268</f>
        <v>0</v>
      </c>
      <c r="AH268" s="20">
        <f>Saisie!X268</f>
        <v>0</v>
      </c>
      <c r="AI268" s="21">
        <f>Saisie!Y268</f>
        <v>0</v>
      </c>
      <c r="AJ268" s="59">
        <f>Saisie!Z268</f>
        <v>0</v>
      </c>
      <c r="AK268" s="20">
        <f>Saisie!AA268</f>
        <v>0</v>
      </c>
      <c r="AL268" s="21">
        <f>Saisie!AB268</f>
        <v>0</v>
      </c>
      <c r="AM268" s="59">
        <f>Saisie!AC268</f>
        <v>0</v>
      </c>
      <c r="AN268" s="20">
        <f>Saisie!AD268</f>
        <v>0</v>
      </c>
      <c r="AO268" s="21">
        <f>Saisie!AE268</f>
        <v>0</v>
      </c>
      <c r="AP268" s="59">
        <f>Saisie!AF268</f>
        <v>0</v>
      </c>
      <c r="AQ268" s="129" t="e">
        <f t="array" ref="AQ268">_xlfn.IFS(Saisie!AG268="OUI",1,Saisie!AG268="NON",0)</f>
        <v>#N/A</v>
      </c>
      <c r="AR268" s="129" t="e">
        <f t="array" ref="AR268">_xlfn.IFS(Saisie!AH268="OUI",1,Saisie!AH268="NON",0)</f>
        <v>#N/A</v>
      </c>
      <c r="AS268" s="171">
        <f>Saisie!AI268</f>
        <v>0</v>
      </c>
      <c r="AT268" s="263" t="e">
        <f t="array" ref="AT268">_xlfn.IFS(Saisie!AJ268="OUI",1,Saisie!AJ268="NON",0)</f>
        <v>#N/A</v>
      </c>
      <c r="AU268" s="173">
        <f>Saisie!AK268</f>
        <v>0</v>
      </c>
      <c r="AV268" s="263" t="e">
        <f t="array" ref="AV268">_xlfn.IFS(Saisie!AL268="OUI",1,Saisie!AL268="NON",0)</f>
        <v>#N/A</v>
      </c>
      <c r="AW268" s="171">
        <f>Saisie!AM268</f>
        <v>0</v>
      </c>
      <c r="AX268" s="68">
        <f>Saisie!AN268</f>
        <v>0</v>
      </c>
      <c r="AY268" s="20">
        <f>Saisie!AO268</f>
        <v>0</v>
      </c>
      <c r="AZ268" s="21">
        <f>Saisie!AP268</f>
        <v>0</v>
      </c>
      <c r="BA268" s="298">
        <f>Saisie!AQ268</f>
        <v>0</v>
      </c>
      <c r="BB268" s="170">
        <f>Saisie!AR268</f>
        <v>0</v>
      </c>
      <c r="BC268" s="174">
        <f>Saisie!AS268</f>
        <v>0</v>
      </c>
      <c r="BD268" s="61">
        <f>Saisie!AT268</f>
        <v>0</v>
      </c>
      <c r="BE268" s="175" t="e">
        <f t="array" ref="BE268">_xlfn.IFS(Saisie!AU268="OUI",1,Saisie!AU268="NON",0)</f>
        <v>#N/A</v>
      </c>
      <c r="BF268" s="267">
        <f>Saisie!AV268</f>
        <v>0</v>
      </c>
      <c r="BG268" s="55">
        <f>Saisie!AW268</f>
        <v>0</v>
      </c>
      <c r="BH268" s="55" t="e">
        <f t="array" ref="BH268">_xlfn.IFS(Saisie!AX268="OUI",1,Saisie!AX268="NON",0)</f>
        <v>#N/A</v>
      </c>
      <c r="BI268" s="62">
        <f>Saisie!AY268</f>
        <v>0</v>
      </c>
      <c r="BJ268" s="55" t="e">
        <f t="array" ref="BJ268">_xlfn.IFS(Saisie!AZ268="OUI",1,Saisie!AZ268="NON",0)</f>
        <v>#N/A</v>
      </c>
      <c r="BK268" s="55" t="e">
        <f t="array" ref="BK268">_xlfn.IFS(Saisie!BA268="OUI",1,Saisie!BA268="NON",0)</f>
        <v>#N/A</v>
      </c>
      <c r="BL268" s="55">
        <f>Saisie!BB268</f>
        <v>0</v>
      </c>
      <c r="BM268" s="49" t="e">
        <f>Saisie!BC268</f>
        <v>#REF!</v>
      </c>
      <c r="BN268" s="175"/>
    </row>
    <row r="269" spans="1:66" s="176" customFormat="1" x14ac:dyDescent="0.45">
      <c r="A269" s="13">
        <v>263</v>
      </c>
      <c r="B269" s="150">
        <f>Saisie!B269</f>
        <v>0</v>
      </c>
      <c r="C269" s="150">
        <f>Saisie!C269</f>
        <v>0</v>
      </c>
      <c r="D269" s="150">
        <f>Saisie!D269</f>
        <v>0</v>
      </c>
      <c r="E269" s="150">
        <f>Saisie!E269</f>
        <v>0</v>
      </c>
      <c r="F269" s="150">
        <f>Saisie!F269</f>
        <v>0</v>
      </c>
      <c r="G269" s="150">
        <f>Saisie!G269</f>
        <v>0</v>
      </c>
      <c r="H269" s="150">
        <f>Saisie!I269</f>
        <v>0</v>
      </c>
      <c r="I269" s="150">
        <f>Saisie!J269</f>
        <v>0</v>
      </c>
      <c r="J269" s="150">
        <f>Saisie!K269</f>
        <v>0</v>
      </c>
      <c r="K269" s="150">
        <f>Saisie!L269</f>
        <v>0</v>
      </c>
      <c r="L269" s="150" t="e">
        <f>Saisie!#REF!</f>
        <v>#REF!</v>
      </c>
      <c r="M269" s="55" t="e">
        <f t="array" ref="M269">_xlfn.IFS(Saisie!M269="OUI",1,Saisie!M269="NON",0)</f>
        <v>#N/A</v>
      </c>
      <c r="N269" s="64" t="e">
        <f>Saisie!#REF!</f>
        <v>#REF!</v>
      </c>
      <c r="O269" s="63" t="e">
        <f>Saisie!#REF!</f>
        <v>#REF!</v>
      </c>
      <c r="P269" s="63">
        <f>Saisie!N269</f>
        <v>0</v>
      </c>
      <c r="Q269" s="63" t="e">
        <f t="array" ref="Q269">_xlfn.IFS(Saisie!#REF!="OUI",1,Saisie!#REF!="NON",0)</f>
        <v>#REF!</v>
      </c>
      <c r="R269" s="63" t="e">
        <f>Saisie!#REF!</f>
        <v>#REF!</v>
      </c>
      <c r="S269" s="65" t="e">
        <f>Saisie!#REF!</f>
        <v>#REF!</v>
      </c>
      <c r="T269" s="63" t="e">
        <f>Saisie!#REF!</f>
        <v>#REF!</v>
      </c>
      <c r="U269" s="63" t="e">
        <f>Saisie!#REF!</f>
        <v>#REF!</v>
      </c>
      <c r="V269" s="63" t="e">
        <f t="array" ref="V269">_xlfn.IFS(Saisie!#REF!="OUI",1,Saisie!#REF!="NON",0)</f>
        <v>#REF!</v>
      </c>
      <c r="W269" s="63" t="e">
        <f t="array" ref="W269">_xlfn.IFS(Saisie!O269="OUI",1,Saisie!O269="NON",0)</f>
        <v>#N/A</v>
      </c>
      <c r="X269" s="63">
        <f>Saisie!P269</f>
        <v>0</v>
      </c>
      <c r="Y269" s="299">
        <f>Saisie!H269</f>
        <v>0</v>
      </c>
      <c r="Z269" s="58" t="e">
        <f>Saisie!#REF!</f>
        <v>#REF!</v>
      </c>
      <c r="AA269" s="299">
        <f>Saisie!Q269</f>
        <v>0</v>
      </c>
      <c r="AB269" s="63" t="e">
        <f t="array" ref="AB269">_xlfn.IFS(Saisie!R269="OUI",1,Saisie!R269="NON",0)</f>
        <v>#N/A</v>
      </c>
      <c r="AC269" s="63">
        <f>Saisie!S269</f>
        <v>0</v>
      </c>
      <c r="AD269" s="63" t="e">
        <f t="array" ref="AD269">_xlfn.IFS(Saisie!T269="OUI",1,Saisie!T269="NON",0)</f>
        <v>#N/A</v>
      </c>
      <c r="AE269" s="171">
        <f>Saisie!U269</f>
        <v>0</v>
      </c>
      <c r="AF269" s="262">
        <v>3</v>
      </c>
      <c r="AG269" s="129">
        <f>Saisie!W269</f>
        <v>0</v>
      </c>
      <c r="AH269" s="20">
        <f>Saisie!X269</f>
        <v>0</v>
      </c>
      <c r="AI269" s="21">
        <f>Saisie!Y269</f>
        <v>0</v>
      </c>
      <c r="AJ269" s="59">
        <f>Saisie!Z269</f>
        <v>0</v>
      </c>
      <c r="AK269" s="20">
        <f>Saisie!AA269</f>
        <v>0</v>
      </c>
      <c r="AL269" s="21">
        <f>Saisie!AB269</f>
        <v>0</v>
      </c>
      <c r="AM269" s="59">
        <f>Saisie!AC269</f>
        <v>0</v>
      </c>
      <c r="AN269" s="20">
        <f>Saisie!AD269</f>
        <v>0</v>
      </c>
      <c r="AO269" s="21">
        <f>Saisie!AE269</f>
        <v>0</v>
      </c>
      <c r="AP269" s="59">
        <f>Saisie!AF269</f>
        <v>0</v>
      </c>
      <c r="AQ269" s="129" t="e">
        <f t="array" ref="AQ269">_xlfn.IFS(Saisie!AG269="OUI",1,Saisie!AG269="NON",0)</f>
        <v>#N/A</v>
      </c>
      <c r="AR269" s="129" t="e">
        <f t="array" ref="AR269">_xlfn.IFS(Saisie!AH269="OUI",1,Saisie!AH269="NON",0)</f>
        <v>#N/A</v>
      </c>
      <c r="AS269" s="171">
        <f>Saisie!AI269</f>
        <v>0</v>
      </c>
      <c r="AT269" s="263" t="e">
        <f t="array" ref="AT269">_xlfn.IFS(Saisie!AJ269="OUI",1,Saisie!AJ269="NON",0)</f>
        <v>#N/A</v>
      </c>
      <c r="AU269" s="173">
        <f>Saisie!AK269</f>
        <v>0</v>
      </c>
      <c r="AV269" s="263" t="e">
        <f t="array" ref="AV269">_xlfn.IFS(Saisie!AL269="OUI",1,Saisie!AL269="NON",0)</f>
        <v>#N/A</v>
      </c>
      <c r="AW269" s="171">
        <f>Saisie!AM269</f>
        <v>0</v>
      </c>
      <c r="AX269" s="68">
        <f>Saisie!AN269</f>
        <v>0</v>
      </c>
      <c r="AY269" s="20">
        <f>Saisie!AO269</f>
        <v>0</v>
      </c>
      <c r="AZ269" s="21">
        <f>Saisie!AP269</f>
        <v>0</v>
      </c>
      <c r="BA269" s="298">
        <f>Saisie!AQ269</f>
        <v>0</v>
      </c>
      <c r="BB269" s="170">
        <f>Saisie!AR269</f>
        <v>0</v>
      </c>
      <c r="BC269" s="174">
        <f>Saisie!AS269</f>
        <v>0</v>
      </c>
      <c r="BD269" s="61">
        <f>Saisie!AT269</f>
        <v>0</v>
      </c>
      <c r="BE269" s="175" t="e">
        <f t="array" ref="BE269">_xlfn.IFS(Saisie!AU269="OUI",1,Saisie!AU269="NON",0)</f>
        <v>#N/A</v>
      </c>
      <c r="BF269" s="267">
        <f>Saisie!AV269</f>
        <v>0</v>
      </c>
      <c r="BG269" s="55">
        <f>Saisie!AW269</f>
        <v>0</v>
      </c>
      <c r="BH269" s="55" t="e">
        <f t="array" ref="BH269">_xlfn.IFS(Saisie!AX269="OUI",1,Saisie!AX269="NON",0)</f>
        <v>#N/A</v>
      </c>
      <c r="BI269" s="62">
        <f>Saisie!AY269</f>
        <v>0</v>
      </c>
      <c r="BJ269" s="55" t="e">
        <f t="array" ref="BJ269">_xlfn.IFS(Saisie!AZ269="OUI",1,Saisie!AZ269="NON",0)</f>
        <v>#N/A</v>
      </c>
      <c r="BK269" s="55" t="e">
        <f t="array" ref="BK269">_xlfn.IFS(Saisie!BA269="OUI",1,Saisie!BA269="NON",0)</f>
        <v>#N/A</v>
      </c>
      <c r="BL269" s="55">
        <f>Saisie!BB269</f>
        <v>0</v>
      </c>
      <c r="BM269" s="49" t="e">
        <f>Saisie!BC269</f>
        <v>#REF!</v>
      </c>
      <c r="BN269" s="175"/>
    </row>
    <row r="270" spans="1:66" s="176" customFormat="1" x14ac:dyDescent="0.45">
      <c r="A270" s="13">
        <v>264</v>
      </c>
      <c r="B270" s="150">
        <f>Saisie!B270</f>
        <v>0</v>
      </c>
      <c r="C270" s="150">
        <f>Saisie!C270</f>
        <v>0</v>
      </c>
      <c r="D270" s="150">
        <f>Saisie!D270</f>
        <v>0</v>
      </c>
      <c r="E270" s="150">
        <f>Saisie!E270</f>
        <v>0</v>
      </c>
      <c r="F270" s="150">
        <f>Saisie!F270</f>
        <v>0</v>
      </c>
      <c r="G270" s="150">
        <f>Saisie!G270</f>
        <v>0</v>
      </c>
      <c r="H270" s="150">
        <f>Saisie!I270</f>
        <v>0</v>
      </c>
      <c r="I270" s="150">
        <f>Saisie!J270</f>
        <v>0</v>
      </c>
      <c r="J270" s="150">
        <f>Saisie!K270</f>
        <v>0</v>
      </c>
      <c r="K270" s="150">
        <f>Saisie!L270</f>
        <v>0</v>
      </c>
      <c r="L270" s="150" t="e">
        <f>Saisie!#REF!</f>
        <v>#REF!</v>
      </c>
      <c r="M270" s="55" t="e">
        <f t="array" ref="M270">_xlfn.IFS(Saisie!M270="OUI",1,Saisie!M270="NON",0)</f>
        <v>#N/A</v>
      </c>
      <c r="N270" s="64" t="e">
        <f>Saisie!#REF!</f>
        <v>#REF!</v>
      </c>
      <c r="O270" s="63" t="e">
        <f>Saisie!#REF!</f>
        <v>#REF!</v>
      </c>
      <c r="P270" s="63">
        <f>Saisie!N270</f>
        <v>0</v>
      </c>
      <c r="Q270" s="63" t="e">
        <f t="array" ref="Q270">_xlfn.IFS(Saisie!#REF!="OUI",1,Saisie!#REF!="NON",0)</f>
        <v>#REF!</v>
      </c>
      <c r="R270" s="63" t="e">
        <f>Saisie!#REF!</f>
        <v>#REF!</v>
      </c>
      <c r="S270" s="65" t="e">
        <f>Saisie!#REF!</f>
        <v>#REF!</v>
      </c>
      <c r="T270" s="63" t="e">
        <f>Saisie!#REF!</f>
        <v>#REF!</v>
      </c>
      <c r="U270" s="63" t="e">
        <f>Saisie!#REF!</f>
        <v>#REF!</v>
      </c>
      <c r="V270" s="63" t="e">
        <f t="array" ref="V270">_xlfn.IFS(Saisie!#REF!="OUI",1,Saisie!#REF!="NON",0)</f>
        <v>#REF!</v>
      </c>
      <c r="W270" s="63" t="e">
        <f t="array" ref="W270">_xlfn.IFS(Saisie!O270="OUI",1,Saisie!O270="NON",0)</f>
        <v>#N/A</v>
      </c>
      <c r="X270" s="63">
        <f>Saisie!P270</f>
        <v>0</v>
      </c>
      <c r="Y270" s="299">
        <f>Saisie!H270</f>
        <v>0</v>
      </c>
      <c r="Z270" s="58" t="e">
        <f>Saisie!#REF!</f>
        <v>#REF!</v>
      </c>
      <c r="AA270" s="299">
        <f>Saisie!Q270</f>
        <v>0</v>
      </c>
      <c r="AB270" s="63" t="e">
        <f t="array" ref="AB270">_xlfn.IFS(Saisie!R270="OUI",1,Saisie!R270="NON",0)</f>
        <v>#N/A</v>
      </c>
      <c r="AC270" s="63">
        <f>Saisie!S270</f>
        <v>0</v>
      </c>
      <c r="AD270" s="63" t="e">
        <f t="array" ref="AD270">_xlfn.IFS(Saisie!T270="OUI",1,Saisie!T270="NON",0)</f>
        <v>#N/A</v>
      </c>
      <c r="AE270" s="171">
        <f>Saisie!U270</f>
        <v>0</v>
      </c>
      <c r="AF270" s="262">
        <v>3</v>
      </c>
      <c r="AG270" s="129">
        <f>Saisie!W270</f>
        <v>0</v>
      </c>
      <c r="AH270" s="20">
        <f>Saisie!X270</f>
        <v>0</v>
      </c>
      <c r="AI270" s="21">
        <f>Saisie!Y270</f>
        <v>0</v>
      </c>
      <c r="AJ270" s="59">
        <f>Saisie!Z270</f>
        <v>0</v>
      </c>
      <c r="AK270" s="20">
        <f>Saisie!AA270</f>
        <v>0</v>
      </c>
      <c r="AL270" s="21">
        <f>Saisie!AB270</f>
        <v>0</v>
      </c>
      <c r="AM270" s="59">
        <f>Saisie!AC270</f>
        <v>0</v>
      </c>
      <c r="AN270" s="20">
        <f>Saisie!AD270</f>
        <v>0</v>
      </c>
      <c r="AO270" s="21">
        <f>Saisie!AE270</f>
        <v>0</v>
      </c>
      <c r="AP270" s="59">
        <f>Saisie!AF270</f>
        <v>0</v>
      </c>
      <c r="AQ270" s="129" t="e">
        <f t="array" ref="AQ270">_xlfn.IFS(Saisie!AG270="OUI",1,Saisie!AG270="NON",0)</f>
        <v>#N/A</v>
      </c>
      <c r="AR270" s="129" t="e">
        <f t="array" ref="AR270">_xlfn.IFS(Saisie!AH270="OUI",1,Saisie!AH270="NON",0)</f>
        <v>#N/A</v>
      </c>
      <c r="AS270" s="171">
        <f>Saisie!AI270</f>
        <v>0</v>
      </c>
      <c r="AT270" s="263" t="e">
        <f t="array" ref="AT270">_xlfn.IFS(Saisie!AJ270="OUI",1,Saisie!AJ270="NON",0)</f>
        <v>#N/A</v>
      </c>
      <c r="AU270" s="173">
        <f>Saisie!AK270</f>
        <v>0</v>
      </c>
      <c r="AV270" s="263" t="e">
        <f t="array" ref="AV270">_xlfn.IFS(Saisie!AL270="OUI",1,Saisie!AL270="NON",0)</f>
        <v>#N/A</v>
      </c>
      <c r="AW270" s="171">
        <f>Saisie!AM270</f>
        <v>0</v>
      </c>
      <c r="AX270" s="68">
        <f>Saisie!AN270</f>
        <v>0</v>
      </c>
      <c r="AY270" s="20">
        <f>Saisie!AO270</f>
        <v>0</v>
      </c>
      <c r="AZ270" s="21">
        <f>Saisie!AP270</f>
        <v>0</v>
      </c>
      <c r="BA270" s="298">
        <f>Saisie!AQ270</f>
        <v>0</v>
      </c>
      <c r="BB270" s="170">
        <f>Saisie!AR270</f>
        <v>0</v>
      </c>
      <c r="BC270" s="174">
        <f>Saisie!AS270</f>
        <v>0</v>
      </c>
      <c r="BD270" s="61">
        <f>Saisie!AT270</f>
        <v>0</v>
      </c>
      <c r="BE270" s="175" t="e">
        <f t="array" ref="BE270">_xlfn.IFS(Saisie!AU270="OUI",1,Saisie!AU270="NON",0)</f>
        <v>#N/A</v>
      </c>
      <c r="BF270" s="267">
        <f>Saisie!AV270</f>
        <v>0</v>
      </c>
      <c r="BG270" s="55">
        <f>Saisie!AW270</f>
        <v>0</v>
      </c>
      <c r="BH270" s="55" t="e">
        <f t="array" ref="BH270">_xlfn.IFS(Saisie!AX270="OUI",1,Saisie!AX270="NON",0)</f>
        <v>#N/A</v>
      </c>
      <c r="BI270" s="62">
        <f>Saisie!AY270</f>
        <v>0</v>
      </c>
      <c r="BJ270" s="55" t="e">
        <f t="array" ref="BJ270">_xlfn.IFS(Saisie!AZ270="OUI",1,Saisie!AZ270="NON",0)</f>
        <v>#N/A</v>
      </c>
      <c r="BK270" s="55" t="e">
        <f t="array" ref="BK270">_xlfn.IFS(Saisie!BA270="OUI",1,Saisie!BA270="NON",0)</f>
        <v>#N/A</v>
      </c>
      <c r="BL270" s="55">
        <f>Saisie!BB270</f>
        <v>0</v>
      </c>
      <c r="BM270" s="49" t="e">
        <f>Saisie!BC270</f>
        <v>#REF!</v>
      </c>
      <c r="BN270" s="175"/>
    </row>
    <row r="271" spans="1:66" s="176" customFormat="1" x14ac:dyDescent="0.45">
      <c r="A271" s="12">
        <v>265</v>
      </c>
      <c r="B271" s="150">
        <f>Saisie!B271</f>
        <v>0</v>
      </c>
      <c r="C271" s="150">
        <f>Saisie!C271</f>
        <v>0</v>
      </c>
      <c r="D271" s="150">
        <f>Saisie!D271</f>
        <v>0</v>
      </c>
      <c r="E271" s="150">
        <f>Saisie!E271</f>
        <v>0</v>
      </c>
      <c r="F271" s="150">
        <f>Saisie!F271</f>
        <v>0</v>
      </c>
      <c r="G271" s="150">
        <f>Saisie!G271</f>
        <v>0</v>
      </c>
      <c r="H271" s="150">
        <f>Saisie!I271</f>
        <v>0</v>
      </c>
      <c r="I271" s="150">
        <f>Saisie!J271</f>
        <v>0</v>
      </c>
      <c r="J271" s="150">
        <f>Saisie!K271</f>
        <v>0</v>
      </c>
      <c r="K271" s="150">
        <f>Saisie!L271</f>
        <v>0</v>
      </c>
      <c r="L271" s="150" t="e">
        <f>Saisie!#REF!</f>
        <v>#REF!</v>
      </c>
      <c r="M271" s="55" t="e">
        <f t="array" ref="M271">_xlfn.IFS(Saisie!M271="OUI",1,Saisie!M271="NON",0)</f>
        <v>#N/A</v>
      </c>
      <c r="N271" s="64" t="e">
        <f>Saisie!#REF!</f>
        <v>#REF!</v>
      </c>
      <c r="O271" s="63" t="e">
        <f>Saisie!#REF!</f>
        <v>#REF!</v>
      </c>
      <c r="P271" s="63">
        <f>Saisie!N271</f>
        <v>0</v>
      </c>
      <c r="Q271" s="63" t="e">
        <f t="array" ref="Q271">_xlfn.IFS(Saisie!#REF!="OUI",1,Saisie!#REF!="NON",0)</f>
        <v>#REF!</v>
      </c>
      <c r="R271" s="63" t="e">
        <f>Saisie!#REF!</f>
        <v>#REF!</v>
      </c>
      <c r="S271" s="65" t="e">
        <f>Saisie!#REF!</f>
        <v>#REF!</v>
      </c>
      <c r="T271" s="63" t="e">
        <f>Saisie!#REF!</f>
        <v>#REF!</v>
      </c>
      <c r="U271" s="63" t="e">
        <f>Saisie!#REF!</f>
        <v>#REF!</v>
      </c>
      <c r="V271" s="63" t="e">
        <f t="array" ref="V271">_xlfn.IFS(Saisie!#REF!="OUI",1,Saisie!#REF!="NON",0)</f>
        <v>#REF!</v>
      </c>
      <c r="W271" s="63" t="e">
        <f t="array" ref="W271">_xlfn.IFS(Saisie!O271="OUI",1,Saisie!O271="NON",0)</f>
        <v>#N/A</v>
      </c>
      <c r="X271" s="63">
        <f>Saisie!P271</f>
        <v>0</v>
      </c>
      <c r="Y271" s="299">
        <f>Saisie!H271</f>
        <v>0</v>
      </c>
      <c r="Z271" s="58" t="e">
        <f>Saisie!#REF!</f>
        <v>#REF!</v>
      </c>
      <c r="AA271" s="299">
        <f>Saisie!Q271</f>
        <v>0</v>
      </c>
      <c r="AB271" s="63" t="e">
        <f t="array" ref="AB271">_xlfn.IFS(Saisie!R271="OUI",1,Saisie!R271="NON",0)</f>
        <v>#N/A</v>
      </c>
      <c r="AC271" s="63">
        <f>Saisie!S271</f>
        <v>0</v>
      </c>
      <c r="AD271" s="63" t="e">
        <f t="array" ref="AD271">_xlfn.IFS(Saisie!T271="OUI",1,Saisie!T271="NON",0)</f>
        <v>#N/A</v>
      </c>
      <c r="AE271" s="171">
        <f>Saisie!U271</f>
        <v>0</v>
      </c>
      <c r="AF271" s="262">
        <v>3</v>
      </c>
      <c r="AG271" s="129">
        <f>Saisie!W271</f>
        <v>0</v>
      </c>
      <c r="AH271" s="20">
        <f>Saisie!X271</f>
        <v>0</v>
      </c>
      <c r="AI271" s="21">
        <f>Saisie!Y271</f>
        <v>0</v>
      </c>
      <c r="AJ271" s="59">
        <f>Saisie!Z271</f>
        <v>0</v>
      </c>
      <c r="AK271" s="20">
        <f>Saisie!AA271</f>
        <v>0</v>
      </c>
      <c r="AL271" s="21">
        <f>Saisie!AB271</f>
        <v>0</v>
      </c>
      <c r="AM271" s="59">
        <f>Saisie!AC271</f>
        <v>0</v>
      </c>
      <c r="AN271" s="20">
        <f>Saisie!AD271</f>
        <v>0</v>
      </c>
      <c r="AO271" s="21">
        <f>Saisie!AE271</f>
        <v>0</v>
      </c>
      <c r="AP271" s="59">
        <f>Saisie!AF271</f>
        <v>0</v>
      </c>
      <c r="AQ271" s="129" t="e">
        <f t="array" ref="AQ271">_xlfn.IFS(Saisie!AG271="OUI",1,Saisie!AG271="NON",0)</f>
        <v>#N/A</v>
      </c>
      <c r="AR271" s="129" t="e">
        <f t="array" ref="AR271">_xlfn.IFS(Saisie!AH271="OUI",1,Saisie!AH271="NON",0)</f>
        <v>#N/A</v>
      </c>
      <c r="AS271" s="171">
        <f>Saisie!AI271</f>
        <v>0</v>
      </c>
      <c r="AT271" s="263" t="e">
        <f t="array" ref="AT271">_xlfn.IFS(Saisie!AJ271="OUI",1,Saisie!AJ271="NON",0)</f>
        <v>#N/A</v>
      </c>
      <c r="AU271" s="173">
        <f>Saisie!AK271</f>
        <v>0</v>
      </c>
      <c r="AV271" s="263" t="e">
        <f t="array" ref="AV271">_xlfn.IFS(Saisie!AL271="OUI",1,Saisie!AL271="NON",0)</f>
        <v>#N/A</v>
      </c>
      <c r="AW271" s="171">
        <f>Saisie!AM271</f>
        <v>0</v>
      </c>
      <c r="AX271" s="68">
        <f>Saisie!AN271</f>
        <v>0</v>
      </c>
      <c r="AY271" s="20">
        <f>Saisie!AO271</f>
        <v>0</v>
      </c>
      <c r="AZ271" s="21">
        <f>Saisie!AP271</f>
        <v>0</v>
      </c>
      <c r="BA271" s="298">
        <f>Saisie!AQ271</f>
        <v>0</v>
      </c>
      <c r="BB271" s="170">
        <f>Saisie!AR271</f>
        <v>0</v>
      </c>
      <c r="BC271" s="174">
        <f>Saisie!AS271</f>
        <v>0</v>
      </c>
      <c r="BD271" s="61">
        <f>Saisie!AT271</f>
        <v>0</v>
      </c>
      <c r="BE271" s="175" t="e">
        <f t="array" ref="BE271">_xlfn.IFS(Saisie!AU271="OUI",1,Saisie!AU271="NON",0)</f>
        <v>#N/A</v>
      </c>
      <c r="BF271" s="267">
        <f>Saisie!AV271</f>
        <v>0</v>
      </c>
      <c r="BG271" s="55">
        <f>Saisie!AW271</f>
        <v>0</v>
      </c>
      <c r="BH271" s="55" t="e">
        <f t="array" ref="BH271">_xlfn.IFS(Saisie!AX271="OUI",1,Saisie!AX271="NON",0)</f>
        <v>#N/A</v>
      </c>
      <c r="BI271" s="62">
        <f>Saisie!AY271</f>
        <v>0</v>
      </c>
      <c r="BJ271" s="55" t="e">
        <f t="array" ref="BJ271">_xlfn.IFS(Saisie!AZ271="OUI",1,Saisie!AZ271="NON",0)</f>
        <v>#N/A</v>
      </c>
      <c r="BK271" s="55" t="e">
        <f t="array" ref="BK271">_xlfn.IFS(Saisie!BA271="OUI",1,Saisie!BA271="NON",0)</f>
        <v>#N/A</v>
      </c>
      <c r="BL271" s="55">
        <f>Saisie!BB271</f>
        <v>0</v>
      </c>
      <c r="BM271" s="49" t="e">
        <f>Saisie!BC271</f>
        <v>#REF!</v>
      </c>
      <c r="BN271" s="175"/>
    </row>
    <row r="272" spans="1:66" s="176" customFormat="1" x14ac:dyDescent="0.45">
      <c r="A272" s="13">
        <v>266</v>
      </c>
      <c r="B272" s="150">
        <f>Saisie!B272</f>
        <v>0</v>
      </c>
      <c r="C272" s="150">
        <f>Saisie!C272</f>
        <v>0</v>
      </c>
      <c r="D272" s="150">
        <f>Saisie!D272</f>
        <v>0</v>
      </c>
      <c r="E272" s="150">
        <f>Saisie!E272</f>
        <v>0</v>
      </c>
      <c r="F272" s="150">
        <f>Saisie!F272</f>
        <v>0</v>
      </c>
      <c r="G272" s="150">
        <f>Saisie!G272</f>
        <v>0</v>
      </c>
      <c r="H272" s="150">
        <f>Saisie!I272</f>
        <v>0</v>
      </c>
      <c r="I272" s="150">
        <f>Saisie!J272</f>
        <v>0</v>
      </c>
      <c r="J272" s="150">
        <f>Saisie!K272</f>
        <v>0</v>
      </c>
      <c r="K272" s="150">
        <f>Saisie!L272</f>
        <v>0</v>
      </c>
      <c r="L272" s="150" t="e">
        <f>Saisie!#REF!</f>
        <v>#REF!</v>
      </c>
      <c r="M272" s="55" t="e">
        <f t="array" ref="M272">_xlfn.IFS(Saisie!M272="OUI",1,Saisie!M272="NON",0)</f>
        <v>#N/A</v>
      </c>
      <c r="N272" s="64" t="e">
        <f>Saisie!#REF!</f>
        <v>#REF!</v>
      </c>
      <c r="O272" s="63" t="e">
        <f>Saisie!#REF!</f>
        <v>#REF!</v>
      </c>
      <c r="P272" s="63">
        <f>Saisie!N272</f>
        <v>0</v>
      </c>
      <c r="Q272" s="63" t="e">
        <f t="array" ref="Q272">_xlfn.IFS(Saisie!#REF!="OUI",1,Saisie!#REF!="NON",0)</f>
        <v>#REF!</v>
      </c>
      <c r="R272" s="63" t="e">
        <f>Saisie!#REF!</f>
        <v>#REF!</v>
      </c>
      <c r="S272" s="65" t="e">
        <f>Saisie!#REF!</f>
        <v>#REF!</v>
      </c>
      <c r="T272" s="63" t="e">
        <f>Saisie!#REF!</f>
        <v>#REF!</v>
      </c>
      <c r="U272" s="63" t="e">
        <f>Saisie!#REF!</f>
        <v>#REF!</v>
      </c>
      <c r="V272" s="63" t="e">
        <f t="array" ref="V272">_xlfn.IFS(Saisie!#REF!="OUI",1,Saisie!#REF!="NON",0)</f>
        <v>#REF!</v>
      </c>
      <c r="W272" s="63" t="e">
        <f t="array" ref="W272">_xlfn.IFS(Saisie!O272="OUI",1,Saisie!O272="NON",0)</f>
        <v>#N/A</v>
      </c>
      <c r="X272" s="63">
        <f>Saisie!P272</f>
        <v>0</v>
      </c>
      <c r="Y272" s="299">
        <f>Saisie!H272</f>
        <v>0</v>
      </c>
      <c r="Z272" s="58" t="e">
        <f>Saisie!#REF!</f>
        <v>#REF!</v>
      </c>
      <c r="AA272" s="299">
        <f>Saisie!Q272</f>
        <v>0</v>
      </c>
      <c r="AB272" s="63" t="e">
        <f t="array" ref="AB272">_xlfn.IFS(Saisie!R272="OUI",1,Saisie!R272="NON",0)</f>
        <v>#N/A</v>
      </c>
      <c r="AC272" s="63">
        <f>Saisie!S272</f>
        <v>0</v>
      </c>
      <c r="AD272" s="63" t="e">
        <f t="array" ref="AD272">_xlfn.IFS(Saisie!T272="OUI",1,Saisie!T272="NON",0)</f>
        <v>#N/A</v>
      </c>
      <c r="AE272" s="171">
        <f>Saisie!U272</f>
        <v>0</v>
      </c>
      <c r="AF272" s="262">
        <v>3</v>
      </c>
      <c r="AG272" s="129">
        <f>Saisie!W272</f>
        <v>0</v>
      </c>
      <c r="AH272" s="20">
        <f>Saisie!X272</f>
        <v>0</v>
      </c>
      <c r="AI272" s="21">
        <f>Saisie!Y272</f>
        <v>0</v>
      </c>
      <c r="AJ272" s="59">
        <f>Saisie!Z272</f>
        <v>0</v>
      </c>
      <c r="AK272" s="20">
        <f>Saisie!AA272</f>
        <v>0</v>
      </c>
      <c r="AL272" s="21">
        <f>Saisie!AB272</f>
        <v>0</v>
      </c>
      <c r="AM272" s="59">
        <f>Saisie!AC272</f>
        <v>0</v>
      </c>
      <c r="AN272" s="20">
        <f>Saisie!AD272</f>
        <v>0</v>
      </c>
      <c r="AO272" s="21">
        <f>Saisie!AE272</f>
        <v>0</v>
      </c>
      <c r="AP272" s="59">
        <f>Saisie!AF272</f>
        <v>0</v>
      </c>
      <c r="AQ272" s="129" t="e">
        <f t="array" ref="AQ272">_xlfn.IFS(Saisie!AG272="OUI",1,Saisie!AG272="NON",0)</f>
        <v>#N/A</v>
      </c>
      <c r="AR272" s="129" t="e">
        <f t="array" ref="AR272">_xlfn.IFS(Saisie!AH272="OUI",1,Saisie!AH272="NON",0)</f>
        <v>#N/A</v>
      </c>
      <c r="AS272" s="171">
        <f>Saisie!AI272</f>
        <v>0</v>
      </c>
      <c r="AT272" s="263" t="e">
        <f t="array" ref="AT272">_xlfn.IFS(Saisie!AJ272="OUI",1,Saisie!AJ272="NON",0)</f>
        <v>#N/A</v>
      </c>
      <c r="AU272" s="173">
        <f>Saisie!AK272</f>
        <v>0</v>
      </c>
      <c r="AV272" s="263" t="e">
        <f t="array" ref="AV272">_xlfn.IFS(Saisie!AL272="OUI",1,Saisie!AL272="NON",0)</f>
        <v>#N/A</v>
      </c>
      <c r="AW272" s="171">
        <f>Saisie!AM272</f>
        <v>0</v>
      </c>
      <c r="AX272" s="68">
        <f>Saisie!AN272</f>
        <v>0</v>
      </c>
      <c r="AY272" s="20">
        <f>Saisie!AO272</f>
        <v>0</v>
      </c>
      <c r="AZ272" s="21">
        <f>Saisie!AP272</f>
        <v>0</v>
      </c>
      <c r="BA272" s="298">
        <f>Saisie!AQ272</f>
        <v>0</v>
      </c>
      <c r="BB272" s="170">
        <f>Saisie!AR272</f>
        <v>0</v>
      </c>
      <c r="BC272" s="174">
        <f>Saisie!AS272</f>
        <v>0</v>
      </c>
      <c r="BD272" s="61">
        <f>Saisie!AT272</f>
        <v>0</v>
      </c>
      <c r="BE272" s="175" t="e">
        <f t="array" ref="BE272">_xlfn.IFS(Saisie!AU272="OUI",1,Saisie!AU272="NON",0)</f>
        <v>#N/A</v>
      </c>
      <c r="BF272" s="267">
        <f>Saisie!AV272</f>
        <v>0</v>
      </c>
      <c r="BG272" s="55">
        <f>Saisie!AW272</f>
        <v>0</v>
      </c>
      <c r="BH272" s="55" t="e">
        <f t="array" ref="BH272">_xlfn.IFS(Saisie!AX272="OUI",1,Saisie!AX272="NON",0)</f>
        <v>#N/A</v>
      </c>
      <c r="BI272" s="62">
        <f>Saisie!AY272</f>
        <v>0</v>
      </c>
      <c r="BJ272" s="55" t="e">
        <f t="array" ref="BJ272">_xlfn.IFS(Saisie!AZ272="OUI",1,Saisie!AZ272="NON",0)</f>
        <v>#N/A</v>
      </c>
      <c r="BK272" s="55" t="e">
        <f t="array" ref="BK272">_xlfn.IFS(Saisie!BA272="OUI",1,Saisie!BA272="NON",0)</f>
        <v>#N/A</v>
      </c>
      <c r="BL272" s="55">
        <f>Saisie!BB272</f>
        <v>0</v>
      </c>
      <c r="BM272" s="49" t="e">
        <f>Saisie!BC272</f>
        <v>#REF!</v>
      </c>
      <c r="BN272" s="175"/>
    </row>
    <row r="273" spans="1:66" s="176" customFormat="1" x14ac:dyDescent="0.45">
      <c r="A273" s="13">
        <v>267</v>
      </c>
      <c r="B273" s="150">
        <f>Saisie!B273</f>
        <v>0</v>
      </c>
      <c r="C273" s="150">
        <f>Saisie!C273</f>
        <v>0</v>
      </c>
      <c r="D273" s="150">
        <f>Saisie!D273</f>
        <v>0</v>
      </c>
      <c r="E273" s="150">
        <f>Saisie!E273</f>
        <v>0</v>
      </c>
      <c r="F273" s="150">
        <f>Saisie!F273</f>
        <v>0</v>
      </c>
      <c r="G273" s="150">
        <f>Saisie!G273</f>
        <v>0</v>
      </c>
      <c r="H273" s="150">
        <f>Saisie!I273</f>
        <v>0</v>
      </c>
      <c r="I273" s="150">
        <f>Saisie!J273</f>
        <v>0</v>
      </c>
      <c r="J273" s="150">
        <f>Saisie!K273</f>
        <v>0</v>
      </c>
      <c r="K273" s="150">
        <f>Saisie!L273</f>
        <v>0</v>
      </c>
      <c r="L273" s="150" t="e">
        <f>Saisie!#REF!</f>
        <v>#REF!</v>
      </c>
      <c r="M273" s="55" t="e">
        <f t="array" ref="M273">_xlfn.IFS(Saisie!M273="OUI",1,Saisie!M273="NON",0)</f>
        <v>#N/A</v>
      </c>
      <c r="N273" s="64" t="e">
        <f>Saisie!#REF!</f>
        <v>#REF!</v>
      </c>
      <c r="O273" s="63" t="e">
        <f>Saisie!#REF!</f>
        <v>#REF!</v>
      </c>
      <c r="P273" s="63">
        <f>Saisie!N273</f>
        <v>0</v>
      </c>
      <c r="Q273" s="63" t="e">
        <f t="array" ref="Q273">_xlfn.IFS(Saisie!#REF!="OUI",1,Saisie!#REF!="NON",0)</f>
        <v>#REF!</v>
      </c>
      <c r="R273" s="63" t="e">
        <f>Saisie!#REF!</f>
        <v>#REF!</v>
      </c>
      <c r="S273" s="65" t="e">
        <f>Saisie!#REF!</f>
        <v>#REF!</v>
      </c>
      <c r="T273" s="63" t="e">
        <f>Saisie!#REF!</f>
        <v>#REF!</v>
      </c>
      <c r="U273" s="63" t="e">
        <f>Saisie!#REF!</f>
        <v>#REF!</v>
      </c>
      <c r="V273" s="63" t="e">
        <f t="array" ref="V273">_xlfn.IFS(Saisie!#REF!="OUI",1,Saisie!#REF!="NON",0)</f>
        <v>#REF!</v>
      </c>
      <c r="W273" s="63" t="e">
        <f t="array" ref="W273">_xlfn.IFS(Saisie!O273="OUI",1,Saisie!O273="NON",0)</f>
        <v>#N/A</v>
      </c>
      <c r="X273" s="63">
        <f>Saisie!P273</f>
        <v>0</v>
      </c>
      <c r="Y273" s="299">
        <f>Saisie!H273</f>
        <v>0</v>
      </c>
      <c r="Z273" s="58" t="e">
        <f>Saisie!#REF!</f>
        <v>#REF!</v>
      </c>
      <c r="AA273" s="299">
        <f>Saisie!Q273</f>
        <v>0</v>
      </c>
      <c r="AB273" s="63" t="e">
        <f t="array" ref="AB273">_xlfn.IFS(Saisie!R273="OUI",1,Saisie!R273="NON",0)</f>
        <v>#N/A</v>
      </c>
      <c r="AC273" s="63">
        <f>Saisie!S273</f>
        <v>0</v>
      </c>
      <c r="AD273" s="63" t="e">
        <f t="array" ref="AD273">_xlfn.IFS(Saisie!T273="OUI",1,Saisie!T273="NON",0)</f>
        <v>#N/A</v>
      </c>
      <c r="AE273" s="171">
        <f>Saisie!U273</f>
        <v>0</v>
      </c>
      <c r="AF273" s="262">
        <v>3</v>
      </c>
      <c r="AG273" s="129">
        <f>Saisie!W273</f>
        <v>0</v>
      </c>
      <c r="AH273" s="20">
        <f>Saisie!X273</f>
        <v>0</v>
      </c>
      <c r="AI273" s="21">
        <f>Saisie!Y273</f>
        <v>0</v>
      </c>
      <c r="AJ273" s="59">
        <f>Saisie!Z273</f>
        <v>0</v>
      </c>
      <c r="AK273" s="20">
        <f>Saisie!AA273</f>
        <v>0</v>
      </c>
      <c r="AL273" s="21">
        <f>Saisie!AB273</f>
        <v>0</v>
      </c>
      <c r="AM273" s="59">
        <f>Saisie!AC273</f>
        <v>0</v>
      </c>
      <c r="AN273" s="20">
        <f>Saisie!AD273</f>
        <v>0</v>
      </c>
      <c r="AO273" s="21">
        <f>Saisie!AE273</f>
        <v>0</v>
      </c>
      <c r="AP273" s="59">
        <f>Saisie!AF273</f>
        <v>0</v>
      </c>
      <c r="AQ273" s="129" t="e">
        <f t="array" ref="AQ273">_xlfn.IFS(Saisie!AG273="OUI",1,Saisie!AG273="NON",0)</f>
        <v>#N/A</v>
      </c>
      <c r="AR273" s="129" t="e">
        <f t="array" ref="AR273">_xlfn.IFS(Saisie!AH273="OUI",1,Saisie!AH273="NON",0)</f>
        <v>#N/A</v>
      </c>
      <c r="AS273" s="171">
        <f>Saisie!AI273</f>
        <v>0</v>
      </c>
      <c r="AT273" s="263" t="e">
        <f t="array" ref="AT273">_xlfn.IFS(Saisie!AJ273="OUI",1,Saisie!AJ273="NON",0)</f>
        <v>#N/A</v>
      </c>
      <c r="AU273" s="173">
        <f>Saisie!AK273</f>
        <v>0</v>
      </c>
      <c r="AV273" s="263" t="e">
        <f t="array" ref="AV273">_xlfn.IFS(Saisie!AL273="OUI",1,Saisie!AL273="NON",0)</f>
        <v>#N/A</v>
      </c>
      <c r="AW273" s="171">
        <f>Saisie!AM273</f>
        <v>0</v>
      </c>
      <c r="AX273" s="68">
        <f>Saisie!AN273</f>
        <v>0</v>
      </c>
      <c r="AY273" s="20">
        <f>Saisie!AO273</f>
        <v>0</v>
      </c>
      <c r="AZ273" s="21">
        <f>Saisie!AP273</f>
        <v>0</v>
      </c>
      <c r="BA273" s="298">
        <f>Saisie!AQ273</f>
        <v>0</v>
      </c>
      <c r="BB273" s="170">
        <f>Saisie!AR273</f>
        <v>0</v>
      </c>
      <c r="BC273" s="174">
        <f>Saisie!AS273</f>
        <v>0</v>
      </c>
      <c r="BD273" s="61">
        <f>Saisie!AT273</f>
        <v>0</v>
      </c>
      <c r="BE273" s="175" t="e">
        <f t="array" ref="BE273">_xlfn.IFS(Saisie!AU273="OUI",1,Saisie!AU273="NON",0)</f>
        <v>#N/A</v>
      </c>
      <c r="BF273" s="267">
        <f>Saisie!AV273</f>
        <v>0</v>
      </c>
      <c r="BG273" s="55">
        <f>Saisie!AW273</f>
        <v>0</v>
      </c>
      <c r="BH273" s="55" t="e">
        <f t="array" ref="BH273">_xlfn.IFS(Saisie!AX273="OUI",1,Saisie!AX273="NON",0)</f>
        <v>#N/A</v>
      </c>
      <c r="BI273" s="62">
        <f>Saisie!AY273</f>
        <v>0</v>
      </c>
      <c r="BJ273" s="55" t="e">
        <f t="array" ref="BJ273">_xlfn.IFS(Saisie!AZ273="OUI",1,Saisie!AZ273="NON",0)</f>
        <v>#N/A</v>
      </c>
      <c r="BK273" s="55" t="e">
        <f t="array" ref="BK273">_xlfn.IFS(Saisie!BA273="OUI",1,Saisie!BA273="NON",0)</f>
        <v>#N/A</v>
      </c>
      <c r="BL273" s="55">
        <f>Saisie!BB273</f>
        <v>0</v>
      </c>
      <c r="BM273" s="49" t="e">
        <f>Saisie!BC273</f>
        <v>#REF!</v>
      </c>
      <c r="BN273" s="175"/>
    </row>
    <row r="274" spans="1:66" s="176" customFormat="1" x14ac:dyDescent="0.45">
      <c r="A274" s="12">
        <v>268</v>
      </c>
      <c r="B274" s="150">
        <f>Saisie!B274</f>
        <v>0</v>
      </c>
      <c r="C274" s="150">
        <f>Saisie!C274</f>
        <v>0</v>
      </c>
      <c r="D274" s="150">
        <f>Saisie!D274</f>
        <v>0</v>
      </c>
      <c r="E274" s="150">
        <f>Saisie!E274</f>
        <v>0</v>
      </c>
      <c r="F274" s="150">
        <f>Saisie!F274</f>
        <v>0</v>
      </c>
      <c r="G274" s="150">
        <f>Saisie!G274</f>
        <v>0</v>
      </c>
      <c r="H274" s="150">
        <f>Saisie!I274</f>
        <v>0</v>
      </c>
      <c r="I274" s="150">
        <f>Saisie!J274</f>
        <v>0</v>
      </c>
      <c r="J274" s="150">
        <f>Saisie!K274</f>
        <v>0</v>
      </c>
      <c r="K274" s="150">
        <f>Saisie!L274</f>
        <v>0</v>
      </c>
      <c r="L274" s="150" t="e">
        <f>Saisie!#REF!</f>
        <v>#REF!</v>
      </c>
      <c r="M274" s="55" t="e">
        <f t="array" ref="M274">_xlfn.IFS(Saisie!M274="OUI",1,Saisie!M274="NON",0)</f>
        <v>#N/A</v>
      </c>
      <c r="N274" s="64" t="e">
        <f>Saisie!#REF!</f>
        <v>#REF!</v>
      </c>
      <c r="O274" s="63" t="e">
        <f>Saisie!#REF!</f>
        <v>#REF!</v>
      </c>
      <c r="P274" s="63">
        <f>Saisie!N274</f>
        <v>0</v>
      </c>
      <c r="Q274" s="63" t="e">
        <f t="array" ref="Q274">_xlfn.IFS(Saisie!#REF!="OUI",1,Saisie!#REF!="NON",0)</f>
        <v>#REF!</v>
      </c>
      <c r="R274" s="63" t="e">
        <f>Saisie!#REF!</f>
        <v>#REF!</v>
      </c>
      <c r="S274" s="65" t="e">
        <f>Saisie!#REF!</f>
        <v>#REF!</v>
      </c>
      <c r="T274" s="63" t="e">
        <f>Saisie!#REF!</f>
        <v>#REF!</v>
      </c>
      <c r="U274" s="63" t="e">
        <f>Saisie!#REF!</f>
        <v>#REF!</v>
      </c>
      <c r="V274" s="63" t="e">
        <f t="array" ref="V274">_xlfn.IFS(Saisie!#REF!="OUI",1,Saisie!#REF!="NON",0)</f>
        <v>#REF!</v>
      </c>
      <c r="W274" s="63" t="e">
        <f t="array" ref="W274">_xlfn.IFS(Saisie!O274="OUI",1,Saisie!O274="NON",0)</f>
        <v>#N/A</v>
      </c>
      <c r="X274" s="63">
        <f>Saisie!P274</f>
        <v>0</v>
      </c>
      <c r="Y274" s="299">
        <f>Saisie!H274</f>
        <v>0</v>
      </c>
      <c r="Z274" s="58" t="e">
        <f>Saisie!#REF!</f>
        <v>#REF!</v>
      </c>
      <c r="AA274" s="299">
        <f>Saisie!Q274</f>
        <v>0</v>
      </c>
      <c r="AB274" s="63" t="e">
        <f t="array" ref="AB274">_xlfn.IFS(Saisie!R274="OUI",1,Saisie!R274="NON",0)</f>
        <v>#N/A</v>
      </c>
      <c r="AC274" s="63">
        <f>Saisie!S274</f>
        <v>0</v>
      </c>
      <c r="AD274" s="63" t="e">
        <f t="array" ref="AD274">_xlfn.IFS(Saisie!T274="OUI",1,Saisie!T274="NON",0)</f>
        <v>#N/A</v>
      </c>
      <c r="AE274" s="171">
        <f>Saisie!U274</f>
        <v>0</v>
      </c>
      <c r="AF274" s="262">
        <v>3</v>
      </c>
      <c r="AG274" s="129">
        <f>Saisie!W274</f>
        <v>0</v>
      </c>
      <c r="AH274" s="20">
        <f>Saisie!X274</f>
        <v>0</v>
      </c>
      <c r="AI274" s="21">
        <f>Saisie!Y274</f>
        <v>0</v>
      </c>
      <c r="AJ274" s="59">
        <f>Saisie!Z274</f>
        <v>0</v>
      </c>
      <c r="AK274" s="20">
        <f>Saisie!AA274</f>
        <v>0</v>
      </c>
      <c r="AL274" s="21">
        <f>Saisie!AB274</f>
        <v>0</v>
      </c>
      <c r="AM274" s="59">
        <f>Saisie!AC274</f>
        <v>0</v>
      </c>
      <c r="AN274" s="20">
        <f>Saisie!AD274</f>
        <v>0</v>
      </c>
      <c r="AO274" s="21">
        <f>Saisie!AE274</f>
        <v>0</v>
      </c>
      <c r="AP274" s="59">
        <f>Saisie!AF274</f>
        <v>0</v>
      </c>
      <c r="AQ274" s="129" t="e">
        <f t="array" ref="AQ274">_xlfn.IFS(Saisie!AG274="OUI",1,Saisie!AG274="NON",0)</f>
        <v>#N/A</v>
      </c>
      <c r="AR274" s="129" t="e">
        <f t="array" ref="AR274">_xlfn.IFS(Saisie!AH274="OUI",1,Saisie!AH274="NON",0)</f>
        <v>#N/A</v>
      </c>
      <c r="AS274" s="171">
        <f>Saisie!AI274</f>
        <v>0</v>
      </c>
      <c r="AT274" s="263" t="e">
        <f t="array" ref="AT274">_xlfn.IFS(Saisie!AJ274="OUI",1,Saisie!AJ274="NON",0)</f>
        <v>#N/A</v>
      </c>
      <c r="AU274" s="173">
        <f>Saisie!AK274</f>
        <v>0</v>
      </c>
      <c r="AV274" s="263" t="e">
        <f t="array" ref="AV274">_xlfn.IFS(Saisie!AL274="OUI",1,Saisie!AL274="NON",0)</f>
        <v>#N/A</v>
      </c>
      <c r="AW274" s="171">
        <f>Saisie!AM274</f>
        <v>0</v>
      </c>
      <c r="AX274" s="68">
        <f>Saisie!AN274</f>
        <v>0</v>
      </c>
      <c r="AY274" s="20">
        <f>Saisie!AO274</f>
        <v>0</v>
      </c>
      <c r="AZ274" s="21">
        <f>Saisie!AP274</f>
        <v>0</v>
      </c>
      <c r="BA274" s="298">
        <f>Saisie!AQ274</f>
        <v>0</v>
      </c>
      <c r="BB274" s="170">
        <f>Saisie!AR274</f>
        <v>0</v>
      </c>
      <c r="BC274" s="174">
        <f>Saisie!AS274</f>
        <v>0</v>
      </c>
      <c r="BD274" s="61">
        <f>Saisie!AT274</f>
        <v>0</v>
      </c>
      <c r="BE274" s="175" t="e">
        <f t="array" ref="BE274">_xlfn.IFS(Saisie!AU274="OUI",1,Saisie!AU274="NON",0)</f>
        <v>#N/A</v>
      </c>
      <c r="BF274" s="267">
        <f>Saisie!AV274</f>
        <v>0</v>
      </c>
      <c r="BG274" s="55">
        <f>Saisie!AW274</f>
        <v>0</v>
      </c>
      <c r="BH274" s="55" t="e">
        <f t="array" ref="BH274">_xlfn.IFS(Saisie!AX274="OUI",1,Saisie!AX274="NON",0)</f>
        <v>#N/A</v>
      </c>
      <c r="BI274" s="62">
        <f>Saisie!AY274</f>
        <v>0</v>
      </c>
      <c r="BJ274" s="55" t="e">
        <f t="array" ref="BJ274">_xlfn.IFS(Saisie!AZ274="OUI",1,Saisie!AZ274="NON",0)</f>
        <v>#N/A</v>
      </c>
      <c r="BK274" s="55" t="e">
        <f t="array" ref="BK274">_xlfn.IFS(Saisie!BA274="OUI",1,Saisie!BA274="NON",0)</f>
        <v>#N/A</v>
      </c>
      <c r="BL274" s="55">
        <f>Saisie!BB274</f>
        <v>0</v>
      </c>
      <c r="BM274" s="49" t="e">
        <f>Saisie!BC274</f>
        <v>#REF!</v>
      </c>
      <c r="BN274" s="175"/>
    </row>
    <row r="275" spans="1:66" s="176" customFormat="1" x14ac:dyDescent="0.45">
      <c r="A275" s="13">
        <v>269</v>
      </c>
      <c r="B275" s="150">
        <f>Saisie!B275</f>
        <v>0</v>
      </c>
      <c r="C275" s="150">
        <f>Saisie!C275</f>
        <v>0</v>
      </c>
      <c r="D275" s="150">
        <f>Saisie!D275</f>
        <v>0</v>
      </c>
      <c r="E275" s="150">
        <f>Saisie!E275</f>
        <v>0</v>
      </c>
      <c r="F275" s="150">
        <f>Saisie!F275</f>
        <v>0</v>
      </c>
      <c r="G275" s="150">
        <f>Saisie!G275</f>
        <v>0</v>
      </c>
      <c r="H275" s="150">
        <f>Saisie!I275</f>
        <v>0</v>
      </c>
      <c r="I275" s="150">
        <f>Saisie!J275</f>
        <v>0</v>
      </c>
      <c r="J275" s="150">
        <f>Saisie!K275</f>
        <v>0</v>
      </c>
      <c r="K275" s="150">
        <f>Saisie!L275</f>
        <v>0</v>
      </c>
      <c r="L275" s="150" t="e">
        <f>Saisie!#REF!</f>
        <v>#REF!</v>
      </c>
      <c r="M275" s="55" t="e">
        <f t="array" ref="M275">_xlfn.IFS(Saisie!M275="OUI",1,Saisie!M275="NON",0)</f>
        <v>#N/A</v>
      </c>
      <c r="N275" s="64" t="e">
        <f>Saisie!#REF!</f>
        <v>#REF!</v>
      </c>
      <c r="O275" s="63" t="e">
        <f>Saisie!#REF!</f>
        <v>#REF!</v>
      </c>
      <c r="P275" s="63">
        <f>Saisie!N275</f>
        <v>0</v>
      </c>
      <c r="Q275" s="63" t="e">
        <f t="array" ref="Q275">_xlfn.IFS(Saisie!#REF!="OUI",1,Saisie!#REF!="NON",0)</f>
        <v>#REF!</v>
      </c>
      <c r="R275" s="63" t="e">
        <f>Saisie!#REF!</f>
        <v>#REF!</v>
      </c>
      <c r="S275" s="65" t="e">
        <f>Saisie!#REF!</f>
        <v>#REF!</v>
      </c>
      <c r="T275" s="63" t="e">
        <f>Saisie!#REF!</f>
        <v>#REF!</v>
      </c>
      <c r="U275" s="63" t="e">
        <f>Saisie!#REF!</f>
        <v>#REF!</v>
      </c>
      <c r="V275" s="63" t="e">
        <f t="array" ref="V275">_xlfn.IFS(Saisie!#REF!="OUI",1,Saisie!#REF!="NON",0)</f>
        <v>#REF!</v>
      </c>
      <c r="W275" s="63" t="e">
        <f t="array" ref="W275">_xlfn.IFS(Saisie!O275="OUI",1,Saisie!O275="NON",0)</f>
        <v>#N/A</v>
      </c>
      <c r="X275" s="63">
        <f>Saisie!P275</f>
        <v>0</v>
      </c>
      <c r="Y275" s="299">
        <f>Saisie!H275</f>
        <v>0</v>
      </c>
      <c r="Z275" s="58" t="e">
        <f>Saisie!#REF!</f>
        <v>#REF!</v>
      </c>
      <c r="AA275" s="299">
        <f>Saisie!Q275</f>
        <v>0</v>
      </c>
      <c r="AB275" s="63" t="e">
        <f t="array" ref="AB275">_xlfn.IFS(Saisie!R275="OUI",1,Saisie!R275="NON",0)</f>
        <v>#N/A</v>
      </c>
      <c r="AC275" s="63">
        <f>Saisie!S275</f>
        <v>0</v>
      </c>
      <c r="AD275" s="63" t="e">
        <f t="array" ref="AD275">_xlfn.IFS(Saisie!T275="OUI",1,Saisie!T275="NON",0)</f>
        <v>#N/A</v>
      </c>
      <c r="AE275" s="171">
        <f>Saisie!U275</f>
        <v>0</v>
      </c>
      <c r="AF275" s="262">
        <v>3</v>
      </c>
      <c r="AG275" s="129">
        <f>Saisie!W275</f>
        <v>0</v>
      </c>
      <c r="AH275" s="20">
        <f>Saisie!X275</f>
        <v>0</v>
      </c>
      <c r="AI275" s="21">
        <f>Saisie!Y275</f>
        <v>0</v>
      </c>
      <c r="AJ275" s="59">
        <f>Saisie!Z275</f>
        <v>0</v>
      </c>
      <c r="AK275" s="20">
        <f>Saisie!AA275</f>
        <v>0</v>
      </c>
      <c r="AL275" s="21">
        <f>Saisie!AB275</f>
        <v>0</v>
      </c>
      <c r="AM275" s="59">
        <f>Saisie!AC275</f>
        <v>0</v>
      </c>
      <c r="AN275" s="20">
        <f>Saisie!AD275</f>
        <v>0</v>
      </c>
      <c r="AO275" s="21">
        <f>Saisie!AE275</f>
        <v>0</v>
      </c>
      <c r="AP275" s="59">
        <f>Saisie!AF275</f>
        <v>0</v>
      </c>
      <c r="AQ275" s="129" t="e">
        <f t="array" ref="AQ275">_xlfn.IFS(Saisie!AG275="OUI",1,Saisie!AG275="NON",0)</f>
        <v>#N/A</v>
      </c>
      <c r="AR275" s="129" t="e">
        <f t="array" ref="AR275">_xlfn.IFS(Saisie!AH275="OUI",1,Saisie!AH275="NON",0)</f>
        <v>#N/A</v>
      </c>
      <c r="AS275" s="171">
        <f>Saisie!AI275</f>
        <v>0</v>
      </c>
      <c r="AT275" s="263" t="e">
        <f t="array" ref="AT275">_xlfn.IFS(Saisie!AJ275="OUI",1,Saisie!AJ275="NON",0)</f>
        <v>#N/A</v>
      </c>
      <c r="AU275" s="173">
        <f>Saisie!AK275</f>
        <v>0</v>
      </c>
      <c r="AV275" s="263" t="e">
        <f t="array" ref="AV275">_xlfn.IFS(Saisie!AL275="OUI",1,Saisie!AL275="NON",0)</f>
        <v>#N/A</v>
      </c>
      <c r="AW275" s="171">
        <f>Saisie!AM275</f>
        <v>0</v>
      </c>
      <c r="AX275" s="68">
        <f>Saisie!AN275</f>
        <v>0</v>
      </c>
      <c r="AY275" s="20">
        <f>Saisie!AO275</f>
        <v>0</v>
      </c>
      <c r="AZ275" s="21">
        <f>Saisie!AP275</f>
        <v>0</v>
      </c>
      <c r="BA275" s="298">
        <f>Saisie!AQ275</f>
        <v>0</v>
      </c>
      <c r="BB275" s="170">
        <f>Saisie!AR275</f>
        <v>0</v>
      </c>
      <c r="BC275" s="174">
        <f>Saisie!AS275</f>
        <v>0</v>
      </c>
      <c r="BD275" s="61">
        <f>Saisie!AT275</f>
        <v>0</v>
      </c>
      <c r="BE275" s="175" t="e">
        <f t="array" ref="BE275">_xlfn.IFS(Saisie!AU275="OUI",1,Saisie!AU275="NON",0)</f>
        <v>#N/A</v>
      </c>
      <c r="BF275" s="267">
        <f>Saisie!AV275</f>
        <v>0</v>
      </c>
      <c r="BG275" s="55">
        <f>Saisie!AW275</f>
        <v>0</v>
      </c>
      <c r="BH275" s="55" t="e">
        <f t="array" ref="BH275">_xlfn.IFS(Saisie!AX275="OUI",1,Saisie!AX275="NON",0)</f>
        <v>#N/A</v>
      </c>
      <c r="BI275" s="62">
        <f>Saisie!AY275</f>
        <v>0</v>
      </c>
      <c r="BJ275" s="55" t="e">
        <f t="array" ref="BJ275">_xlfn.IFS(Saisie!AZ275="OUI",1,Saisie!AZ275="NON",0)</f>
        <v>#N/A</v>
      </c>
      <c r="BK275" s="55" t="e">
        <f t="array" ref="BK275">_xlfn.IFS(Saisie!BA275="OUI",1,Saisie!BA275="NON",0)</f>
        <v>#N/A</v>
      </c>
      <c r="BL275" s="55">
        <f>Saisie!BB275</f>
        <v>0</v>
      </c>
      <c r="BM275" s="49" t="e">
        <f>Saisie!BC275</f>
        <v>#REF!</v>
      </c>
      <c r="BN275" s="175"/>
    </row>
    <row r="276" spans="1:66" s="176" customFormat="1" x14ac:dyDescent="0.45">
      <c r="A276" s="13">
        <v>270</v>
      </c>
      <c r="B276" s="150">
        <f>Saisie!B276</f>
        <v>0</v>
      </c>
      <c r="C276" s="150">
        <f>Saisie!C276</f>
        <v>0</v>
      </c>
      <c r="D276" s="150">
        <f>Saisie!D276</f>
        <v>0</v>
      </c>
      <c r="E276" s="150">
        <f>Saisie!E276</f>
        <v>0</v>
      </c>
      <c r="F276" s="150">
        <f>Saisie!F276</f>
        <v>0</v>
      </c>
      <c r="G276" s="150">
        <f>Saisie!G276</f>
        <v>0</v>
      </c>
      <c r="H276" s="150">
        <f>Saisie!I276</f>
        <v>0</v>
      </c>
      <c r="I276" s="150">
        <f>Saisie!J276</f>
        <v>0</v>
      </c>
      <c r="J276" s="150">
        <f>Saisie!K276</f>
        <v>0</v>
      </c>
      <c r="K276" s="150">
        <f>Saisie!L276</f>
        <v>0</v>
      </c>
      <c r="L276" s="150" t="e">
        <f>Saisie!#REF!</f>
        <v>#REF!</v>
      </c>
      <c r="M276" s="55" t="e">
        <f t="array" ref="M276">_xlfn.IFS(Saisie!M276="OUI",1,Saisie!M276="NON",0)</f>
        <v>#N/A</v>
      </c>
      <c r="N276" s="64" t="e">
        <f>Saisie!#REF!</f>
        <v>#REF!</v>
      </c>
      <c r="O276" s="63" t="e">
        <f>Saisie!#REF!</f>
        <v>#REF!</v>
      </c>
      <c r="P276" s="63">
        <f>Saisie!N276</f>
        <v>0</v>
      </c>
      <c r="Q276" s="63" t="e">
        <f t="array" ref="Q276">_xlfn.IFS(Saisie!#REF!="OUI",1,Saisie!#REF!="NON",0)</f>
        <v>#REF!</v>
      </c>
      <c r="R276" s="63" t="e">
        <f>Saisie!#REF!</f>
        <v>#REF!</v>
      </c>
      <c r="S276" s="65" t="e">
        <f>Saisie!#REF!</f>
        <v>#REF!</v>
      </c>
      <c r="T276" s="63" t="e">
        <f>Saisie!#REF!</f>
        <v>#REF!</v>
      </c>
      <c r="U276" s="63" t="e">
        <f>Saisie!#REF!</f>
        <v>#REF!</v>
      </c>
      <c r="V276" s="63" t="e">
        <f t="array" ref="V276">_xlfn.IFS(Saisie!#REF!="OUI",1,Saisie!#REF!="NON",0)</f>
        <v>#REF!</v>
      </c>
      <c r="W276" s="63" t="e">
        <f t="array" ref="W276">_xlfn.IFS(Saisie!O276="OUI",1,Saisie!O276="NON",0)</f>
        <v>#N/A</v>
      </c>
      <c r="X276" s="63">
        <f>Saisie!P276</f>
        <v>0</v>
      </c>
      <c r="Y276" s="299">
        <f>Saisie!H276</f>
        <v>0</v>
      </c>
      <c r="Z276" s="58" t="e">
        <f>Saisie!#REF!</f>
        <v>#REF!</v>
      </c>
      <c r="AA276" s="299">
        <f>Saisie!Q276</f>
        <v>0</v>
      </c>
      <c r="AB276" s="63" t="e">
        <f t="array" ref="AB276">_xlfn.IFS(Saisie!R276="OUI",1,Saisie!R276="NON",0)</f>
        <v>#N/A</v>
      </c>
      <c r="AC276" s="63">
        <f>Saisie!S276</f>
        <v>0</v>
      </c>
      <c r="AD276" s="63" t="e">
        <f t="array" ref="AD276">_xlfn.IFS(Saisie!T276="OUI",1,Saisie!T276="NON",0)</f>
        <v>#N/A</v>
      </c>
      <c r="AE276" s="171">
        <f>Saisie!U276</f>
        <v>0</v>
      </c>
      <c r="AF276" s="262">
        <v>3</v>
      </c>
      <c r="AG276" s="129">
        <f>Saisie!W276</f>
        <v>0</v>
      </c>
      <c r="AH276" s="20">
        <f>Saisie!X276</f>
        <v>0</v>
      </c>
      <c r="AI276" s="21">
        <f>Saisie!Y276</f>
        <v>0</v>
      </c>
      <c r="AJ276" s="59">
        <f>Saisie!Z276</f>
        <v>0</v>
      </c>
      <c r="AK276" s="20">
        <f>Saisie!AA276</f>
        <v>0</v>
      </c>
      <c r="AL276" s="21">
        <f>Saisie!AB276</f>
        <v>0</v>
      </c>
      <c r="AM276" s="59">
        <f>Saisie!AC276</f>
        <v>0</v>
      </c>
      <c r="AN276" s="20">
        <f>Saisie!AD276</f>
        <v>0</v>
      </c>
      <c r="AO276" s="21">
        <f>Saisie!AE276</f>
        <v>0</v>
      </c>
      <c r="AP276" s="59">
        <f>Saisie!AF276</f>
        <v>0</v>
      </c>
      <c r="AQ276" s="129" t="e">
        <f t="array" ref="AQ276">_xlfn.IFS(Saisie!AG276="OUI",1,Saisie!AG276="NON",0)</f>
        <v>#N/A</v>
      </c>
      <c r="AR276" s="129" t="e">
        <f t="array" ref="AR276">_xlfn.IFS(Saisie!AH276="OUI",1,Saisie!AH276="NON",0)</f>
        <v>#N/A</v>
      </c>
      <c r="AS276" s="171">
        <f>Saisie!AI276</f>
        <v>0</v>
      </c>
      <c r="AT276" s="263" t="e">
        <f t="array" ref="AT276">_xlfn.IFS(Saisie!AJ276="OUI",1,Saisie!AJ276="NON",0)</f>
        <v>#N/A</v>
      </c>
      <c r="AU276" s="173">
        <f>Saisie!AK276</f>
        <v>0</v>
      </c>
      <c r="AV276" s="263" t="e">
        <f t="array" ref="AV276">_xlfn.IFS(Saisie!AL276="OUI",1,Saisie!AL276="NON",0)</f>
        <v>#N/A</v>
      </c>
      <c r="AW276" s="171">
        <f>Saisie!AM276</f>
        <v>0</v>
      </c>
      <c r="AX276" s="68">
        <f>Saisie!AN276</f>
        <v>0</v>
      </c>
      <c r="AY276" s="20">
        <f>Saisie!AO276</f>
        <v>0</v>
      </c>
      <c r="AZ276" s="21">
        <f>Saisie!AP276</f>
        <v>0</v>
      </c>
      <c r="BA276" s="298">
        <f>Saisie!AQ276</f>
        <v>0</v>
      </c>
      <c r="BB276" s="170">
        <f>Saisie!AR276</f>
        <v>0</v>
      </c>
      <c r="BC276" s="174">
        <f>Saisie!AS276</f>
        <v>0</v>
      </c>
      <c r="BD276" s="61">
        <f>Saisie!AT276</f>
        <v>0</v>
      </c>
      <c r="BE276" s="175" t="e">
        <f t="array" ref="BE276">_xlfn.IFS(Saisie!AU276="OUI",1,Saisie!AU276="NON",0)</f>
        <v>#N/A</v>
      </c>
      <c r="BF276" s="267">
        <f>Saisie!AV276</f>
        <v>0</v>
      </c>
      <c r="BG276" s="55">
        <f>Saisie!AW276</f>
        <v>0</v>
      </c>
      <c r="BH276" s="55" t="e">
        <f t="array" ref="BH276">_xlfn.IFS(Saisie!AX276="OUI",1,Saisie!AX276="NON",0)</f>
        <v>#N/A</v>
      </c>
      <c r="BI276" s="62">
        <f>Saisie!AY276</f>
        <v>0</v>
      </c>
      <c r="BJ276" s="55" t="e">
        <f t="array" ref="BJ276">_xlfn.IFS(Saisie!AZ276="OUI",1,Saisie!AZ276="NON",0)</f>
        <v>#N/A</v>
      </c>
      <c r="BK276" s="55" t="e">
        <f t="array" ref="BK276">_xlfn.IFS(Saisie!BA276="OUI",1,Saisie!BA276="NON",0)</f>
        <v>#N/A</v>
      </c>
      <c r="BL276" s="55">
        <f>Saisie!BB276</f>
        <v>0</v>
      </c>
      <c r="BM276" s="49" t="e">
        <f>Saisie!BC276</f>
        <v>#REF!</v>
      </c>
      <c r="BN276" s="175"/>
    </row>
    <row r="277" spans="1:66" s="176" customFormat="1" x14ac:dyDescent="0.45">
      <c r="A277" s="12">
        <v>271</v>
      </c>
      <c r="B277" s="150">
        <f>Saisie!B277</f>
        <v>0</v>
      </c>
      <c r="C277" s="150">
        <f>Saisie!C277</f>
        <v>0</v>
      </c>
      <c r="D277" s="150">
        <f>Saisie!D277</f>
        <v>0</v>
      </c>
      <c r="E277" s="150">
        <f>Saisie!E277</f>
        <v>0</v>
      </c>
      <c r="F277" s="150">
        <f>Saisie!F277</f>
        <v>0</v>
      </c>
      <c r="G277" s="150">
        <f>Saisie!G277</f>
        <v>0</v>
      </c>
      <c r="H277" s="150">
        <f>Saisie!I277</f>
        <v>0</v>
      </c>
      <c r="I277" s="150">
        <f>Saisie!J277</f>
        <v>0</v>
      </c>
      <c r="J277" s="150">
        <f>Saisie!K277</f>
        <v>0</v>
      </c>
      <c r="K277" s="150">
        <f>Saisie!L277</f>
        <v>0</v>
      </c>
      <c r="L277" s="150" t="e">
        <f>Saisie!#REF!</f>
        <v>#REF!</v>
      </c>
      <c r="M277" s="55" t="e">
        <f t="array" ref="M277">_xlfn.IFS(Saisie!M277="OUI",1,Saisie!M277="NON",0)</f>
        <v>#N/A</v>
      </c>
      <c r="N277" s="64" t="e">
        <f>Saisie!#REF!</f>
        <v>#REF!</v>
      </c>
      <c r="O277" s="63" t="e">
        <f>Saisie!#REF!</f>
        <v>#REF!</v>
      </c>
      <c r="P277" s="63">
        <f>Saisie!N277</f>
        <v>0</v>
      </c>
      <c r="Q277" s="63" t="e">
        <f t="array" ref="Q277">_xlfn.IFS(Saisie!#REF!="OUI",1,Saisie!#REF!="NON",0)</f>
        <v>#REF!</v>
      </c>
      <c r="R277" s="63" t="e">
        <f>Saisie!#REF!</f>
        <v>#REF!</v>
      </c>
      <c r="S277" s="65" t="e">
        <f>Saisie!#REF!</f>
        <v>#REF!</v>
      </c>
      <c r="T277" s="63" t="e">
        <f>Saisie!#REF!</f>
        <v>#REF!</v>
      </c>
      <c r="U277" s="63" t="e">
        <f>Saisie!#REF!</f>
        <v>#REF!</v>
      </c>
      <c r="V277" s="63" t="e">
        <f t="array" ref="V277">_xlfn.IFS(Saisie!#REF!="OUI",1,Saisie!#REF!="NON",0)</f>
        <v>#REF!</v>
      </c>
      <c r="W277" s="63" t="e">
        <f t="array" ref="W277">_xlfn.IFS(Saisie!O277="OUI",1,Saisie!O277="NON",0)</f>
        <v>#N/A</v>
      </c>
      <c r="X277" s="63">
        <f>Saisie!P277</f>
        <v>0</v>
      </c>
      <c r="Y277" s="299">
        <f>Saisie!H277</f>
        <v>0</v>
      </c>
      <c r="Z277" s="58" t="e">
        <f>Saisie!#REF!</f>
        <v>#REF!</v>
      </c>
      <c r="AA277" s="299">
        <f>Saisie!Q277</f>
        <v>0</v>
      </c>
      <c r="AB277" s="63" t="e">
        <f t="array" ref="AB277">_xlfn.IFS(Saisie!R277="OUI",1,Saisie!R277="NON",0)</f>
        <v>#N/A</v>
      </c>
      <c r="AC277" s="63">
        <f>Saisie!S277</f>
        <v>0</v>
      </c>
      <c r="AD277" s="63" t="e">
        <f t="array" ref="AD277">_xlfn.IFS(Saisie!T277="OUI",1,Saisie!T277="NON",0)</f>
        <v>#N/A</v>
      </c>
      <c r="AE277" s="171">
        <f>Saisie!U277</f>
        <v>0</v>
      </c>
      <c r="AF277" s="262">
        <v>3</v>
      </c>
      <c r="AG277" s="129">
        <f>Saisie!W277</f>
        <v>0</v>
      </c>
      <c r="AH277" s="20">
        <f>Saisie!X277</f>
        <v>0</v>
      </c>
      <c r="AI277" s="21">
        <f>Saisie!Y277</f>
        <v>0</v>
      </c>
      <c r="AJ277" s="59">
        <f>Saisie!Z277</f>
        <v>0</v>
      </c>
      <c r="AK277" s="20">
        <f>Saisie!AA277</f>
        <v>0</v>
      </c>
      <c r="AL277" s="21">
        <f>Saisie!AB277</f>
        <v>0</v>
      </c>
      <c r="AM277" s="59">
        <f>Saisie!AC277</f>
        <v>0</v>
      </c>
      <c r="AN277" s="20">
        <f>Saisie!AD277</f>
        <v>0</v>
      </c>
      <c r="AO277" s="21">
        <f>Saisie!AE277</f>
        <v>0</v>
      </c>
      <c r="AP277" s="59">
        <f>Saisie!AF277</f>
        <v>0</v>
      </c>
      <c r="AQ277" s="129" t="e">
        <f t="array" ref="AQ277">_xlfn.IFS(Saisie!AG277="OUI",1,Saisie!AG277="NON",0)</f>
        <v>#N/A</v>
      </c>
      <c r="AR277" s="129" t="e">
        <f t="array" ref="AR277">_xlfn.IFS(Saisie!AH277="OUI",1,Saisie!AH277="NON",0)</f>
        <v>#N/A</v>
      </c>
      <c r="AS277" s="171">
        <f>Saisie!AI277</f>
        <v>0</v>
      </c>
      <c r="AT277" s="263" t="e">
        <f t="array" ref="AT277">_xlfn.IFS(Saisie!AJ277="OUI",1,Saisie!AJ277="NON",0)</f>
        <v>#N/A</v>
      </c>
      <c r="AU277" s="173">
        <f>Saisie!AK277</f>
        <v>0</v>
      </c>
      <c r="AV277" s="263" t="e">
        <f t="array" ref="AV277">_xlfn.IFS(Saisie!AL277="OUI",1,Saisie!AL277="NON",0)</f>
        <v>#N/A</v>
      </c>
      <c r="AW277" s="171">
        <f>Saisie!AM277</f>
        <v>0</v>
      </c>
      <c r="AX277" s="68">
        <f>Saisie!AN277</f>
        <v>0</v>
      </c>
      <c r="AY277" s="20">
        <f>Saisie!AO277</f>
        <v>0</v>
      </c>
      <c r="AZ277" s="21">
        <f>Saisie!AP277</f>
        <v>0</v>
      </c>
      <c r="BA277" s="298">
        <f>Saisie!AQ277</f>
        <v>0</v>
      </c>
      <c r="BB277" s="170">
        <f>Saisie!AR277</f>
        <v>0</v>
      </c>
      <c r="BC277" s="174">
        <f>Saisie!AS277</f>
        <v>0</v>
      </c>
      <c r="BD277" s="61">
        <f>Saisie!AT277</f>
        <v>0</v>
      </c>
      <c r="BE277" s="175" t="e">
        <f t="array" ref="BE277">_xlfn.IFS(Saisie!AU277="OUI",1,Saisie!AU277="NON",0)</f>
        <v>#N/A</v>
      </c>
      <c r="BF277" s="267">
        <f>Saisie!AV277</f>
        <v>0</v>
      </c>
      <c r="BG277" s="55">
        <f>Saisie!AW277</f>
        <v>0</v>
      </c>
      <c r="BH277" s="55" t="e">
        <f t="array" ref="BH277">_xlfn.IFS(Saisie!AX277="OUI",1,Saisie!AX277="NON",0)</f>
        <v>#N/A</v>
      </c>
      <c r="BI277" s="62">
        <f>Saisie!AY277</f>
        <v>0</v>
      </c>
      <c r="BJ277" s="55" t="e">
        <f t="array" ref="BJ277">_xlfn.IFS(Saisie!AZ277="OUI",1,Saisie!AZ277="NON",0)</f>
        <v>#N/A</v>
      </c>
      <c r="BK277" s="55" t="e">
        <f t="array" ref="BK277">_xlfn.IFS(Saisie!BA277="OUI",1,Saisie!BA277="NON",0)</f>
        <v>#N/A</v>
      </c>
      <c r="BL277" s="55">
        <f>Saisie!BB277</f>
        <v>0</v>
      </c>
      <c r="BM277" s="49" t="e">
        <f>Saisie!BC277</f>
        <v>#REF!</v>
      </c>
      <c r="BN277" s="175"/>
    </row>
    <row r="278" spans="1:66" s="176" customFormat="1" x14ac:dyDescent="0.45">
      <c r="A278" s="13">
        <v>272</v>
      </c>
      <c r="B278" s="150">
        <f>Saisie!B278</f>
        <v>0</v>
      </c>
      <c r="C278" s="150">
        <f>Saisie!C278</f>
        <v>0</v>
      </c>
      <c r="D278" s="150">
        <f>Saisie!D278</f>
        <v>0</v>
      </c>
      <c r="E278" s="150">
        <f>Saisie!E278</f>
        <v>0</v>
      </c>
      <c r="F278" s="150">
        <f>Saisie!F278</f>
        <v>0</v>
      </c>
      <c r="G278" s="150">
        <f>Saisie!G278</f>
        <v>0</v>
      </c>
      <c r="H278" s="150">
        <f>Saisie!I278</f>
        <v>0</v>
      </c>
      <c r="I278" s="150">
        <f>Saisie!J278</f>
        <v>0</v>
      </c>
      <c r="J278" s="150">
        <f>Saisie!K278</f>
        <v>0</v>
      </c>
      <c r="K278" s="150">
        <f>Saisie!L278</f>
        <v>0</v>
      </c>
      <c r="L278" s="150" t="e">
        <f>Saisie!#REF!</f>
        <v>#REF!</v>
      </c>
      <c r="M278" s="55" t="e">
        <f t="array" ref="M278">_xlfn.IFS(Saisie!M278="OUI",1,Saisie!M278="NON",0)</f>
        <v>#N/A</v>
      </c>
      <c r="N278" s="64" t="e">
        <f>Saisie!#REF!</f>
        <v>#REF!</v>
      </c>
      <c r="O278" s="63" t="e">
        <f>Saisie!#REF!</f>
        <v>#REF!</v>
      </c>
      <c r="P278" s="63">
        <f>Saisie!N278</f>
        <v>0</v>
      </c>
      <c r="Q278" s="63" t="e">
        <f t="array" ref="Q278">_xlfn.IFS(Saisie!#REF!="OUI",1,Saisie!#REF!="NON",0)</f>
        <v>#REF!</v>
      </c>
      <c r="R278" s="63" t="e">
        <f>Saisie!#REF!</f>
        <v>#REF!</v>
      </c>
      <c r="S278" s="65" t="e">
        <f>Saisie!#REF!</f>
        <v>#REF!</v>
      </c>
      <c r="T278" s="63" t="e">
        <f>Saisie!#REF!</f>
        <v>#REF!</v>
      </c>
      <c r="U278" s="63" t="e">
        <f>Saisie!#REF!</f>
        <v>#REF!</v>
      </c>
      <c r="V278" s="63" t="e">
        <f t="array" ref="V278">_xlfn.IFS(Saisie!#REF!="OUI",1,Saisie!#REF!="NON",0)</f>
        <v>#REF!</v>
      </c>
      <c r="W278" s="63" t="e">
        <f t="array" ref="W278">_xlfn.IFS(Saisie!O278="OUI",1,Saisie!O278="NON",0)</f>
        <v>#N/A</v>
      </c>
      <c r="X278" s="63">
        <f>Saisie!P278</f>
        <v>0</v>
      </c>
      <c r="Y278" s="299">
        <f>Saisie!H278</f>
        <v>0</v>
      </c>
      <c r="Z278" s="58" t="e">
        <f>Saisie!#REF!</f>
        <v>#REF!</v>
      </c>
      <c r="AA278" s="299">
        <f>Saisie!Q278</f>
        <v>0</v>
      </c>
      <c r="AB278" s="63" t="e">
        <f t="array" ref="AB278">_xlfn.IFS(Saisie!R278="OUI",1,Saisie!R278="NON",0)</f>
        <v>#N/A</v>
      </c>
      <c r="AC278" s="63">
        <f>Saisie!S278</f>
        <v>0</v>
      </c>
      <c r="AD278" s="63" t="e">
        <f t="array" ref="AD278">_xlfn.IFS(Saisie!T278="OUI",1,Saisie!T278="NON",0)</f>
        <v>#N/A</v>
      </c>
      <c r="AE278" s="171">
        <f>Saisie!U278</f>
        <v>0</v>
      </c>
      <c r="AF278" s="262">
        <v>3</v>
      </c>
      <c r="AG278" s="129">
        <f>Saisie!W278</f>
        <v>0</v>
      </c>
      <c r="AH278" s="20">
        <f>Saisie!X278</f>
        <v>0</v>
      </c>
      <c r="AI278" s="21">
        <f>Saisie!Y278</f>
        <v>0</v>
      </c>
      <c r="AJ278" s="59">
        <f>Saisie!Z278</f>
        <v>0</v>
      </c>
      <c r="AK278" s="20">
        <f>Saisie!AA278</f>
        <v>0</v>
      </c>
      <c r="AL278" s="21">
        <f>Saisie!AB278</f>
        <v>0</v>
      </c>
      <c r="AM278" s="59">
        <f>Saisie!AC278</f>
        <v>0</v>
      </c>
      <c r="AN278" s="20">
        <f>Saisie!AD278</f>
        <v>0</v>
      </c>
      <c r="AO278" s="21">
        <f>Saisie!AE278</f>
        <v>0</v>
      </c>
      <c r="AP278" s="59">
        <f>Saisie!AF278</f>
        <v>0</v>
      </c>
      <c r="AQ278" s="129" t="e">
        <f t="array" ref="AQ278">_xlfn.IFS(Saisie!AG278="OUI",1,Saisie!AG278="NON",0)</f>
        <v>#N/A</v>
      </c>
      <c r="AR278" s="129" t="e">
        <f t="array" ref="AR278">_xlfn.IFS(Saisie!AH278="OUI",1,Saisie!AH278="NON",0)</f>
        <v>#N/A</v>
      </c>
      <c r="AS278" s="171">
        <f>Saisie!AI278</f>
        <v>0</v>
      </c>
      <c r="AT278" s="263" t="e">
        <f t="array" ref="AT278">_xlfn.IFS(Saisie!AJ278="OUI",1,Saisie!AJ278="NON",0)</f>
        <v>#N/A</v>
      </c>
      <c r="AU278" s="173">
        <f>Saisie!AK278</f>
        <v>0</v>
      </c>
      <c r="AV278" s="263" t="e">
        <f t="array" ref="AV278">_xlfn.IFS(Saisie!AL278="OUI",1,Saisie!AL278="NON",0)</f>
        <v>#N/A</v>
      </c>
      <c r="AW278" s="171">
        <f>Saisie!AM278</f>
        <v>0</v>
      </c>
      <c r="AX278" s="68">
        <f>Saisie!AN278</f>
        <v>0</v>
      </c>
      <c r="AY278" s="20">
        <f>Saisie!AO278</f>
        <v>0</v>
      </c>
      <c r="AZ278" s="21">
        <f>Saisie!AP278</f>
        <v>0</v>
      </c>
      <c r="BA278" s="298">
        <f>Saisie!AQ278</f>
        <v>0</v>
      </c>
      <c r="BB278" s="170">
        <f>Saisie!AR278</f>
        <v>0</v>
      </c>
      <c r="BC278" s="174">
        <f>Saisie!AS278</f>
        <v>0</v>
      </c>
      <c r="BD278" s="61">
        <f>Saisie!AT278</f>
        <v>0</v>
      </c>
      <c r="BE278" s="175" t="e">
        <f t="array" ref="BE278">_xlfn.IFS(Saisie!AU278="OUI",1,Saisie!AU278="NON",0)</f>
        <v>#N/A</v>
      </c>
      <c r="BF278" s="267">
        <f>Saisie!AV278</f>
        <v>0</v>
      </c>
      <c r="BG278" s="55">
        <f>Saisie!AW278</f>
        <v>0</v>
      </c>
      <c r="BH278" s="55" t="e">
        <f t="array" ref="BH278">_xlfn.IFS(Saisie!AX278="OUI",1,Saisie!AX278="NON",0)</f>
        <v>#N/A</v>
      </c>
      <c r="BI278" s="62">
        <f>Saisie!AY278</f>
        <v>0</v>
      </c>
      <c r="BJ278" s="55" t="e">
        <f t="array" ref="BJ278">_xlfn.IFS(Saisie!AZ278="OUI",1,Saisie!AZ278="NON",0)</f>
        <v>#N/A</v>
      </c>
      <c r="BK278" s="55" t="e">
        <f t="array" ref="BK278">_xlfn.IFS(Saisie!BA278="OUI",1,Saisie!BA278="NON",0)</f>
        <v>#N/A</v>
      </c>
      <c r="BL278" s="55">
        <f>Saisie!BB278</f>
        <v>0</v>
      </c>
      <c r="BM278" s="49" t="e">
        <f>Saisie!BC278</f>
        <v>#REF!</v>
      </c>
      <c r="BN278" s="175"/>
    </row>
    <row r="279" spans="1:66" s="176" customFormat="1" x14ac:dyDescent="0.45">
      <c r="A279" s="13">
        <v>273</v>
      </c>
      <c r="B279" s="150">
        <f>Saisie!B279</f>
        <v>0</v>
      </c>
      <c r="C279" s="150">
        <f>Saisie!C279</f>
        <v>0</v>
      </c>
      <c r="D279" s="150">
        <f>Saisie!D279</f>
        <v>0</v>
      </c>
      <c r="E279" s="150">
        <f>Saisie!E279</f>
        <v>0</v>
      </c>
      <c r="F279" s="150">
        <f>Saisie!F279</f>
        <v>0</v>
      </c>
      <c r="G279" s="150">
        <f>Saisie!G279</f>
        <v>0</v>
      </c>
      <c r="H279" s="150">
        <f>Saisie!I279</f>
        <v>0</v>
      </c>
      <c r="I279" s="150">
        <f>Saisie!J279</f>
        <v>0</v>
      </c>
      <c r="J279" s="150">
        <f>Saisie!K279</f>
        <v>0</v>
      </c>
      <c r="K279" s="150">
        <f>Saisie!L279</f>
        <v>0</v>
      </c>
      <c r="L279" s="150" t="e">
        <f>Saisie!#REF!</f>
        <v>#REF!</v>
      </c>
      <c r="M279" s="55" t="e">
        <f t="array" ref="M279">_xlfn.IFS(Saisie!M279="OUI",1,Saisie!M279="NON",0)</f>
        <v>#N/A</v>
      </c>
      <c r="N279" s="64" t="e">
        <f>Saisie!#REF!</f>
        <v>#REF!</v>
      </c>
      <c r="O279" s="63" t="e">
        <f>Saisie!#REF!</f>
        <v>#REF!</v>
      </c>
      <c r="P279" s="63">
        <f>Saisie!N279</f>
        <v>0</v>
      </c>
      <c r="Q279" s="63" t="e">
        <f t="array" ref="Q279">_xlfn.IFS(Saisie!#REF!="OUI",1,Saisie!#REF!="NON",0)</f>
        <v>#REF!</v>
      </c>
      <c r="R279" s="63" t="e">
        <f>Saisie!#REF!</f>
        <v>#REF!</v>
      </c>
      <c r="S279" s="65" t="e">
        <f>Saisie!#REF!</f>
        <v>#REF!</v>
      </c>
      <c r="T279" s="63" t="e">
        <f>Saisie!#REF!</f>
        <v>#REF!</v>
      </c>
      <c r="U279" s="63" t="e">
        <f>Saisie!#REF!</f>
        <v>#REF!</v>
      </c>
      <c r="V279" s="63" t="e">
        <f t="array" ref="V279">_xlfn.IFS(Saisie!#REF!="OUI",1,Saisie!#REF!="NON",0)</f>
        <v>#REF!</v>
      </c>
      <c r="W279" s="63" t="e">
        <f t="array" ref="W279">_xlfn.IFS(Saisie!O279="OUI",1,Saisie!O279="NON",0)</f>
        <v>#N/A</v>
      </c>
      <c r="X279" s="63">
        <f>Saisie!P279</f>
        <v>0</v>
      </c>
      <c r="Y279" s="299">
        <f>Saisie!H279</f>
        <v>0</v>
      </c>
      <c r="Z279" s="58" t="e">
        <f>Saisie!#REF!</f>
        <v>#REF!</v>
      </c>
      <c r="AA279" s="299">
        <f>Saisie!Q279</f>
        <v>0</v>
      </c>
      <c r="AB279" s="63" t="e">
        <f t="array" ref="AB279">_xlfn.IFS(Saisie!R279="OUI",1,Saisie!R279="NON",0)</f>
        <v>#N/A</v>
      </c>
      <c r="AC279" s="63">
        <f>Saisie!S279</f>
        <v>0</v>
      </c>
      <c r="AD279" s="63" t="e">
        <f t="array" ref="AD279">_xlfn.IFS(Saisie!T279="OUI",1,Saisie!T279="NON",0)</f>
        <v>#N/A</v>
      </c>
      <c r="AE279" s="171">
        <f>Saisie!U279</f>
        <v>0</v>
      </c>
      <c r="AF279" s="262">
        <v>3</v>
      </c>
      <c r="AG279" s="129">
        <f>Saisie!W279</f>
        <v>0</v>
      </c>
      <c r="AH279" s="20">
        <f>Saisie!X279</f>
        <v>0</v>
      </c>
      <c r="AI279" s="21">
        <f>Saisie!Y279</f>
        <v>0</v>
      </c>
      <c r="AJ279" s="59">
        <f>Saisie!Z279</f>
        <v>0</v>
      </c>
      <c r="AK279" s="20">
        <f>Saisie!AA279</f>
        <v>0</v>
      </c>
      <c r="AL279" s="21">
        <f>Saisie!AB279</f>
        <v>0</v>
      </c>
      <c r="AM279" s="59">
        <f>Saisie!AC279</f>
        <v>0</v>
      </c>
      <c r="AN279" s="20">
        <f>Saisie!AD279</f>
        <v>0</v>
      </c>
      <c r="AO279" s="21">
        <f>Saisie!AE279</f>
        <v>0</v>
      </c>
      <c r="AP279" s="59">
        <f>Saisie!AF279</f>
        <v>0</v>
      </c>
      <c r="AQ279" s="129" t="e">
        <f t="array" ref="AQ279">_xlfn.IFS(Saisie!AG279="OUI",1,Saisie!AG279="NON",0)</f>
        <v>#N/A</v>
      </c>
      <c r="AR279" s="129" t="e">
        <f t="array" ref="AR279">_xlfn.IFS(Saisie!AH279="OUI",1,Saisie!AH279="NON",0)</f>
        <v>#N/A</v>
      </c>
      <c r="AS279" s="171">
        <f>Saisie!AI279</f>
        <v>0</v>
      </c>
      <c r="AT279" s="263" t="e">
        <f t="array" ref="AT279">_xlfn.IFS(Saisie!AJ279="OUI",1,Saisie!AJ279="NON",0)</f>
        <v>#N/A</v>
      </c>
      <c r="AU279" s="173">
        <f>Saisie!AK279</f>
        <v>0</v>
      </c>
      <c r="AV279" s="263" t="e">
        <f t="array" ref="AV279">_xlfn.IFS(Saisie!AL279="OUI",1,Saisie!AL279="NON",0)</f>
        <v>#N/A</v>
      </c>
      <c r="AW279" s="171">
        <f>Saisie!AM279</f>
        <v>0</v>
      </c>
      <c r="AX279" s="68">
        <f>Saisie!AN279</f>
        <v>0</v>
      </c>
      <c r="AY279" s="20">
        <f>Saisie!AO279</f>
        <v>0</v>
      </c>
      <c r="AZ279" s="21">
        <f>Saisie!AP279</f>
        <v>0</v>
      </c>
      <c r="BA279" s="298">
        <f>Saisie!AQ279</f>
        <v>0</v>
      </c>
      <c r="BB279" s="170">
        <f>Saisie!AR279</f>
        <v>0</v>
      </c>
      <c r="BC279" s="174">
        <f>Saisie!AS279</f>
        <v>0</v>
      </c>
      <c r="BD279" s="61">
        <f>Saisie!AT279</f>
        <v>0</v>
      </c>
      <c r="BE279" s="175" t="e">
        <f t="array" ref="BE279">_xlfn.IFS(Saisie!AU279="OUI",1,Saisie!AU279="NON",0)</f>
        <v>#N/A</v>
      </c>
      <c r="BF279" s="267">
        <f>Saisie!AV279</f>
        <v>0</v>
      </c>
      <c r="BG279" s="55">
        <f>Saisie!AW279</f>
        <v>0</v>
      </c>
      <c r="BH279" s="55" t="e">
        <f t="array" ref="BH279">_xlfn.IFS(Saisie!AX279="OUI",1,Saisie!AX279="NON",0)</f>
        <v>#N/A</v>
      </c>
      <c r="BI279" s="62">
        <f>Saisie!AY279</f>
        <v>0</v>
      </c>
      <c r="BJ279" s="55" t="e">
        <f t="array" ref="BJ279">_xlfn.IFS(Saisie!AZ279="OUI",1,Saisie!AZ279="NON",0)</f>
        <v>#N/A</v>
      </c>
      <c r="BK279" s="55" t="e">
        <f t="array" ref="BK279">_xlfn.IFS(Saisie!BA279="OUI",1,Saisie!BA279="NON",0)</f>
        <v>#N/A</v>
      </c>
      <c r="BL279" s="55">
        <f>Saisie!BB279</f>
        <v>0</v>
      </c>
      <c r="BM279" s="49" t="e">
        <f>Saisie!BC279</f>
        <v>#REF!</v>
      </c>
      <c r="BN279" s="175"/>
    </row>
    <row r="280" spans="1:66" s="176" customFormat="1" x14ac:dyDescent="0.45">
      <c r="A280" s="12">
        <v>274</v>
      </c>
      <c r="B280" s="150">
        <f>Saisie!B280</f>
        <v>0</v>
      </c>
      <c r="C280" s="150">
        <f>Saisie!C280</f>
        <v>0</v>
      </c>
      <c r="D280" s="150">
        <f>Saisie!D280</f>
        <v>0</v>
      </c>
      <c r="E280" s="150">
        <f>Saisie!E280</f>
        <v>0</v>
      </c>
      <c r="F280" s="150">
        <f>Saisie!F280</f>
        <v>0</v>
      </c>
      <c r="G280" s="150">
        <f>Saisie!G280</f>
        <v>0</v>
      </c>
      <c r="H280" s="150">
        <f>Saisie!I280</f>
        <v>0</v>
      </c>
      <c r="I280" s="150">
        <f>Saisie!J280</f>
        <v>0</v>
      </c>
      <c r="J280" s="150">
        <f>Saisie!K280</f>
        <v>0</v>
      </c>
      <c r="K280" s="150">
        <f>Saisie!L280</f>
        <v>0</v>
      </c>
      <c r="L280" s="150" t="e">
        <f>Saisie!#REF!</f>
        <v>#REF!</v>
      </c>
      <c r="M280" s="55" t="e">
        <f t="array" ref="M280">_xlfn.IFS(Saisie!M280="OUI",1,Saisie!M280="NON",0)</f>
        <v>#N/A</v>
      </c>
      <c r="N280" s="64" t="e">
        <f>Saisie!#REF!</f>
        <v>#REF!</v>
      </c>
      <c r="O280" s="63" t="e">
        <f>Saisie!#REF!</f>
        <v>#REF!</v>
      </c>
      <c r="P280" s="63">
        <f>Saisie!N280</f>
        <v>0</v>
      </c>
      <c r="Q280" s="63" t="e">
        <f t="array" ref="Q280">_xlfn.IFS(Saisie!#REF!="OUI",1,Saisie!#REF!="NON",0)</f>
        <v>#REF!</v>
      </c>
      <c r="R280" s="63" t="e">
        <f>Saisie!#REF!</f>
        <v>#REF!</v>
      </c>
      <c r="S280" s="65" t="e">
        <f>Saisie!#REF!</f>
        <v>#REF!</v>
      </c>
      <c r="T280" s="63" t="e">
        <f>Saisie!#REF!</f>
        <v>#REF!</v>
      </c>
      <c r="U280" s="63" t="e">
        <f>Saisie!#REF!</f>
        <v>#REF!</v>
      </c>
      <c r="V280" s="63" t="e">
        <f t="array" ref="V280">_xlfn.IFS(Saisie!#REF!="OUI",1,Saisie!#REF!="NON",0)</f>
        <v>#REF!</v>
      </c>
      <c r="W280" s="63" t="e">
        <f t="array" ref="W280">_xlfn.IFS(Saisie!O280="OUI",1,Saisie!O280="NON",0)</f>
        <v>#N/A</v>
      </c>
      <c r="X280" s="63">
        <f>Saisie!P280</f>
        <v>0</v>
      </c>
      <c r="Y280" s="299">
        <f>Saisie!H280</f>
        <v>0</v>
      </c>
      <c r="Z280" s="58" t="e">
        <f>Saisie!#REF!</f>
        <v>#REF!</v>
      </c>
      <c r="AA280" s="299">
        <f>Saisie!Q280</f>
        <v>0</v>
      </c>
      <c r="AB280" s="63" t="e">
        <f t="array" ref="AB280">_xlfn.IFS(Saisie!R280="OUI",1,Saisie!R280="NON",0)</f>
        <v>#N/A</v>
      </c>
      <c r="AC280" s="63">
        <f>Saisie!S280</f>
        <v>0</v>
      </c>
      <c r="AD280" s="63" t="e">
        <f t="array" ref="AD280">_xlfn.IFS(Saisie!T280="OUI",1,Saisie!T280="NON",0)</f>
        <v>#N/A</v>
      </c>
      <c r="AE280" s="171">
        <f>Saisie!U280</f>
        <v>0</v>
      </c>
      <c r="AF280" s="262">
        <v>3</v>
      </c>
      <c r="AG280" s="129">
        <f>Saisie!W280</f>
        <v>0</v>
      </c>
      <c r="AH280" s="20">
        <f>Saisie!X280</f>
        <v>0</v>
      </c>
      <c r="AI280" s="21">
        <f>Saisie!Y280</f>
        <v>0</v>
      </c>
      <c r="AJ280" s="59">
        <f>Saisie!Z280</f>
        <v>0</v>
      </c>
      <c r="AK280" s="20">
        <f>Saisie!AA280</f>
        <v>0</v>
      </c>
      <c r="AL280" s="21">
        <f>Saisie!AB280</f>
        <v>0</v>
      </c>
      <c r="AM280" s="59">
        <f>Saisie!AC280</f>
        <v>0</v>
      </c>
      <c r="AN280" s="20">
        <f>Saisie!AD280</f>
        <v>0</v>
      </c>
      <c r="AO280" s="21">
        <f>Saisie!AE280</f>
        <v>0</v>
      </c>
      <c r="AP280" s="59">
        <f>Saisie!AF280</f>
        <v>0</v>
      </c>
      <c r="AQ280" s="129" t="e">
        <f t="array" ref="AQ280">_xlfn.IFS(Saisie!AG280="OUI",1,Saisie!AG280="NON",0)</f>
        <v>#N/A</v>
      </c>
      <c r="AR280" s="129" t="e">
        <f t="array" ref="AR280">_xlfn.IFS(Saisie!AH280="OUI",1,Saisie!AH280="NON",0)</f>
        <v>#N/A</v>
      </c>
      <c r="AS280" s="171">
        <f>Saisie!AI280</f>
        <v>0</v>
      </c>
      <c r="AT280" s="263" t="e">
        <f t="array" ref="AT280">_xlfn.IFS(Saisie!AJ280="OUI",1,Saisie!AJ280="NON",0)</f>
        <v>#N/A</v>
      </c>
      <c r="AU280" s="173">
        <f>Saisie!AK280</f>
        <v>0</v>
      </c>
      <c r="AV280" s="263" t="e">
        <f t="array" ref="AV280">_xlfn.IFS(Saisie!AL280="OUI",1,Saisie!AL280="NON",0)</f>
        <v>#N/A</v>
      </c>
      <c r="AW280" s="171">
        <f>Saisie!AM280</f>
        <v>0</v>
      </c>
      <c r="AX280" s="68">
        <f>Saisie!AN280</f>
        <v>0</v>
      </c>
      <c r="AY280" s="20">
        <f>Saisie!AO280</f>
        <v>0</v>
      </c>
      <c r="AZ280" s="21">
        <f>Saisie!AP280</f>
        <v>0</v>
      </c>
      <c r="BA280" s="298">
        <f>Saisie!AQ280</f>
        <v>0</v>
      </c>
      <c r="BB280" s="170">
        <f>Saisie!AR280</f>
        <v>0</v>
      </c>
      <c r="BC280" s="174">
        <f>Saisie!AS280</f>
        <v>0</v>
      </c>
      <c r="BD280" s="61">
        <f>Saisie!AT280</f>
        <v>0</v>
      </c>
      <c r="BE280" s="175" t="e">
        <f t="array" ref="BE280">_xlfn.IFS(Saisie!AU280="OUI",1,Saisie!AU280="NON",0)</f>
        <v>#N/A</v>
      </c>
      <c r="BF280" s="267">
        <f>Saisie!AV280</f>
        <v>0</v>
      </c>
      <c r="BG280" s="55">
        <f>Saisie!AW280</f>
        <v>0</v>
      </c>
      <c r="BH280" s="55" t="e">
        <f t="array" ref="BH280">_xlfn.IFS(Saisie!AX280="OUI",1,Saisie!AX280="NON",0)</f>
        <v>#N/A</v>
      </c>
      <c r="BI280" s="62">
        <f>Saisie!AY280</f>
        <v>0</v>
      </c>
      <c r="BJ280" s="55" t="e">
        <f t="array" ref="BJ280">_xlfn.IFS(Saisie!AZ280="OUI",1,Saisie!AZ280="NON",0)</f>
        <v>#N/A</v>
      </c>
      <c r="BK280" s="55" t="e">
        <f t="array" ref="BK280">_xlfn.IFS(Saisie!BA280="OUI",1,Saisie!BA280="NON",0)</f>
        <v>#N/A</v>
      </c>
      <c r="BL280" s="55">
        <f>Saisie!BB280</f>
        <v>0</v>
      </c>
      <c r="BM280" s="49" t="e">
        <f>Saisie!BC280</f>
        <v>#REF!</v>
      </c>
      <c r="BN280" s="175"/>
    </row>
    <row r="281" spans="1:66" s="176" customFormat="1" x14ac:dyDescent="0.45">
      <c r="A281" s="13">
        <v>275</v>
      </c>
      <c r="B281" s="150">
        <f>Saisie!B281</f>
        <v>0</v>
      </c>
      <c r="C281" s="150">
        <f>Saisie!C281</f>
        <v>0</v>
      </c>
      <c r="D281" s="150">
        <f>Saisie!D281</f>
        <v>0</v>
      </c>
      <c r="E281" s="150">
        <f>Saisie!E281</f>
        <v>0</v>
      </c>
      <c r="F281" s="150">
        <f>Saisie!F281</f>
        <v>0</v>
      </c>
      <c r="G281" s="150">
        <f>Saisie!G281</f>
        <v>0</v>
      </c>
      <c r="H281" s="150">
        <f>Saisie!I281</f>
        <v>0</v>
      </c>
      <c r="I281" s="150">
        <f>Saisie!J281</f>
        <v>0</v>
      </c>
      <c r="J281" s="150">
        <f>Saisie!K281</f>
        <v>0</v>
      </c>
      <c r="K281" s="150">
        <f>Saisie!L281</f>
        <v>0</v>
      </c>
      <c r="L281" s="150" t="e">
        <f>Saisie!#REF!</f>
        <v>#REF!</v>
      </c>
      <c r="M281" s="55" t="e">
        <f t="array" ref="M281">_xlfn.IFS(Saisie!M281="OUI",1,Saisie!M281="NON",0)</f>
        <v>#N/A</v>
      </c>
      <c r="N281" s="64" t="e">
        <f>Saisie!#REF!</f>
        <v>#REF!</v>
      </c>
      <c r="O281" s="63" t="e">
        <f>Saisie!#REF!</f>
        <v>#REF!</v>
      </c>
      <c r="P281" s="63">
        <f>Saisie!N281</f>
        <v>0</v>
      </c>
      <c r="Q281" s="63" t="e">
        <f t="array" ref="Q281">_xlfn.IFS(Saisie!#REF!="OUI",1,Saisie!#REF!="NON",0)</f>
        <v>#REF!</v>
      </c>
      <c r="R281" s="63" t="e">
        <f>Saisie!#REF!</f>
        <v>#REF!</v>
      </c>
      <c r="S281" s="65" t="e">
        <f>Saisie!#REF!</f>
        <v>#REF!</v>
      </c>
      <c r="T281" s="63" t="e">
        <f>Saisie!#REF!</f>
        <v>#REF!</v>
      </c>
      <c r="U281" s="63" t="e">
        <f>Saisie!#REF!</f>
        <v>#REF!</v>
      </c>
      <c r="V281" s="63" t="e">
        <f t="array" ref="V281">_xlfn.IFS(Saisie!#REF!="OUI",1,Saisie!#REF!="NON",0)</f>
        <v>#REF!</v>
      </c>
      <c r="W281" s="63" t="e">
        <f t="array" ref="W281">_xlfn.IFS(Saisie!O281="OUI",1,Saisie!O281="NON",0)</f>
        <v>#N/A</v>
      </c>
      <c r="X281" s="63">
        <f>Saisie!P281</f>
        <v>0</v>
      </c>
      <c r="Y281" s="299">
        <f>Saisie!H281</f>
        <v>0</v>
      </c>
      <c r="Z281" s="58" t="e">
        <f>Saisie!#REF!</f>
        <v>#REF!</v>
      </c>
      <c r="AA281" s="299">
        <f>Saisie!Q281</f>
        <v>0</v>
      </c>
      <c r="AB281" s="63" t="e">
        <f t="array" ref="AB281">_xlfn.IFS(Saisie!R281="OUI",1,Saisie!R281="NON",0)</f>
        <v>#N/A</v>
      </c>
      <c r="AC281" s="63">
        <f>Saisie!S281</f>
        <v>0</v>
      </c>
      <c r="AD281" s="63" t="e">
        <f t="array" ref="AD281">_xlfn.IFS(Saisie!T281="OUI",1,Saisie!T281="NON",0)</f>
        <v>#N/A</v>
      </c>
      <c r="AE281" s="171">
        <f>Saisie!U281</f>
        <v>0</v>
      </c>
      <c r="AF281" s="262">
        <v>3</v>
      </c>
      <c r="AG281" s="129">
        <f>Saisie!W281</f>
        <v>0</v>
      </c>
      <c r="AH281" s="20">
        <f>Saisie!X281</f>
        <v>0</v>
      </c>
      <c r="AI281" s="21">
        <f>Saisie!Y281</f>
        <v>0</v>
      </c>
      <c r="AJ281" s="59">
        <f>Saisie!Z281</f>
        <v>0</v>
      </c>
      <c r="AK281" s="20">
        <f>Saisie!AA281</f>
        <v>0</v>
      </c>
      <c r="AL281" s="21">
        <f>Saisie!AB281</f>
        <v>0</v>
      </c>
      <c r="AM281" s="59">
        <f>Saisie!AC281</f>
        <v>0</v>
      </c>
      <c r="AN281" s="20">
        <f>Saisie!AD281</f>
        <v>0</v>
      </c>
      <c r="AO281" s="21">
        <f>Saisie!AE281</f>
        <v>0</v>
      </c>
      <c r="AP281" s="59">
        <f>Saisie!AF281</f>
        <v>0</v>
      </c>
      <c r="AQ281" s="129" t="e">
        <f t="array" ref="AQ281">_xlfn.IFS(Saisie!AG281="OUI",1,Saisie!AG281="NON",0)</f>
        <v>#N/A</v>
      </c>
      <c r="AR281" s="129" t="e">
        <f t="array" ref="AR281">_xlfn.IFS(Saisie!AH281="OUI",1,Saisie!AH281="NON",0)</f>
        <v>#N/A</v>
      </c>
      <c r="AS281" s="171">
        <f>Saisie!AI281</f>
        <v>0</v>
      </c>
      <c r="AT281" s="263" t="e">
        <f t="array" ref="AT281">_xlfn.IFS(Saisie!AJ281="OUI",1,Saisie!AJ281="NON",0)</f>
        <v>#N/A</v>
      </c>
      <c r="AU281" s="173">
        <f>Saisie!AK281</f>
        <v>0</v>
      </c>
      <c r="AV281" s="263" t="e">
        <f t="array" ref="AV281">_xlfn.IFS(Saisie!AL281="OUI",1,Saisie!AL281="NON",0)</f>
        <v>#N/A</v>
      </c>
      <c r="AW281" s="171">
        <f>Saisie!AM281</f>
        <v>0</v>
      </c>
      <c r="AX281" s="68">
        <f>Saisie!AN281</f>
        <v>0</v>
      </c>
      <c r="AY281" s="20">
        <f>Saisie!AO281</f>
        <v>0</v>
      </c>
      <c r="AZ281" s="21">
        <f>Saisie!AP281</f>
        <v>0</v>
      </c>
      <c r="BA281" s="298">
        <f>Saisie!AQ281</f>
        <v>0</v>
      </c>
      <c r="BB281" s="170">
        <f>Saisie!AR281</f>
        <v>0</v>
      </c>
      <c r="BC281" s="174">
        <f>Saisie!AS281</f>
        <v>0</v>
      </c>
      <c r="BD281" s="61">
        <f>Saisie!AT281</f>
        <v>0</v>
      </c>
      <c r="BE281" s="175" t="e">
        <f t="array" ref="BE281">_xlfn.IFS(Saisie!AU281="OUI",1,Saisie!AU281="NON",0)</f>
        <v>#N/A</v>
      </c>
      <c r="BF281" s="267">
        <f>Saisie!AV281</f>
        <v>0</v>
      </c>
      <c r="BG281" s="55">
        <f>Saisie!AW281</f>
        <v>0</v>
      </c>
      <c r="BH281" s="55" t="e">
        <f t="array" ref="BH281">_xlfn.IFS(Saisie!AX281="OUI",1,Saisie!AX281="NON",0)</f>
        <v>#N/A</v>
      </c>
      <c r="BI281" s="62">
        <f>Saisie!AY281</f>
        <v>0</v>
      </c>
      <c r="BJ281" s="55" t="e">
        <f t="array" ref="BJ281">_xlfn.IFS(Saisie!AZ281="OUI",1,Saisie!AZ281="NON",0)</f>
        <v>#N/A</v>
      </c>
      <c r="BK281" s="55" t="e">
        <f t="array" ref="BK281">_xlfn.IFS(Saisie!BA281="OUI",1,Saisie!BA281="NON",0)</f>
        <v>#N/A</v>
      </c>
      <c r="BL281" s="55">
        <f>Saisie!BB281</f>
        <v>0</v>
      </c>
      <c r="BM281" s="49" t="e">
        <f>Saisie!BC281</f>
        <v>#REF!</v>
      </c>
      <c r="BN281" s="175"/>
    </row>
    <row r="282" spans="1:66" s="176" customFormat="1" x14ac:dyDescent="0.45">
      <c r="A282" s="13">
        <v>276</v>
      </c>
      <c r="B282" s="150">
        <f>Saisie!B282</f>
        <v>0</v>
      </c>
      <c r="C282" s="150">
        <f>Saisie!C282</f>
        <v>0</v>
      </c>
      <c r="D282" s="150">
        <f>Saisie!D282</f>
        <v>0</v>
      </c>
      <c r="E282" s="150">
        <f>Saisie!E282</f>
        <v>0</v>
      </c>
      <c r="F282" s="150">
        <f>Saisie!F282</f>
        <v>0</v>
      </c>
      <c r="G282" s="150">
        <f>Saisie!G282</f>
        <v>0</v>
      </c>
      <c r="H282" s="150">
        <f>Saisie!I282</f>
        <v>0</v>
      </c>
      <c r="I282" s="150">
        <f>Saisie!J282</f>
        <v>0</v>
      </c>
      <c r="J282" s="150">
        <f>Saisie!K282</f>
        <v>0</v>
      </c>
      <c r="K282" s="150">
        <f>Saisie!L282</f>
        <v>0</v>
      </c>
      <c r="L282" s="150" t="e">
        <f>Saisie!#REF!</f>
        <v>#REF!</v>
      </c>
      <c r="M282" s="55" t="e">
        <f t="array" ref="M282">_xlfn.IFS(Saisie!M282="OUI",1,Saisie!M282="NON",0)</f>
        <v>#N/A</v>
      </c>
      <c r="N282" s="64" t="e">
        <f>Saisie!#REF!</f>
        <v>#REF!</v>
      </c>
      <c r="O282" s="63" t="e">
        <f>Saisie!#REF!</f>
        <v>#REF!</v>
      </c>
      <c r="P282" s="63">
        <f>Saisie!N282</f>
        <v>0</v>
      </c>
      <c r="Q282" s="63" t="e">
        <f t="array" ref="Q282">_xlfn.IFS(Saisie!#REF!="OUI",1,Saisie!#REF!="NON",0)</f>
        <v>#REF!</v>
      </c>
      <c r="R282" s="63" t="e">
        <f>Saisie!#REF!</f>
        <v>#REF!</v>
      </c>
      <c r="S282" s="65" t="e">
        <f>Saisie!#REF!</f>
        <v>#REF!</v>
      </c>
      <c r="T282" s="63" t="e">
        <f>Saisie!#REF!</f>
        <v>#REF!</v>
      </c>
      <c r="U282" s="63" t="e">
        <f>Saisie!#REF!</f>
        <v>#REF!</v>
      </c>
      <c r="V282" s="63" t="e">
        <f t="array" ref="V282">_xlfn.IFS(Saisie!#REF!="OUI",1,Saisie!#REF!="NON",0)</f>
        <v>#REF!</v>
      </c>
      <c r="W282" s="63" t="e">
        <f t="array" ref="W282">_xlfn.IFS(Saisie!O282="OUI",1,Saisie!O282="NON",0)</f>
        <v>#N/A</v>
      </c>
      <c r="X282" s="63">
        <f>Saisie!P282</f>
        <v>0</v>
      </c>
      <c r="Y282" s="299">
        <f>Saisie!H282</f>
        <v>0</v>
      </c>
      <c r="Z282" s="58" t="e">
        <f>Saisie!#REF!</f>
        <v>#REF!</v>
      </c>
      <c r="AA282" s="299">
        <f>Saisie!Q282</f>
        <v>0</v>
      </c>
      <c r="AB282" s="63" t="e">
        <f t="array" ref="AB282">_xlfn.IFS(Saisie!R282="OUI",1,Saisie!R282="NON",0)</f>
        <v>#N/A</v>
      </c>
      <c r="AC282" s="63">
        <f>Saisie!S282</f>
        <v>0</v>
      </c>
      <c r="AD282" s="63" t="e">
        <f t="array" ref="AD282">_xlfn.IFS(Saisie!T282="OUI",1,Saisie!T282="NON",0)</f>
        <v>#N/A</v>
      </c>
      <c r="AE282" s="171">
        <f>Saisie!U282</f>
        <v>0</v>
      </c>
      <c r="AF282" s="262">
        <v>3</v>
      </c>
      <c r="AG282" s="129">
        <f>Saisie!W282</f>
        <v>0</v>
      </c>
      <c r="AH282" s="20">
        <f>Saisie!X282</f>
        <v>0</v>
      </c>
      <c r="AI282" s="21">
        <f>Saisie!Y282</f>
        <v>0</v>
      </c>
      <c r="AJ282" s="59">
        <f>Saisie!Z282</f>
        <v>0</v>
      </c>
      <c r="AK282" s="20">
        <f>Saisie!AA282</f>
        <v>0</v>
      </c>
      <c r="AL282" s="21">
        <f>Saisie!AB282</f>
        <v>0</v>
      </c>
      <c r="AM282" s="59">
        <f>Saisie!AC282</f>
        <v>0</v>
      </c>
      <c r="AN282" s="20">
        <f>Saisie!AD282</f>
        <v>0</v>
      </c>
      <c r="AO282" s="21">
        <f>Saisie!AE282</f>
        <v>0</v>
      </c>
      <c r="AP282" s="59">
        <f>Saisie!AF282</f>
        <v>0</v>
      </c>
      <c r="AQ282" s="129" t="e">
        <f t="array" ref="AQ282">_xlfn.IFS(Saisie!AG282="OUI",1,Saisie!AG282="NON",0)</f>
        <v>#N/A</v>
      </c>
      <c r="AR282" s="129" t="e">
        <f t="array" ref="AR282">_xlfn.IFS(Saisie!AH282="OUI",1,Saisie!AH282="NON",0)</f>
        <v>#N/A</v>
      </c>
      <c r="AS282" s="171">
        <f>Saisie!AI282</f>
        <v>0</v>
      </c>
      <c r="AT282" s="263" t="e">
        <f t="array" ref="AT282">_xlfn.IFS(Saisie!AJ282="OUI",1,Saisie!AJ282="NON",0)</f>
        <v>#N/A</v>
      </c>
      <c r="AU282" s="173">
        <f>Saisie!AK282</f>
        <v>0</v>
      </c>
      <c r="AV282" s="263" t="e">
        <f t="array" ref="AV282">_xlfn.IFS(Saisie!AL282="OUI",1,Saisie!AL282="NON",0)</f>
        <v>#N/A</v>
      </c>
      <c r="AW282" s="171">
        <f>Saisie!AM282</f>
        <v>0</v>
      </c>
      <c r="AX282" s="68">
        <f>Saisie!AN282</f>
        <v>0</v>
      </c>
      <c r="AY282" s="20">
        <f>Saisie!AO282</f>
        <v>0</v>
      </c>
      <c r="AZ282" s="21">
        <f>Saisie!AP282</f>
        <v>0</v>
      </c>
      <c r="BA282" s="298">
        <f>Saisie!AQ282</f>
        <v>0</v>
      </c>
      <c r="BB282" s="170">
        <f>Saisie!AR282</f>
        <v>0</v>
      </c>
      <c r="BC282" s="174">
        <f>Saisie!AS282</f>
        <v>0</v>
      </c>
      <c r="BD282" s="61">
        <f>Saisie!AT282</f>
        <v>0</v>
      </c>
      <c r="BE282" s="175" t="e">
        <f t="array" ref="BE282">_xlfn.IFS(Saisie!AU282="OUI",1,Saisie!AU282="NON",0)</f>
        <v>#N/A</v>
      </c>
      <c r="BF282" s="267">
        <f>Saisie!AV282</f>
        <v>0</v>
      </c>
      <c r="BG282" s="55">
        <f>Saisie!AW282</f>
        <v>0</v>
      </c>
      <c r="BH282" s="55" t="e">
        <f t="array" ref="BH282">_xlfn.IFS(Saisie!AX282="OUI",1,Saisie!AX282="NON",0)</f>
        <v>#N/A</v>
      </c>
      <c r="BI282" s="62">
        <f>Saisie!AY282</f>
        <v>0</v>
      </c>
      <c r="BJ282" s="55" t="e">
        <f t="array" ref="BJ282">_xlfn.IFS(Saisie!AZ282="OUI",1,Saisie!AZ282="NON",0)</f>
        <v>#N/A</v>
      </c>
      <c r="BK282" s="55" t="e">
        <f t="array" ref="BK282">_xlfn.IFS(Saisie!BA282="OUI",1,Saisie!BA282="NON",0)</f>
        <v>#N/A</v>
      </c>
      <c r="BL282" s="55">
        <f>Saisie!BB282</f>
        <v>0</v>
      </c>
      <c r="BM282" s="49" t="e">
        <f>Saisie!BC282</f>
        <v>#REF!</v>
      </c>
      <c r="BN282" s="175"/>
    </row>
    <row r="283" spans="1:66" s="176" customFormat="1" x14ac:dyDescent="0.45">
      <c r="A283" s="12">
        <v>277</v>
      </c>
      <c r="B283" s="150">
        <f>Saisie!B283</f>
        <v>0</v>
      </c>
      <c r="C283" s="150">
        <f>Saisie!C283</f>
        <v>0</v>
      </c>
      <c r="D283" s="150">
        <f>Saisie!D283</f>
        <v>0</v>
      </c>
      <c r="E283" s="150">
        <f>Saisie!E283</f>
        <v>0</v>
      </c>
      <c r="F283" s="150">
        <f>Saisie!F283</f>
        <v>0</v>
      </c>
      <c r="G283" s="150">
        <f>Saisie!G283</f>
        <v>0</v>
      </c>
      <c r="H283" s="150">
        <f>Saisie!I283</f>
        <v>0</v>
      </c>
      <c r="I283" s="150">
        <f>Saisie!J283</f>
        <v>0</v>
      </c>
      <c r="J283" s="150">
        <f>Saisie!K283</f>
        <v>0</v>
      </c>
      <c r="K283" s="150">
        <f>Saisie!L283</f>
        <v>0</v>
      </c>
      <c r="L283" s="150" t="e">
        <f>Saisie!#REF!</f>
        <v>#REF!</v>
      </c>
      <c r="M283" s="55" t="e">
        <f t="array" ref="M283">_xlfn.IFS(Saisie!M283="OUI",1,Saisie!M283="NON",0)</f>
        <v>#N/A</v>
      </c>
      <c r="N283" s="64" t="e">
        <f>Saisie!#REF!</f>
        <v>#REF!</v>
      </c>
      <c r="O283" s="63" t="e">
        <f>Saisie!#REF!</f>
        <v>#REF!</v>
      </c>
      <c r="P283" s="63">
        <f>Saisie!N283</f>
        <v>0</v>
      </c>
      <c r="Q283" s="63" t="e">
        <f t="array" ref="Q283">_xlfn.IFS(Saisie!#REF!="OUI",1,Saisie!#REF!="NON",0)</f>
        <v>#REF!</v>
      </c>
      <c r="R283" s="63" t="e">
        <f>Saisie!#REF!</f>
        <v>#REF!</v>
      </c>
      <c r="S283" s="65" t="e">
        <f>Saisie!#REF!</f>
        <v>#REF!</v>
      </c>
      <c r="T283" s="63" t="e">
        <f>Saisie!#REF!</f>
        <v>#REF!</v>
      </c>
      <c r="U283" s="63" t="e">
        <f>Saisie!#REF!</f>
        <v>#REF!</v>
      </c>
      <c r="V283" s="63" t="e">
        <f t="array" ref="V283">_xlfn.IFS(Saisie!#REF!="OUI",1,Saisie!#REF!="NON",0)</f>
        <v>#REF!</v>
      </c>
      <c r="W283" s="63" t="e">
        <f t="array" ref="W283">_xlfn.IFS(Saisie!O283="OUI",1,Saisie!O283="NON",0)</f>
        <v>#N/A</v>
      </c>
      <c r="X283" s="63">
        <f>Saisie!P283</f>
        <v>0</v>
      </c>
      <c r="Y283" s="299">
        <f>Saisie!H283</f>
        <v>0</v>
      </c>
      <c r="Z283" s="58" t="e">
        <f>Saisie!#REF!</f>
        <v>#REF!</v>
      </c>
      <c r="AA283" s="299">
        <f>Saisie!Q283</f>
        <v>0</v>
      </c>
      <c r="AB283" s="63" t="e">
        <f t="array" ref="AB283">_xlfn.IFS(Saisie!R283="OUI",1,Saisie!R283="NON",0)</f>
        <v>#N/A</v>
      </c>
      <c r="AC283" s="63">
        <f>Saisie!S283</f>
        <v>0</v>
      </c>
      <c r="AD283" s="63" t="e">
        <f t="array" ref="AD283">_xlfn.IFS(Saisie!T283="OUI",1,Saisie!T283="NON",0)</f>
        <v>#N/A</v>
      </c>
      <c r="AE283" s="171">
        <f>Saisie!U283</f>
        <v>0</v>
      </c>
      <c r="AF283" s="262">
        <v>3</v>
      </c>
      <c r="AG283" s="129">
        <f>Saisie!W283</f>
        <v>0</v>
      </c>
      <c r="AH283" s="20">
        <f>Saisie!X283</f>
        <v>0</v>
      </c>
      <c r="AI283" s="21">
        <f>Saisie!Y283</f>
        <v>0</v>
      </c>
      <c r="AJ283" s="59">
        <f>Saisie!Z283</f>
        <v>0</v>
      </c>
      <c r="AK283" s="20">
        <f>Saisie!AA283</f>
        <v>0</v>
      </c>
      <c r="AL283" s="21">
        <f>Saisie!AB283</f>
        <v>0</v>
      </c>
      <c r="AM283" s="59">
        <f>Saisie!AC283</f>
        <v>0</v>
      </c>
      <c r="AN283" s="20">
        <f>Saisie!AD283</f>
        <v>0</v>
      </c>
      <c r="AO283" s="21">
        <f>Saisie!AE283</f>
        <v>0</v>
      </c>
      <c r="AP283" s="59">
        <f>Saisie!AF283</f>
        <v>0</v>
      </c>
      <c r="AQ283" s="129" t="e">
        <f t="array" ref="AQ283">_xlfn.IFS(Saisie!AG283="OUI",1,Saisie!AG283="NON",0)</f>
        <v>#N/A</v>
      </c>
      <c r="AR283" s="129" t="e">
        <f t="array" ref="AR283">_xlfn.IFS(Saisie!AH283="OUI",1,Saisie!AH283="NON",0)</f>
        <v>#N/A</v>
      </c>
      <c r="AS283" s="171">
        <f>Saisie!AI283</f>
        <v>0</v>
      </c>
      <c r="AT283" s="263" t="e">
        <f t="array" ref="AT283">_xlfn.IFS(Saisie!AJ283="OUI",1,Saisie!AJ283="NON",0)</f>
        <v>#N/A</v>
      </c>
      <c r="AU283" s="173">
        <f>Saisie!AK283</f>
        <v>0</v>
      </c>
      <c r="AV283" s="263" t="e">
        <f t="array" ref="AV283">_xlfn.IFS(Saisie!AL283="OUI",1,Saisie!AL283="NON",0)</f>
        <v>#N/A</v>
      </c>
      <c r="AW283" s="171">
        <f>Saisie!AM283</f>
        <v>0</v>
      </c>
      <c r="AX283" s="68">
        <f>Saisie!AN283</f>
        <v>0</v>
      </c>
      <c r="AY283" s="20">
        <f>Saisie!AO283</f>
        <v>0</v>
      </c>
      <c r="AZ283" s="21">
        <f>Saisie!AP283</f>
        <v>0</v>
      </c>
      <c r="BA283" s="298">
        <f>Saisie!AQ283</f>
        <v>0</v>
      </c>
      <c r="BB283" s="170">
        <f>Saisie!AR283</f>
        <v>0</v>
      </c>
      <c r="BC283" s="174">
        <f>Saisie!AS283</f>
        <v>0</v>
      </c>
      <c r="BD283" s="61">
        <f>Saisie!AT283</f>
        <v>0</v>
      </c>
      <c r="BE283" s="175" t="e">
        <f t="array" ref="BE283">_xlfn.IFS(Saisie!AU283="OUI",1,Saisie!AU283="NON",0)</f>
        <v>#N/A</v>
      </c>
      <c r="BF283" s="267">
        <f>Saisie!AV283</f>
        <v>0</v>
      </c>
      <c r="BG283" s="55">
        <f>Saisie!AW283</f>
        <v>0</v>
      </c>
      <c r="BH283" s="55" t="e">
        <f t="array" ref="BH283">_xlfn.IFS(Saisie!AX283="OUI",1,Saisie!AX283="NON",0)</f>
        <v>#N/A</v>
      </c>
      <c r="BI283" s="62">
        <f>Saisie!AY283</f>
        <v>0</v>
      </c>
      <c r="BJ283" s="55" t="e">
        <f t="array" ref="BJ283">_xlfn.IFS(Saisie!AZ283="OUI",1,Saisie!AZ283="NON",0)</f>
        <v>#N/A</v>
      </c>
      <c r="BK283" s="55" t="e">
        <f t="array" ref="BK283">_xlfn.IFS(Saisie!BA283="OUI",1,Saisie!BA283="NON",0)</f>
        <v>#N/A</v>
      </c>
      <c r="BL283" s="55">
        <f>Saisie!BB283</f>
        <v>0</v>
      </c>
      <c r="BM283" s="49" t="e">
        <f>Saisie!BC283</f>
        <v>#REF!</v>
      </c>
      <c r="BN283" s="175"/>
    </row>
    <row r="284" spans="1:66" s="176" customFormat="1" x14ac:dyDescent="0.45">
      <c r="A284" s="13">
        <v>278</v>
      </c>
      <c r="B284" s="150">
        <f>Saisie!B284</f>
        <v>0</v>
      </c>
      <c r="C284" s="150">
        <f>Saisie!C284</f>
        <v>0</v>
      </c>
      <c r="D284" s="150">
        <f>Saisie!D284</f>
        <v>0</v>
      </c>
      <c r="E284" s="150">
        <f>Saisie!E284</f>
        <v>0</v>
      </c>
      <c r="F284" s="150">
        <f>Saisie!F284</f>
        <v>0</v>
      </c>
      <c r="G284" s="150">
        <f>Saisie!G284</f>
        <v>0</v>
      </c>
      <c r="H284" s="150">
        <f>Saisie!I284</f>
        <v>0</v>
      </c>
      <c r="I284" s="150">
        <f>Saisie!J284</f>
        <v>0</v>
      </c>
      <c r="J284" s="150">
        <f>Saisie!K284</f>
        <v>0</v>
      </c>
      <c r="K284" s="150">
        <f>Saisie!L284</f>
        <v>0</v>
      </c>
      <c r="L284" s="150" t="e">
        <f>Saisie!#REF!</f>
        <v>#REF!</v>
      </c>
      <c r="M284" s="55" t="e">
        <f t="array" ref="M284">_xlfn.IFS(Saisie!M284="OUI",1,Saisie!M284="NON",0)</f>
        <v>#N/A</v>
      </c>
      <c r="N284" s="64" t="e">
        <f>Saisie!#REF!</f>
        <v>#REF!</v>
      </c>
      <c r="O284" s="63" t="e">
        <f>Saisie!#REF!</f>
        <v>#REF!</v>
      </c>
      <c r="P284" s="63">
        <f>Saisie!N284</f>
        <v>0</v>
      </c>
      <c r="Q284" s="63" t="e">
        <f t="array" ref="Q284">_xlfn.IFS(Saisie!#REF!="OUI",1,Saisie!#REF!="NON",0)</f>
        <v>#REF!</v>
      </c>
      <c r="R284" s="63" t="e">
        <f>Saisie!#REF!</f>
        <v>#REF!</v>
      </c>
      <c r="S284" s="65" t="e">
        <f>Saisie!#REF!</f>
        <v>#REF!</v>
      </c>
      <c r="T284" s="63" t="e">
        <f>Saisie!#REF!</f>
        <v>#REF!</v>
      </c>
      <c r="U284" s="63" t="e">
        <f>Saisie!#REF!</f>
        <v>#REF!</v>
      </c>
      <c r="V284" s="63" t="e">
        <f t="array" ref="V284">_xlfn.IFS(Saisie!#REF!="OUI",1,Saisie!#REF!="NON",0)</f>
        <v>#REF!</v>
      </c>
      <c r="W284" s="63" t="e">
        <f t="array" ref="W284">_xlfn.IFS(Saisie!O284="OUI",1,Saisie!O284="NON",0)</f>
        <v>#N/A</v>
      </c>
      <c r="X284" s="63">
        <f>Saisie!P284</f>
        <v>0</v>
      </c>
      <c r="Y284" s="299">
        <f>Saisie!H284</f>
        <v>0</v>
      </c>
      <c r="Z284" s="58" t="e">
        <f>Saisie!#REF!</f>
        <v>#REF!</v>
      </c>
      <c r="AA284" s="299">
        <f>Saisie!Q284</f>
        <v>0</v>
      </c>
      <c r="AB284" s="63" t="e">
        <f t="array" ref="AB284">_xlfn.IFS(Saisie!R284="OUI",1,Saisie!R284="NON",0)</f>
        <v>#N/A</v>
      </c>
      <c r="AC284" s="63">
        <f>Saisie!S284</f>
        <v>0</v>
      </c>
      <c r="AD284" s="63" t="e">
        <f t="array" ref="AD284">_xlfn.IFS(Saisie!T284="OUI",1,Saisie!T284="NON",0)</f>
        <v>#N/A</v>
      </c>
      <c r="AE284" s="171">
        <f>Saisie!U284</f>
        <v>0</v>
      </c>
      <c r="AF284" s="262">
        <v>3</v>
      </c>
      <c r="AG284" s="129">
        <f>Saisie!W284</f>
        <v>0</v>
      </c>
      <c r="AH284" s="20">
        <f>Saisie!X284</f>
        <v>0</v>
      </c>
      <c r="AI284" s="21">
        <f>Saisie!Y284</f>
        <v>0</v>
      </c>
      <c r="AJ284" s="59">
        <f>Saisie!Z284</f>
        <v>0</v>
      </c>
      <c r="AK284" s="20">
        <f>Saisie!AA284</f>
        <v>0</v>
      </c>
      <c r="AL284" s="21">
        <f>Saisie!AB284</f>
        <v>0</v>
      </c>
      <c r="AM284" s="59">
        <f>Saisie!AC284</f>
        <v>0</v>
      </c>
      <c r="AN284" s="20">
        <f>Saisie!AD284</f>
        <v>0</v>
      </c>
      <c r="AO284" s="21">
        <f>Saisie!AE284</f>
        <v>0</v>
      </c>
      <c r="AP284" s="59">
        <f>Saisie!AF284</f>
        <v>0</v>
      </c>
      <c r="AQ284" s="129" t="e">
        <f t="array" ref="AQ284">_xlfn.IFS(Saisie!AG284="OUI",1,Saisie!AG284="NON",0)</f>
        <v>#N/A</v>
      </c>
      <c r="AR284" s="129" t="e">
        <f t="array" ref="AR284">_xlfn.IFS(Saisie!AH284="OUI",1,Saisie!AH284="NON",0)</f>
        <v>#N/A</v>
      </c>
      <c r="AS284" s="171">
        <f>Saisie!AI284</f>
        <v>0</v>
      </c>
      <c r="AT284" s="263" t="e">
        <f t="array" ref="AT284">_xlfn.IFS(Saisie!AJ284="OUI",1,Saisie!AJ284="NON",0)</f>
        <v>#N/A</v>
      </c>
      <c r="AU284" s="173">
        <f>Saisie!AK284</f>
        <v>0</v>
      </c>
      <c r="AV284" s="263" t="e">
        <f t="array" ref="AV284">_xlfn.IFS(Saisie!AL284="OUI",1,Saisie!AL284="NON",0)</f>
        <v>#N/A</v>
      </c>
      <c r="AW284" s="171">
        <f>Saisie!AM284</f>
        <v>0</v>
      </c>
      <c r="AX284" s="68">
        <f>Saisie!AN284</f>
        <v>0</v>
      </c>
      <c r="AY284" s="20">
        <f>Saisie!AO284</f>
        <v>0</v>
      </c>
      <c r="AZ284" s="21">
        <f>Saisie!AP284</f>
        <v>0</v>
      </c>
      <c r="BA284" s="298">
        <f>Saisie!AQ284</f>
        <v>0</v>
      </c>
      <c r="BB284" s="170">
        <f>Saisie!AR284</f>
        <v>0</v>
      </c>
      <c r="BC284" s="174">
        <f>Saisie!AS284</f>
        <v>0</v>
      </c>
      <c r="BD284" s="61">
        <f>Saisie!AT284</f>
        <v>0</v>
      </c>
      <c r="BE284" s="175" t="e">
        <f t="array" ref="BE284">_xlfn.IFS(Saisie!AU284="OUI",1,Saisie!AU284="NON",0)</f>
        <v>#N/A</v>
      </c>
      <c r="BF284" s="267">
        <f>Saisie!AV284</f>
        <v>0</v>
      </c>
      <c r="BG284" s="55">
        <f>Saisie!AW284</f>
        <v>0</v>
      </c>
      <c r="BH284" s="55" t="e">
        <f t="array" ref="BH284">_xlfn.IFS(Saisie!AX284="OUI",1,Saisie!AX284="NON",0)</f>
        <v>#N/A</v>
      </c>
      <c r="BI284" s="62">
        <f>Saisie!AY284</f>
        <v>0</v>
      </c>
      <c r="BJ284" s="55" t="e">
        <f t="array" ref="BJ284">_xlfn.IFS(Saisie!AZ284="OUI",1,Saisie!AZ284="NON",0)</f>
        <v>#N/A</v>
      </c>
      <c r="BK284" s="55" t="e">
        <f t="array" ref="BK284">_xlfn.IFS(Saisie!BA284="OUI",1,Saisie!BA284="NON",0)</f>
        <v>#N/A</v>
      </c>
      <c r="BL284" s="55">
        <f>Saisie!BB284</f>
        <v>0</v>
      </c>
      <c r="BM284" s="49" t="e">
        <f>Saisie!BC284</f>
        <v>#REF!</v>
      </c>
      <c r="BN284" s="175"/>
    </row>
    <row r="285" spans="1:66" s="176" customFormat="1" x14ac:dyDescent="0.45">
      <c r="A285" s="13">
        <v>279</v>
      </c>
      <c r="B285" s="150">
        <f>Saisie!B285</f>
        <v>0</v>
      </c>
      <c r="C285" s="150">
        <f>Saisie!C285</f>
        <v>0</v>
      </c>
      <c r="D285" s="150">
        <f>Saisie!D285</f>
        <v>0</v>
      </c>
      <c r="E285" s="150">
        <f>Saisie!E285</f>
        <v>0</v>
      </c>
      <c r="F285" s="150">
        <f>Saisie!F285</f>
        <v>0</v>
      </c>
      <c r="G285" s="150">
        <f>Saisie!G285</f>
        <v>0</v>
      </c>
      <c r="H285" s="150">
        <f>Saisie!I285</f>
        <v>0</v>
      </c>
      <c r="I285" s="150">
        <f>Saisie!J285</f>
        <v>0</v>
      </c>
      <c r="J285" s="150">
        <f>Saisie!K285</f>
        <v>0</v>
      </c>
      <c r="K285" s="150">
        <f>Saisie!L285</f>
        <v>0</v>
      </c>
      <c r="L285" s="150" t="e">
        <f>Saisie!#REF!</f>
        <v>#REF!</v>
      </c>
      <c r="M285" s="55" t="e">
        <f t="array" ref="M285">_xlfn.IFS(Saisie!M285="OUI",1,Saisie!M285="NON",0)</f>
        <v>#N/A</v>
      </c>
      <c r="N285" s="64" t="e">
        <f>Saisie!#REF!</f>
        <v>#REF!</v>
      </c>
      <c r="O285" s="63" t="e">
        <f>Saisie!#REF!</f>
        <v>#REF!</v>
      </c>
      <c r="P285" s="63">
        <f>Saisie!N285</f>
        <v>0</v>
      </c>
      <c r="Q285" s="63" t="e">
        <f t="array" ref="Q285">_xlfn.IFS(Saisie!#REF!="OUI",1,Saisie!#REF!="NON",0)</f>
        <v>#REF!</v>
      </c>
      <c r="R285" s="63" t="e">
        <f>Saisie!#REF!</f>
        <v>#REF!</v>
      </c>
      <c r="S285" s="65" t="e">
        <f>Saisie!#REF!</f>
        <v>#REF!</v>
      </c>
      <c r="T285" s="63" t="e">
        <f>Saisie!#REF!</f>
        <v>#REF!</v>
      </c>
      <c r="U285" s="63" t="e">
        <f>Saisie!#REF!</f>
        <v>#REF!</v>
      </c>
      <c r="V285" s="63" t="e">
        <f t="array" ref="V285">_xlfn.IFS(Saisie!#REF!="OUI",1,Saisie!#REF!="NON",0)</f>
        <v>#REF!</v>
      </c>
      <c r="W285" s="63" t="e">
        <f t="array" ref="W285">_xlfn.IFS(Saisie!O285="OUI",1,Saisie!O285="NON",0)</f>
        <v>#N/A</v>
      </c>
      <c r="X285" s="63">
        <f>Saisie!P285</f>
        <v>0</v>
      </c>
      <c r="Y285" s="299">
        <f>Saisie!H285</f>
        <v>0</v>
      </c>
      <c r="Z285" s="58" t="e">
        <f>Saisie!#REF!</f>
        <v>#REF!</v>
      </c>
      <c r="AA285" s="299">
        <f>Saisie!Q285</f>
        <v>0</v>
      </c>
      <c r="AB285" s="63" t="e">
        <f t="array" ref="AB285">_xlfn.IFS(Saisie!R285="OUI",1,Saisie!R285="NON",0)</f>
        <v>#N/A</v>
      </c>
      <c r="AC285" s="63">
        <f>Saisie!S285</f>
        <v>0</v>
      </c>
      <c r="AD285" s="63" t="e">
        <f t="array" ref="AD285">_xlfn.IFS(Saisie!T285="OUI",1,Saisie!T285="NON",0)</f>
        <v>#N/A</v>
      </c>
      <c r="AE285" s="171">
        <f>Saisie!U285</f>
        <v>0</v>
      </c>
      <c r="AF285" s="262">
        <v>3</v>
      </c>
      <c r="AG285" s="129">
        <f>Saisie!W285</f>
        <v>0</v>
      </c>
      <c r="AH285" s="20">
        <f>Saisie!X285</f>
        <v>0</v>
      </c>
      <c r="AI285" s="21">
        <f>Saisie!Y285</f>
        <v>0</v>
      </c>
      <c r="AJ285" s="59">
        <f>Saisie!Z285</f>
        <v>0</v>
      </c>
      <c r="AK285" s="20">
        <f>Saisie!AA285</f>
        <v>0</v>
      </c>
      <c r="AL285" s="21">
        <f>Saisie!AB285</f>
        <v>0</v>
      </c>
      <c r="AM285" s="59">
        <f>Saisie!AC285</f>
        <v>0</v>
      </c>
      <c r="AN285" s="20">
        <f>Saisie!AD285</f>
        <v>0</v>
      </c>
      <c r="AO285" s="21">
        <f>Saisie!AE285</f>
        <v>0</v>
      </c>
      <c r="AP285" s="59">
        <f>Saisie!AF285</f>
        <v>0</v>
      </c>
      <c r="AQ285" s="129" t="e">
        <f t="array" ref="AQ285">_xlfn.IFS(Saisie!AG285="OUI",1,Saisie!AG285="NON",0)</f>
        <v>#N/A</v>
      </c>
      <c r="AR285" s="129" t="e">
        <f t="array" ref="AR285">_xlfn.IFS(Saisie!AH285="OUI",1,Saisie!AH285="NON",0)</f>
        <v>#N/A</v>
      </c>
      <c r="AS285" s="171">
        <f>Saisie!AI285</f>
        <v>0</v>
      </c>
      <c r="AT285" s="263" t="e">
        <f t="array" ref="AT285">_xlfn.IFS(Saisie!AJ285="OUI",1,Saisie!AJ285="NON",0)</f>
        <v>#N/A</v>
      </c>
      <c r="AU285" s="173">
        <f>Saisie!AK285</f>
        <v>0</v>
      </c>
      <c r="AV285" s="263" t="e">
        <f t="array" ref="AV285">_xlfn.IFS(Saisie!AL285="OUI",1,Saisie!AL285="NON",0)</f>
        <v>#N/A</v>
      </c>
      <c r="AW285" s="171">
        <f>Saisie!AM285</f>
        <v>0</v>
      </c>
      <c r="AX285" s="68">
        <f>Saisie!AN285</f>
        <v>0</v>
      </c>
      <c r="AY285" s="20">
        <f>Saisie!AO285</f>
        <v>0</v>
      </c>
      <c r="AZ285" s="21">
        <f>Saisie!AP285</f>
        <v>0</v>
      </c>
      <c r="BA285" s="298">
        <f>Saisie!AQ285</f>
        <v>0</v>
      </c>
      <c r="BB285" s="170">
        <f>Saisie!AR285</f>
        <v>0</v>
      </c>
      <c r="BC285" s="174">
        <f>Saisie!AS285</f>
        <v>0</v>
      </c>
      <c r="BD285" s="61">
        <f>Saisie!AT285</f>
        <v>0</v>
      </c>
      <c r="BE285" s="175" t="e">
        <f t="array" ref="BE285">_xlfn.IFS(Saisie!AU285="OUI",1,Saisie!AU285="NON",0)</f>
        <v>#N/A</v>
      </c>
      <c r="BF285" s="267">
        <f>Saisie!AV285</f>
        <v>0</v>
      </c>
      <c r="BG285" s="55">
        <f>Saisie!AW285</f>
        <v>0</v>
      </c>
      <c r="BH285" s="55" t="e">
        <f t="array" ref="BH285">_xlfn.IFS(Saisie!AX285="OUI",1,Saisie!AX285="NON",0)</f>
        <v>#N/A</v>
      </c>
      <c r="BI285" s="62">
        <f>Saisie!AY285</f>
        <v>0</v>
      </c>
      <c r="BJ285" s="55" t="e">
        <f t="array" ref="BJ285">_xlfn.IFS(Saisie!AZ285="OUI",1,Saisie!AZ285="NON",0)</f>
        <v>#N/A</v>
      </c>
      <c r="BK285" s="55" t="e">
        <f t="array" ref="BK285">_xlfn.IFS(Saisie!BA285="OUI",1,Saisie!BA285="NON",0)</f>
        <v>#N/A</v>
      </c>
      <c r="BL285" s="55">
        <f>Saisie!BB285</f>
        <v>0</v>
      </c>
      <c r="BM285" s="49" t="e">
        <f>Saisie!BC285</f>
        <v>#REF!</v>
      </c>
      <c r="BN285" s="175"/>
    </row>
    <row r="286" spans="1:66" s="176" customFormat="1" x14ac:dyDescent="0.45">
      <c r="A286" s="12">
        <v>280</v>
      </c>
      <c r="B286" s="150">
        <f>Saisie!B286</f>
        <v>0</v>
      </c>
      <c r="C286" s="150">
        <f>Saisie!C286</f>
        <v>0</v>
      </c>
      <c r="D286" s="150">
        <f>Saisie!D286</f>
        <v>0</v>
      </c>
      <c r="E286" s="150">
        <f>Saisie!E286</f>
        <v>0</v>
      </c>
      <c r="F286" s="150">
        <f>Saisie!F286</f>
        <v>0</v>
      </c>
      <c r="G286" s="150">
        <f>Saisie!G286</f>
        <v>0</v>
      </c>
      <c r="H286" s="150">
        <f>Saisie!I286</f>
        <v>0</v>
      </c>
      <c r="I286" s="150">
        <f>Saisie!J286</f>
        <v>0</v>
      </c>
      <c r="J286" s="150">
        <f>Saisie!K286</f>
        <v>0</v>
      </c>
      <c r="K286" s="150">
        <f>Saisie!L286</f>
        <v>0</v>
      </c>
      <c r="L286" s="150" t="e">
        <f>Saisie!#REF!</f>
        <v>#REF!</v>
      </c>
      <c r="M286" s="55" t="e">
        <f t="array" ref="M286">_xlfn.IFS(Saisie!M286="OUI",1,Saisie!M286="NON",0)</f>
        <v>#N/A</v>
      </c>
      <c r="N286" s="64" t="e">
        <f>Saisie!#REF!</f>
        <v>#REF!</v>
      </c>
      <c r="O286" s="63" t="e">
        <f>Saisie!#REF!</f>
        <v>#REF!</v>
      </c>
      <c r="P286" s="63">
        <f>Saisie!N286</f>
        <v>0</v>
      </c>
      <c r="Q286" s="63" t="e">
        <f t="array" ref="Q286">_xlfn.IFS(Saisie!#REF!="OUI",1,Saisie!#REF!="NON",0)</f>
        <v>#REF!</v>
      </c>
      <c r="R286" s="63" t="e">
        <f>Saisie!#REF!</f>
        <v>#REF!</v>
      </c>
      <c r="S286" s="65" t="e">
        <f>Saisie!#REF!</f>
        <v>#REF!</v>
      </c>
      <c r="T286" s="63" t="e">
        <f>Saisie!#REF!</f>
        <v>#REF!</v>
      </c>
      <c r="U286" s="63" t="e">
        <f>Saisie!#REF!</f>
        <v>#REF!</v>
      </c>
      <c r="V286" s="63" t="e">
        <f t="array" ref="V286">_xlfn.IFS(Saisie!#REF!="OUI",1,Saisie!#REF!="NON",0)</f>
        <v>#REF!</v>
      </c>
      <c r="W286" s="63" t="e">
        <f t="array" ref="W286">_xlfn.IFS(Saisie!O286="OUI",1,Saisie!O286="NON",0)</f>
        <v>#N/A</v>
      </c>
      <c r="X286" s="63">
        <f>Saisie!P286</f>
        <v>0</v>
      </c>
      <c r="Y286" s="299">
        <f>Saisie!H286</f>
        <v>0</v>
      </c>
      <c r="Z286" s="58" t="e">
        <f>Saisie!#REF!</f>
        <v>#REF!</v>
      </c>
      <c r="AA286" s="299">
        <f>Saisie!Q286</f>
        <v>0</v>
      </c>
      <c r="AB286" s="63" t="e">
        <f t="array" ref="AB286">_xlfn.IFS(Saisie!R286="OUI",1,Saisie!R286="NON",0)</f>
        <v>#N/A</v>
      </c>
      <c r="AC286" s="63">
        <f>Saisie!S286</f>
        <v>0</v>
      </c>
      <c r="AD286" s="63" t="e">
        <f t="array" ref="AD286">_xlfn.IFS(Saisie!T286="OUI",1,Saisie!T286="NON",0)</f>
        <v>#N/A</v>
      </c>
      <c r="AE286" s="171">
        <f>Saisie!U286</f>
        <v>0</v>
      </c>
      <c r="AF286" s="262">
        <v>3</v>
      </c>
      <c r="AG286" s="129">
        <f>Saisie!W286</f>
        <v>0</v>
      </c>
      <c r="AH286" s="20">
        <f>Saisie!X286</f>
        <v>0</v>
      </c>
      <c r="AI286" s="21">
        <f>Saisie!Y286</f>
        <v>0</v>
      </c>
      <c r="AJ286" s="59">
        <f>Saisie!Z286</f>
        <v>0</v>
      </c>
      <c r="AK286" s="20">
        <f>Saisie!AA286</f>
        <v>0</v>
      </c>
      <c r="AL286" s="21">
        <f>Saisie!AB286</f>
        <v>0</v>
      </c>
      <c r="AM286" s="59">
        <f>Saisie!AC286</f>
        <v>0</v>
      </c>
      <c r="AN286" s="20">
        <f>Saisie!AD286</f>
        <v>0</v>
      </c>
      <c r="AO286" s="21">
        <f>Saisie!AE286</f>
        <v>0</v>
      </c>
      <c r="AP286" s="59">
        <f>Saisie!AF286</f>
        <v>0</v>
      </c>
      <c r="AQ286" s="129" t="e">
        <f t="array" ref="AQ286">_xlfn.IFS(Saisie!AG286="OUI",1,Saisie!AG286="NON",0)</f>
        <v>#N/A</v>
      </c>
      <c r="AR286" s="129" t="e">
        <f t="array" ref="AR286">_xlfn.IFS(Saisie!AH286="OUI",1,Saisie!AH286="NON",0)</f>
        <v>#N/A</v>
      </c>
      <c r="AS286" s="171">
        <f>Saisie!AI286</f>
        <v>0</v>
      </c>
      <c r="AT286" s="263" t="e">
        <f t="array" ref="AT286">_xlfn.IFS(Saisie!AJ286="OUI",1,Saisie!AJ286="NON",0)</f>
        <v>#N/A</v>
      </c>
      <c r="AU286" s="173">
        <f>Saisie!AK286</f>
        <v>0</v>
      </c>
      <c r="AV286" s="263" t="e">
        <f t="array" ref="AV286">_xlfn.IFS(Saisie!AL286="OUI",1,Saisie!AL286="NON",0)</f>
        <v>#N/A</v>
      </c>
      <c r="AW286" s="171">
        <f>Saisie!AM286</f>
        <v>0</v>
      </c>
      <c r="AX286" s="68">
        <f>Saisie!AN286</f>
        <v>0</v>
      </c>
      <c r="AY286" s="20">
        <f>Saisie!AO286</f>
        <v>0</v>
      </c>
      <c r="AZ286" s="21">
        <f>Saisie!AP286</f>
        <v>0</v>
      </c>
      <c r="BA286" s="298">
        <f>Saisie!AQ286</f>
        <v>0</v>
      </c>
      <c r="BB286" s="170">
        <f>Saisie!AR286</f>
        <v>0</v>
      </c>
      <c r="BC286" s="174">
        <f>Saisie!AS286</f>
        <v>0</v>
      </c>
      <c r="BD286" s="61">
        <f>Saisie!AT286</f>
        <v>0</v>
      </c>
      <c r="BE286" s="175" t="e">
        <f t="array" ref="BE286">_xlfn.IFS(Saisie!AU286="OUI",1,Saisie!AU286="NON",0)</f>
        <v>#N/A</v>
      </c>
      <c r="BF286" s="267">
        <f>Saisie!AV286</f>
        <v>0</v>
      </c>
      <c r="BG286" s="55">
        <f>Saisie!AW286</f>
        <v>0</v>
      </c>
      <c r="BH286" s="55" t="e">
        <f t="array" ref="BH286">_xlfn.IFS(Saisie!AX286="OUI",1,Saisie!AX286="NON",0)</f>
        <v>#N/A</v>
      </c>
      <c r="BI286" s="62">
        <f>Saisie!AY286</f>
        <v>0</v>
      </c>
      <c r="BJ286" s="55" t="e">
        <f t="array" ref="BJ286">_xlfn.IFS(Saisie!AZ286="OUI",1,Saisie!AZ286="NON",0)</f>
        <v>#N/A</v>
      </c>
      <c r="BK286" s="55" t="e">
        <f t="array" ref="BK286">_xlfn.IFS(Saisie!BA286="OUI",1,Saisie!BA286="NON",0)</f>
        <v>#N/A</v>
      </c>
      <c r="BL286" s="55">
        <f>Saisie!BB286</f>
        <v>0</v>
      </c>
      <c r="BM286" s="49" t="e">
        <f>Saisie!BC286</f>
        <v>#REF!</v>
      </c>
      <c r="BN286" s="175"/>
    </row>
    <row r="287" spans="1:66" s="176" customFormat="1" x14ac:dyDescent="0.45">
      <c r="A287" s="13">
        <v>281</v>
      </c>
      <c r="B287" s="150">
        <f>Saisie!B287</f>
        <v>0</v>
      </c>
      <c r="C287" s="150">
        <f>Saisie!C287</f>
        <v>0</v>
      </c>
      <c r="D287" s="150">
        <f>Saisie!D287</f>
        <v>0</v>
      </c>
      <c r="E287" s="150">
        <f>Saisie!E287</f>
        <v>0</v>
      </c>
      <c r="F287" s="150">
        <f>Saisie!F287</f>
        <v>0</v>
      </c>
      <c r="G287" s="150">
        <f>Saisie!G287</f>
        <v>0</v>
      </c>
      <c r="H287" s="150">
        <f>Saisie!I287</f>
        <v>0</v>
      </c>
      <c r="I287" s="150">
        <f>Saisie!J287</f>
        <v>0</v>
      </c>
      <c r="J287" s="150">
        <f>Saisie!K287</f>
        <v>0</v>
      </c>
      <c r="K287" s="150">
        <f>Saisie!L287</f>
        <v>0</v>
      </c>
      <c r="L287" s="150" t="e">
        <f>Saisie!#REF!</f>
        <v>#REF!</v>
      </c>
      <c r="M287" s="55" t="e">
        <f t="array" ref="M287">_xlfn.IFS(Saisie!M287="OUI",1,Saisie!M287="NON",0)</f>
        <v>#N/A</v>
      </c>
      <c r="N287" s="64" t="e">
        <f>Saisie!#REF!</f>
        <v>#REF!</v>
      </c>
      <c r="O287" s="63" t="e">
        <f>Saisie!#REF!</f>
        <v>#REF!</v>
      </c>
      <c r="P287" s="63">
        <f>Saisie!N287</f>
        <v>0</v>
      </c>
      <c r="Q287" s="63" t="e">
        <f t="array" ref="Q287">_xlfn.IFS(Saisie!#REF!="OUI",1,Saisie!#REF!="NON",0)</f>
        <v>#REF!</v>
      </c>
      <c r="R287" s="63" t="e">
        <f>Saisie!#REF!</f>
        <v>#REF!</v>
      </c>
      <c r="S287" s="65" t="e">
        <f>Saisie!#REF!</f>
        <v>#REF!</v>
      </c>
      <c r="T287" s="63" t="e">
        <f>Saisie!#REF!</f>
        <v>#REF!</v>
      </c>
      <c r="U287" s="63" t="e">
        <f>Saisie!#REF!</f>
        <v>#REF!</v>
      </c>
      <c r="V287" s="63" t="e">
        <f t="array" ref="V287">_xlfn.IFS(Saisie!#REF!="OUI",1,Saisie!#REF!="NON",0)</f>
        <v>#REF!</v>
      </c>
      <c r="W287" s="63" t="e">
        <f t="array" ref="W287">_xlfn.IFS(Saisie!O287="OUI",1,Saisie!O287="NON",0)</f>
        <v>#N/A</v>
      </c>
      <c r="X287" s="63">
        <f>Saisie!P287</f>
        <v>0</v>
      </c>
      <c r="Y287" s="299">
        <f>Saisie!H287</f>
        <v>0</v>
      </c>
      <c r="Z287" s="58" t="e">
        <f>Saisie!#REF!</f>
        <v>#REF!</v>
      </c>
      <c r="AA287" s="299">
        <f>Saisie!Q287</f>
        <v>0</v>
      </c>
      <c r="AB287" s="63" t="e">
        <f t="array" ref="AB287">_xlfn.IFS(Saisie!R287="OUI",1,Saisie!R287="NON",0)</f>
        <v>#N/A</v>
      </c>
      <c r="AC287" s="63">
        <f>Saisie!S287</f>
        <v>0</v>
      </c>
      <c r="AD287" s="63" t="e">
        <f t="array" ref="AD287">_xlfn.IFS(Saisie!T287="OUI",1,Saisie!T287="NON",0)</f>
        <v>#N/A</v>
      </c>
      <c r="AE287" s="171">
        <f>Saisie!U287</f>
        <v>0</v>
      </c>
      <c r="AF287" s="262">
        <v>1</v>
      </c>
      <c r="AG287" s="129">
        <f>Saisie!W287</f>
        <v>0</v>
      </c>
      <c r="AH287" s="20">
        <f>Saisie!X287</f>
        <v>0</v>
      </c>
      <c r="AI287" s="21">
        <f>Saisie!Y287</f>
        <v>0</v>
      </c>
      <c r="AJ287" s="59">
        <f>Saisie!Z287</f>
        <v>0</v>
      </c>
      <c r="AK287" s="20">
        <f>Saisie!AA287</f>
        <v>0</v>
      </c>
      <c r="AL287" s="21">
        <f>Saisie!AB287</f>
        <v>0</v>
      </c>
      <c r="AM287" s="59">
        <f>Saisie!AC287</f>
        <v>0</v>
      </c>
      <c r="AN287" s="20">
        <f>Saisie!AD287</f>
        <v>0</v>
      </c>
      <c r="AO287" s="21">
        <f>Saisie!AE287</f>
        <v>0</v>
      </c>
      <c r="AP287" s="59">
        <f>Saisie!AF287</f>
        <v>0</v>
      </c>
      <c r="AQ287" s="129" t="e">
        <f t="array" ref="AQ287">_xlfn.IFS(Saisie!AG287="OUI",1,Saisie!AG287="NON",0)</f>
        <v>#N/A</v>
      </c>
      <c r="AR287" s="129" t="e">
        <f t="array" ref="AR287">_xlfn.IFS(Saisie!AH287="OUI",1,Saisie!AH287="NON",0)</f>
        <v>#N/A</v>
      </c>
      <c r="AS287" s="171">
        <f>Saisie!AI287</f>
        <v>0</v>
      </c>
      <c r="AT287" s="263" t="e">
        <f t="array" ref="AT287">_xlfn.IFS(Saisie!AJ287="OUI",1,Saisie!AJ287="NON",0)</f>
        <v>#N/A</v>
      </c>
      <c r="AU287" s="173">
        <f>Saisie!AK287</f>
        <v>0</v>
      </c>
      <c r="AV287" s="263" t="e">
        <f t="array" ref="AV287">_xlfn.IFS(Saisie!AL287="OUI",1,Saisie!AL287="NON",0)</f>
        <v>#N/A</v>
      </c>
      <c r="AW287" s="171">
        <f>Saisie!AM287</f>
        <v>0</v>
      </c>
      <c r="AX287" s="68">
        <f>Saisie!AN287</f>
        <v>0</v>
      </c>
      <c r="AY287" s="20">
        <f>Saisie!AO287</f>
        <v>0</v>
      </c>
      <c r="AZ287" s="21">
        <f>Saisie!AP287</f>
        <v>0</v>
      </c>
      <c r="BA287" s="298">
        <f>Saisie!AQ287</f>
        <v>0</v>
      </c>
      <c r="BB287" s="170">
        <f>Saisie!AR287</f>
        <v>0</v>
      </c>
      <c r="BC287" s="174">
        <f>Saisie!AS287</f>
        <v>0</v>
      </c>
      <c r="BD287" s="61">
        <f>Saisie!AT287</f>
        <v>0</v>
      </c>
      <c r="BE287" s="175" t="e">
        <f t="array" ref="BE287">_xlfn.IFS(Saisie!AU287="OUI",1,Saisie!AU287="NON",0)</f>
        <v>#N/A</v>
      </c>
      <c r="BF287" s="267">
        <f>Saisie!AV287</f>
        <v>0</v>
      </c>
      <c r="BG287" s="55">
        <f>Saisie!AW287</f>
        <v>0</v>
      </c>
      <c r="BH287" s="55" t="e">
        <f t="array" ref="BH287">_xlfn.IFS(Saisie!AX287="OUI",1,Saisie!AX287="NON",0)</f>
        <v>#N/A</v>
      </c>
      <c r="BI287" s="62">
        <f>Saisie!AY287</f>
        <v>0</v>
      </c>
      <c r="BJ287" s="55" t="e">
        <f t="array" ref="BJ287">_xlfn.IFS(Saisie!AZ287="OUI",1,Saisie!AZ287="NON",0)</f>
        <v>#N/A</v>
      </c>
      <c r="BK287" s="55" t="e">
        <f t="array" ref="BK287">_xlfn.IFS(Saisie!BA287="OUI",1,Saisie!BA287="NON",0)</f>
        <v>#N/A</v>
      </c>
      <c r="BL287" s="55">
        <f>Saisie!BB287</f>
        <v>0</v>
      </c>
      <c r="BM287" s="49" t="e">
        <f>Saisie!BC287</f>
        <v>#REF!</v>
      </c>
      <c r="BN287" s="175"/>
    </row>
    <row r="288" spans="1:66" s="176" customFormat="1" x14ac:dyDescent="0.45">
      <c r="A288" s="13">
        <v>282</v>
      </c>
      <c r="B288" s="150">
        <f>Saisie!B288</f>
        <v>0</v>
      </c>
      <c r="C288" s="150">
        <f>Saisie!C288</f>
        <v>0</v>
      </c>
      <c r="D288" s="150">
        <f>Saisie!D288</f>
        <v>0</v>
      </c>
      <c r="E288" s="150">
        <f>Saisie!E288</f>
        <v>0</v>
      </c>
      <c r="F288" s="150">
        <f>Saisie!F288</f>
        <v>0</v>
      </c>
      <c r="G288" s="150">
        <f>Saisie!G288</f>
        <v>0</v>
      </c>
      <c r="H288" s="150">
        <f>Saisie!I288</f>
        <v>0</v>
      </c>
      <c r="I288" s="150">
        <f>Saisie!J288</f>
        <v>0</v>
      </c>
      <c r="J288" s="150">
        <f>Saisie!K288</f>
        <v>0</v>
      </c>
      <c r="K288" s="150">
        <f>Saisie!L288</f>
        <v>0</v>
      </c>
      <c r="L288" s="150" t="e">
        <f>Saisie!#REF!</f>
        <v>#REF!</v>
      </c>
      <c r="M288" s="55" t="e">
        <f t="array" ref="M288">_xlfn.IFS(Saisie!M288="OUI",1,Saisie!M288="NON",0)</f>
        <v>#N/A</v>
      </c>
      <c r="N288" s="64" t="e">
        <f>Saisie!#REF!</f>
        <v>#REF!</v>
      </c>
      <c r="O288" s="63" t="e">
        <f>Saisie!#REF!</f>
        <v>#REF!</v>
      </c>
      <c r="P288" s="63">
        <f>Saisie!N288</f>
        <v>0</v>
      </c>
      <c r="Q288" s="63" t="e">
        <f t="array" ref="Q288">_xlfn.IFS(Saisie!#REF!="OUI",1,Saisie!#REF!="NON",0)</f>
        <v>#REF!</v>
      </c>
      <c r="R288" s="63" t="e">
        <f>Saisie!#REF!</f>
        <v>#REF!</v>
      </c>
      <c r="S288" s="65" t="e">
        <f>Saisie!#REF!</f>
        <v>#REF!</v>
      </c>
      <c r="T288" s="63" t="e">
        <f>Saisie!#REF!</f>
        <v>#REF!</v>
      </c>
      <c r="U288" s="63" t="e">
        <f>Saisie!#REF!</f>
        <v>#REF!</v>
      </c>
      <c r="V288" s="63" t="e">
        <f t="array" ref="V288">_xlfn.IFS(Saisie!#REF!="OUI",1,Saisie!#REF!="NON",0)</f>
        <v>#REF!</v>
      </c>
      <c r="W288" s="63" t="e">
        <f t="array" ref="W288">_xlfn.IFS(Saisie!O288="OUI",1,Saisie!O288="NON",0)</f>
        <v>#N/A</v>
      </c>
      <c r="X288" s="63">
        <f>Saisie!P288</f>
        <v>0</v>
      </c>
      <c r="Y288" s="299">
        <f>Saisie!H288</f>
        <v>0</v>
      </c>
      <c r="Z288" s="58" t="e">
        <f>Saisie!#REF!</f>
        <v>#REF!</v>
      </c>
      <c r="AA288" s="299">
        <f>Saisie!Q288</f>
        <v>0</v>
      </c>
      <c r="AB288" s="63" t="e">
        <f t="array" ref="AB288">_xlfn.IFS(Saisie!R288="OUI",1,Saisie!R288="NON",0)</f>
        <v>#N/A</v>
      </c>
      <c r="AC288" s="63">
        <f>Saisie!S288</f>
        <v>0</v>
      </c>
      <c r="AD288" s="63" t="e">
        <f t="array" ref="AD288">_xlfn.IFS(Saisie!T288="OUI",1,Saisie!T288="NON",0)</f>
        <v>#N/A</v>
      </c>
      <c r="AE288" s="171">
        <f>Saisie!U288</f>
        <v>0</v>
      </c>
      <c r="AF288" s="262">
        <v>1</v>
      </c>
      <c r="AG288" s="129">
        <f>Saisie!W288</f>
        <v>0</v>
      </c>
      <c r="AH288" s="20">
        <f>Saisie!X288</f>
        <v>0</v>
      </c>
      <c r="AI288" s="21">
        <f>Saisie!Y288</f>
        <v>0</v>
      </c>
      <c r="AJ288" s="59">
        <f>Saisie!Z288</f>
        <v>0</v>
      </c>
      <c r="AK288" s="20">
        <f>Saisie!AA288</f>
        <v>0</v>
      </c>
      <c r="AL288" s="21">
        <f>Saisie!AB288</f>
        <v>0</v>
      </c>
      <c r="AM288" s="59">
        <f>Saisie!AC288</f>
        <v>0</v>
      </c>
      <c r="AN288" s="20">
        <f>Saisie!AD288</f>
        <v>0</v>
      </c>
      <c r="AO288" s="21">
        <f>Saisie!AE288</f>
        <v>0</v>
      </c>
      <c r="AP288" s="59">
        <f>Saisie!AF288</f>
        <v>0</v>
      </c>
      <c r="AQ288" s="129" t="e">
        <f t="array" ref="AQ288">_xlfn.IFS(Saisie!AG288="OUI",1,Saisie!AG288="NON",0)</f>
        <v>#N/A</v>
      </c>
      <c r="AR288" s="129" t="e">
        <f t="array" ref="AR288">_xlfn.IFS(Saisie!AH288="OUI",1,Saisie!AH288="NON",0)</f>
        <v>#N/A</v>
      </c>
      <c r="AS288" s="171">
        <f>Saisie!AI288</f>
        <v>0</v>
      </c>
      <c r="AT288" s="263" t="e">
        <f t="array" ref="AT288">_xlfn.IFS(Saisie!AJ288="OUI",1,Saisie!AJ288="NON",0)</f>
        <v>#N/A</v>
      </c>
      <c r="AU288" s="173">
        <f>Saisie!AK288</f>
        <v>0</v>
      </c>
      <c r="AV288" s="263" t="e">
        <f t="array" ref="AV288">_xlfn.IFS(Saisie!AL288="OUI",1,Saisie!AL288="NON",0)</f>
        <v>#N/A</v>
      </c>
      <c r="AW288" s="171">
        <f>Saisie!AM288</f>
        <v>0</v>
      </c>
      <c r="AX288" s="68">
        <f>Saisie!AN288</f>
        <v>0</v>
      </c>
      <c r="AY288" s="20">
        <f>Saisie!AO288</f>
        <v>0</v>
      </c>
      <c r="AZ288" s="21">
        <f>Saisie!AP288</f>
        <v>0</v>
      </c>
      <c r="BA288" s="298">
        <f>Saisie!AQ288</f>
        <v>0</v>
      </c>
      <c r="BB288" s="170">
        <f>Saisie!AR288</f>
        <v>0</v>
      </c>
      <c r="BC288" s="174">
        <f>Saisie!AS288</f>
        <v>0</v>
      </c>
      <c r="BD288" s="61">
        <f>Saisie!AT288</f>
        <v>0</v>
      </c>
      <c r="BE288" s="175" t="e">
        <f t="array" ref="BE288">_xlfn.IFS(Saisie!AU288="OUI",1,Saisie!AU288="NON",0)</f>
        <v>#N/A</v>
      </c>
      <c r="BF288" s="267">
        <f>Saisie!AV288</f>
        <v>0</v>
      </c>
      <c r="BG288" s="55">
        <f>Saisie!AW288</f>
        <v>0</v>
      </c>
      <c r="BH288" s="55" t="e">
        <f t="array" ref="BH288">_xlfn.IFS(Saisie!AX288="OUI",1,Saisie!AX288="NON",0)</f>
        <v>#N/A</v>
      </c>
      <c r="BI288" s="62">
        <f>Saisie!AY288</f>
        <v>0</v>
      </c>
      <c r="BJ288" s="55" t="e">
        <f t="array" ref="BJ288">_xlfn.IFS(Saisie!AZ288="OUI",1,Saisie!AZ288="NON",0)</f>
        <v>#N/A</v>
      </c>
      <c r="BK288" s="55" t="e">
        <f t="array" ref="BK288">_xlfn.IFS(Saisie!BA288="OUI",1,Saisie!BA288="NON",0)</f>
        <v>#N/A</v>
      </c>
      <c r="BL288" s="55">
        <f>Saisie!BB288</f>
        <v>0</v>
      </c>
      <c r="BM288" s="49" t="e">
        <f>Saisie!BC288</f>
        <v>#REF!</v>
      </c>
      <c r="BN288" s="175"/>
    </row>
    <row r="289" spans="1:66" s="176" customFormat="1" x14ac:dyDescent="0.45">
      <c r="A289" s="12">
        <v>283</v>
      </c>
      <c r="B289" s="150">
        <f>Saisie!B289</f>
        <v>0</v>
      </c>
      <c r="C289" s="150">
        <f>Saisie!C289</f>
        <v>0</v>
      </c>
      <c r="D289" s="150">
        <f>Saisie!D289</f>
        <v>0</v>
      </c>
      <c r="E289" s="150">
        <f>Saisie!E289</f>
        <v>0</v>
      </c>
      <c r="F289" s="150">
        <f>Saisie!F289</f>
        <v>0</v>
      </c>
      <c r="G289" s="150">
        <f>Saisie!G289</f>
        <v>0</v>
      </c>
      <c r="H289" s="150">
        <f>Saisie!I289</f>
        <v>0</v>
      </c>
      <c r="I289" s="150">
        <f>Saisie!J289</f>
        <v>0</v>
      </c>
      <c r="J289" s="150">
        <f>Saisie!K289</f>
        <v>0</v>
      </c>
      <c r="K289" s="150">
        <f>Saisie!L289</f>
        <v>0</v>
      </c>
      <c r="L289" s="150" t="e">
        <f>Saisie!#REF!</f>
        <v>#REF!</v>
      </c>
      <c r="M289" s="55" t="e">
        <f t="array" ref="M289">_xlfn.IFS(Saisie!M289="OUI",1,Saisie!M289="NON",0)</f>
        <v>#N/A</v>
      </c>
      <c r="N289" s="64" t="e">
        <f>Saisie!#REF!</f>
        <v>#REF!</v>
      </c>
      <c r="O289" s="63" t="e">
        <f>Saisie!#REF!</f>
        <v>#REF!</v>
      </c>
      <c r="P289" s="63">
        <f>Saisie!N289</f>
        <v>0</v>
      </c>
      <c r="Q289" s="63" t="e">
        <f t="array" ref="Q289">_xlfn.IFS(Saisie!#REF!="OUI",1,Saisie!#REF!="NON",0)</f>
        <v>#REF!</v>
      </c>
      <c r="R289" s="63" t="e">
        <f>Saisie!#REF!</f>
        <v>#REF!</v>
      </c>
      <c r="S289" s="65" t="e">
        <f>Saisie!#REF!</f>
        <v>#REF!</v>
      </c>
      <c r="T289" s="63" t="e">
        <f>Saisie!#REF!</f>
        <v>#REF!</v>
      </c>
      <c r="U289" s="63" t="e">
        <f>Saisie!#REF!</f>
        <v>#REF!</v>
      </c>
      <c r="V289" s="63" t="e">
        <f t="array" ref="V289">_xlfn.IFS(Saisie!#REF!="OUI",1,Saisie!#REF!="NON",0)</f>
        <v>#REF!</v>
      </c>
      <c r="W289" s="63" t="e">
        <f t="array" ref="W289">_xlfn.IFS(Saisie!O289="OUI",1,Saisie!O289="NON",0)</f>
        <v>#N/A</v>
      </c>
      <c r="X289" s="63">
        <f>Saisie!P289</f>
        <v>0</v>
      </c>
      <c r="Y289" s="299">
        <f>Saisie!H289</f>
        <v>0</v>
      </c>
      <c r="Z289" s="58" t="e">
        <f>Saisie!#REF!</f>
        <v>#REF!</v>
      </c>
      <c r="AA289" s="299">
        <f>Saisie!Q289</f>
        <v>0</v>
      </c>
      <c r="AB289" s="63" t="e">
        <f t="array" ref="AB289">_xlfn.IFS(Saisie!R289="OUI",1,Saisie!R289="NON",0)</f>
        <v>#N/A</v>
      </c>
      <c r="AC289" s="63">
        <f>Saisie!S289</f>
        <v>0</v>
      </c>
      <c r="AD289" s="63" t="e">
        <f t="array" ref="AD289">_xlfn.IFS(Saisie!T289="OUI",1,Saisie!T289="NON",0)</f>
        <v>#N/A</v>
      </c>
      <c r="AE289" s="171">
        <f>Saisie!U289</f>
        <v>0</v>
      </c>
      <c r="AF289" s="262">
        <v>3</v>
      </c>
      <c r="AG289" s="129">
        <f>Saisie!W289</f>
        <v>0</v>
      </c>
      <c r="AH289" s="20">
        <f>Saisie!X289</f>
        <v>0</v>
      </c>
      <c r="AI289" s="21">
        <f>Saisie!Y289</f>
        <v>0</v>
      </c>
      <c r="AJ289" s="59">
        <f>Saisie!Z289</f>
        <v>0</v>
      </c>
      <c r="AK289" s="20">
        <f>Saisie!AA289</f>
        <v>0</v>
      </c>
      <c r="AL289" s="21">
        <f>Saisie!AB289</f>
        <v>0</v>
      </c>
      <c r="AM289" s="59">
        <f>Saisie!AC289</f>
        <v>0</v>
      </c>
      <c r="AN289" s="20">
        <f>Saisie!AD289</f>
        <v>0</v>
      </c>
      <c r="AO289" s="21">
        <f>Saisie!AE289</f>
        <v>0</v>
      </c>
      <c r="AP289" s="59">
        <f>Saisie!AF289</f>
        <v>0</v>
      </c>
      <c r="AQ289" s="129" t="e">
        <f t="array" ref="AQ289">_xlfn.IFS(Saisie!AG289="OUI",1,Saisie!AG289="NON",0)</f>
        <v>#N/A</v>
      </c>
      <c r="AR289" s="129" t="e">
        <f t="array" ref="AR289">_xlfn.IFS(Saisie!AH289="OUI",1,Saisie!AH289="NON",0)</f>
        <v>#N/A</v>
      </c>
      <c r="AS289" s="171">
        <f>Saisie!AI289</f>
        <v>0</v>
      </c>
      <c r="AT289" s="263" t="e">
        <f t="array" ref="AT289">_xlfn.IFS(Saisie!AJ289="OUI",1,Saisie!AJ289="NON",0)</f>
        <v>#N/A</v>
      </c>
      <c r="AU289" s="173">
        <f>Saisie!AK289</f>
        <v>0</v>
      </c>
      <c r="AV289" s="263" t="e">
        <f t="array" ref="AV289">_xlfn.IFS(Saisie!AL289="OUI",1,Saisie!AL289="NON",0)</f>
        <v>#N/A</v>
      </c>
      <c r="AW289" s="171">
        <f>Saisie!AM289</f>
        <v>0</v>
      </c>
      <c r="AX289" s="68">
        <f>Saisie!AN289</f>
        <v>0</v>
      </c>
      <c r="AY289" s="20">
        <f>Saisie!AO289</f>
        <v>0</v>
      </c>
      <c r="AZ289" s="21">
        <f>Saisie!AP289</f>
        <v>0</v>
      </c>
      <c r="BA289" s="298">
        <f>Saisie!AQ289</f>
        <v>0</v>
      </c>
      <c r="BB289" s="170">
        <f>Saisie!AR289</f>
        <v>0</v>
      </c>
      <c r="BC289" s="174">
        <f>Saisie!AS289</f>
        <v>0</v>
      </c>
      <c r="BD289" s="61">
        <f>Saisie!AT289</f>
        <v>0</v>
      </c>
      <c r="BE289" s="175" t="e">
        <f t="array" ref="BE289">_xlfn.IFS(Saisie!AU289="OUI",1,Saisie!AU289="NON",0)</f>
        <v>#N/A</v>
      </c>
      <c r="BF289" s="267">
        <f>Saisie!AV289</f>
        <v>0</v>
      </c>
      <c r="BG289" s="55">
        <f>Saisie!AW289</f>
        <v>0</v>
      </c>
      <c r="BH289" s="55" t="e">
        <f t="array" ref="BH289">_xlfn.IFS(Saisie!AX289="OUI",1,Saisie!AX289="NON",0)</f>
        <v>#N/A</v>
      </c>
      <c r="BI289" s="62">
        <f>Saisie!AY289</f>
        <v>0</v>
      </c>
      <c r="BJ289" s="55" t="e">
        <f t="array" ref="BJ289">_xlfn.IFS(Saisie!AZ289="OUI",1,Saisie!AZ289="NON",0)</f>
        <v>#N/A</v>
      </c>
      <c r="BK289" s="55" t="e">
        <f t="array" ref="BK289">_xlfn.IFS(Saisie!BA289="OUI",1,Saisie!BA289="NON",0)</f>
        <v>#N/A</v>
      </c>
      <c r="BL289" s="55">
        <f>Saisie!BB289</f>
        <v>0</v>
      </c>
      <c r="BM289" s="49" t="e">
        <f>Saisie!BC289</f>
        <v>#REF!</v>
      </c>
      <c r="BN289" s="175"/>
    </row>
    <row r="290" spans="1:66" s="176" customFormat="1" x14ac:dyDescent="0.45">
      <c r="A290" s="13">
        <v>284</v>
      </c>
      <c r="B290" s="150">
        <f>Saisie!B290</f>
        <v>0</v>
      </c>
      <c r="C290" s="150">
        <f>Saisie!C290</f>
        <v>0</v>
      </c>
      <c r="D290" s="150">
        <f>Saisie!D290</f>
        <v>0</v>
      </c>
      <c r="E290" s="150">
        <f>Saisie!E290</f>
        <v>0</v>
      </c>
      <c r="F290" s="150">
        <f>Saisie!F290</f>
        <v>0</v>
      </c>
      <c r="G290" s="150">
        <f>Saisie!G290</f>
        <v>0</v>
      </c>
      <c r="H290" s="150">
        <f>Saisie!I290</f>
        <v>0</v>
      </c>
      <c r="I290" s="150">
        <f>Saisie!J290</f>
        <v>0</v>
      </c>
      <c r="J290" s="150">
        <f>Saisie!K290</f>
        <v>0</v>
      </c>
      <c r="K290" s="150">
        <f>Saisie!L290</f>
        <v>0</v>
      </c>
      <c r="L290" s="150" t="e">
        <f>Saisie!#REF!</f>
        <v>#REF!</v>
      </c>
      <c r="M290" s="55" t="e">
        <f t="array" ref="M290">_xlfn.IFS(Saisie!M290="OUI",1,Saisie!M290="NON",0)</f>
        <v>#N/A</v>
      </c>
      <c r="N290" s="64" t="e">
        <f>Saisie!#REF!</f>
        <v>#REF!</v>
      </c>
      <c r="O290" s="63" t="e">
        <f>Saisie!#REF!</f>
        <v>#REF!</v>
      </c>
      <c r="P290" s="63">
        <f>Saisie!N290</f>
        <v>0</v>
      </c>
      <c r="Q290" s="63" t="e">
        <f t="array" ref="Q290">_xlfn.IFS(Saisie!#REF!="OUI",1,Saisie!#REF!="NON",0)</f>
        <v>#REF!</v>
      </c>
      <c r="R290" s="63" t="e">
        <f>Saisie!#REF!</f>
        <v>#REF!</v>
      </c>
      <c r="S290" s="65" t="e">
        <f>Saisie!#REF!</f>
        <v>#REF!</v>
      </c>
      <c r="T290" s="63" t="e">
        <f>Saisie!#REF!</f>
        <v>#REF!</v>
      </c>
      <c r="U290" s="63" t="e">
        <f>Saisie!#REF!</f>
        <v>#REF!</v>
      </c>
      <c r="V290" s="63" t="e">
        <f t="array" ref="V290">_xlfn.IFS(Saisie!#REF!="OUI",1,Saisie!#REF!="NON",0)</f>
        <v>#REF!</v>
      </c>
      <c r="W290" s="63" t="e">
        <f t="array" ref="W290">_xlfn.IFS(Saisie!O290="OUI",1,Saisie!O290="NON",0)</f>
        <v>#N/A</v>
      </c>
      <c r="X290" s="63">
        <f>Saisie!P290</f>
        <v>0</v>
      </c>
      <c r="Y290" s="299">
        <f>Saisie!H290</f>
        <v>0</v>
      </c>
      <c r="Z290" s="58" t="e">
        <f>Saisie!#REF!</f>
        <v>#REF!</v>
      </c>
      <c r="AA290" s="299">
        <f>Saisie!Q290</f>
        <v>0</v>
      </c>
      <c r="AB290" s="63" t="e">
        <f t="array" ref="AB290">_xlfn.IFS(Saisie!R290="OUI",1,Saisie!R290="NON",0)</f>
        <v>#N/A</v>
      </c>
      <c r="AC290" s="63">
        <f>Saisie!S290</f>
        <v>0</v>
      </c>
      <c r="AD290" s="63" t="e">
        <f t="array" ref="AD290">_xlfn.IFS(Saisie!T290="OUI",1,Saisie!T290="NON",0)</f>
        <v>#N/A</v>
      </c>
      <c r="AE290" s="171">
        <f>Saisie!U290</f>
        <v>0</v>
      </c>
      <c r="AF290" s="262">
        <v>3</v>
      </c>
      <c r="AG290" s="129">
        <f>Saisie!W290</f>
        <v>0</v>
      </c>
      <c r="AH290" s="20">
        <f>Saisie!X290</f>
        <v>0</v>
      </c>
      <c r="AI290" s="21">
        <f>Saisie!Y290</f>
        <v>0</v>
      </c>
      <c r="AJ290" s="59">
        <f>Saisie!Z290</f>
        <v>0</v>
      </c>
      <c r="AK290" s="20">
        <f>Saisie!AA290</f>
        <v>0</v>
      </c>
      <c r="AL290" s="21">
        <f>Saisie!AB290</f>
        <v>0</v>
      </c>
      <c r="AM290" s="59">
        <f>Saisie!AC290</f>
        <v>0</v>
      </c>
      <c r="AN290" s="20">
        <f>Saisie!AD290</f>
        <v>0</v>
      </c>
      <c r="AO290" s="21">
        <f>Saisie!AE290</f>
        <v>0</v>
      </c>
      <c r="AP290" s="59">
        <f>Saisie!AF290</f>
        <v>0</v>
      </c>
      <c r="AQ290" s="129" t="e">
        <f t="array" ref="AQ290">_xlfn.IFS(Saisie!AG290="OUI",1,Saisie!AG290="NON",0)</f>
        <v>#N/A</v>
      </c>
      <c r="AR290" s="129" t="e">
        <f t="array" ref="AR290">_xlfn.IFS(Saisie!AH290="OUI",1,Saisie!AH290="NON",0)</f>
        <v>#N/A</v>
      </c>
      <c r="AS290" s="171">
        <f>Saisie!AI290</f>
        <v>0</v>
      </c>
      <c r="AT290" s="263" t="e">
        <f t="array" ref="AT290">_xlfn.IFS(Saisie!AJ290="OUI",1,Saisie!AJ290="NON",0)</f>
        <v>#N/A</v>
      </c>
      <c r="AU290" s="173">
        <f>Saisie!AK290</f>
        <v>0</v>
      </c>
      <c r="AV290" s="263" t="e">
        <f t="array" ref="AV290">_xlfn.IFS(Saisie!AL290="OUI",1,Saisie!AL290="NON",0)</f>
        <v>#N/A</v>
      </c>
      <c r="AW290" s="171">
        <f>Saisie!AM290</f>
        <v>0</v>
      </c>
      <c r="AX290" s="68">
        <f>Saisie!AN290</f>
        <v>0</v>
      </c>
      <c r="AY290" s="20">
        <f>Saisie!AO290</f>
        <v>0</v>
      </c>
      <c r="AZ290" s="21">
        <f>Saisie!AP290</f>
        <v>0</v>
      </c>
      <c r="BA290" s="298">
        <f>Saisie!AQ290</f>
        <v>0</v>
      </c>
      <c r="BB290" s="170">
        <f>Saisie!AR290</f>
        <v>0</v>
      </c>
      <c r="BC290" s="174">
        <f>Saisie!AS290</f>
        <v>0</v>
      </c>
      <c r="BD290" s="61">
        <f>Saisie!AT290</f>
        <v>0</v>
      </c>
      <c r="BE290" s="175" t="e">
        <f t="array" ref="BE290">_xlfn.IFS(Saisie!AU290="OUI",1,Saisie!AU290="NON",0)</f>
        <v>#N/A</v>
      </c>
      <c r="BF290" s="267">
        <f>Saisie!AV290</f>
        <v>0</v>
      </c>
      <c r="BG290" s="55">
        <f>Saisie!AW290</f>
        <v>0</v>
      </c>
      <c r="BH290" s="55" t="e">
        <f t="array" ref="BH290">_xlfn.IFS(Saisie!AX290="OUI",1,Saisie!AX290="NON",0)</f>
        <v>#N/A</v>
      </c>
      <c r="BI290" s="62">
        <f>Saisie!AY290</f>
        <v>0</v>
      </c>
      <c r="BJ290" s="55" t="e">
        <f t="array" ref="BJ290">_xlfn.IFS(Saisie!AZ290="OUI",1,Saisie!AZ290="NON",0)</f>
        <v>#N/A</v>
      </c>
      <c r="BK290" s="55" t="e">
        <f t="array" ref="BK290">_xlfn.IFS(Saisie!BA290="OUI",1,Saisie!BA290="NON",0)</f>
        <v>#N/A</v>
      </c>
      <c r="BL290" s="55">
        <f>Saisie!BB290</f>
        <v>0</v>
      </c>
      <c r="BM290" s="49" t="e">
        <f>Saisie!BC290</f>
        <v>#REF!</v>
      </c>
      <c r="BN290" s="175"/>
    </row>
    <row r="291" spans="1:66" s="176" customFormat="1" x14ac:dyDescent="0.45">
      <c r="A291" s="13">
        <v>285</v>
      </c>
      <c r="B291" s="150">
        <f>Saisie!B291</f>
        <v>0</v>
      </c>
      <c r="C291" s="150">
        <f>Saisie!C291</f>
        <v>0</v>
      </c>
      <c r="D291" s="150">
        <f>Saisie!D291</f>
        <v>0</v>
      </c>
      <c r="E291" s="150">
        <f>Saisie!E291</f>
        <v>0</v>
      </c>
      <c r="F291" s="150">
        <f>Saisie!F291</f>
        <v>0</v>
      </c>
      <c r="G291" s="150">
        <f>Saisie!G291</f>
        <v>0</v>
      </c>
      <c r="H291" s="150">
        <f>Saisie!I291</f>
        <v>0</v>
      </c>
      <c r="I291" s="150">
        <f>Saisie!J291</f>
        <v>0</v>
      </c>
      <c r="J291" s="150">
        <f>Saisie!K291</f>
        <v>0</v>
      </c>
      <c r="K291" s="150">
        <f>Saisie!L291</f>
        <v>0</v>
      </c>
      <c r="L291" s="150" t="e">
        <f>Saisie!#REF!</f>
        <v>#REF!</v>
      </c>
      <c r="M291" s="55" t="e">
        <f t="array" ref="M291">_xlfn.IFS(Saisie!M291="OUI",1,Saisie!M291="NON",0)</f>
        <v>#N/A</v>
      </c>
      <c r="N291" s="64" t="e">
        <f>Saisie!#REF!</f>
        <v>#REF!</v>
      </c>
      <c r="O291" s="63" t="e">
        <f>Saisie!#REF!</f>
        <v>#REF!</v>
      </c>
      <c r="P291" s="63">
        <f>Saisie!N291</f>
        <v>0</v>
      </c>
      <c r="Q291" s="63" t="e">
        <f t="array" ref="Q291">_xlfn.IFS(Saisie!#REF!="OUI",1,Saisie!#REF!="NON",0)</f>
        <v>#REF!</v>
      </c>
      <c r="R291" s="63" t="e">
        <f>Saisie!#REF!</f>
        <v>#REF!</v>
      </c>
      <c r="S291" s="65" t="e">
        <f>Saisie!#REF!</f>
        <v>#REF!</v>
      </c>
      <c r="T291" s="63" t="e">
        <f>Saisie!#REF!</f>
        <v>#REF!</v>
      </c>
      <c r="U291" s="63" t="e">
        <f>Saisie!#REF!</f>
        <v>#REF!</v>
      </c>
      <c r="V291" s="63" t="e">
        <f t="array" ref="V291">_xlfn.IFS(Saisie!#REF!="OUI",1,Saisie!#REF!="NON",0)</f>
        <v>#REF!</v>
      </c>
      <c r="W291" s="63" t="e">
        <f t="array" ref="W291">_xlfn.IFS(Saisie!O291="OUI",1,Saisie!O291="NON",0)</f>
        <v>#N/A</v>
      </c>
      <c r="X291" s="63">
        <f>Saisie!P291</f>
        <v>0</v>
      </c>
      <c r="Y291" s="299">
        <f>Saisie!H291</f>
        <v>0</v>
      </c>
      <c r="Z291" s="58" t="e">
        <f>Saisie!#REF!</f>
        <v>#REF!</v>
      </c>
      <c r="AA291" s="299">
        <f>Saisie!Q291</f>
        <v>0</v>
      </c>
      <c r="AB291" s="63" t="e">
        <f t="array" ref="AB291">_xlfn.IFS(Saisie!R291="OUI",1,Saisie!R291="NON",0)</f>
        <v>#N/A</v>
      </c>
      <c r="AC291" s="63">
        <f>Saisie!S291</f>
        <v>0</v>
      </c>
      <c r="AD291" s="63" t="e">
        <f t="array" ref="AD291">_xlfn.IFS(Saisie!T291="OUI",1,Saisie!T291="NON",0)</f>
        <v>#N/A</v>
      </c>
      <c r="AE291" s="171">
        <f>Saisie!U291</f>
        <v>0</v>
      </c>
      <c r="AF291" s="262">
        <v>3</v>
      </c>
      <c r="AG291" s="129">
        <f>Saisie!W291</f>
        <v>0</v>
      </c>
      <c r="AH291" s="20">
        <f>Saisie!X291</f>
        <v>0</v>
      </c>
      <c r="AI291" s="21">
        <f>Saisie!Y291</f>
        <v>0</v>
      </c>
      <c r="AJ291" s="59">
        <f>Saisie!Z291</f>
        <v>0</v>
      </c>
      <c r="AK291" s="20">
        <f>Saisie!AA291</f>
        <v>0</v>
      </c>
      <c r="AL291" s="21">
        <f>Saisie!AB291</f>
        <v>0</v>
      </c>
      <c r="AM291" s="59">
        <f>Saisie!AC291</f>
        <v>0</v>
      </c>
      <c r="AN291" s="20">
        <f>Saisie!AD291</f>
        <v>0</v>
      </c>
      <c r="AO291" s="21">
        <f>Saisie!AE291</f>
        <v>0</v>
      </c>
      <c r="AP291" s="59">
        <f>Saisie!AF291</f>
        <v>0</v>
      </c>
      <c r="AQ291" s="129" t="e">
        <f t="array" ref="AQ291">_xlfn.IFS(Saisie!AG291="OUI",1,Saisie!AG291="NON",0)</f>
        <v>#N/A</v>
      </c>
      <c r="AR291" s="129" t="e">
        <f t="array" ref="AR291">_xlfn.IFS(Saisie!AH291="OUI",1,Saisie!AH291="NON",0)</f>
        <v>#N/A</v>
      </c>
      <c r="AS291" s="171">
        <f>Saisie!AI291</f>
        <v>0</v>
      </c>
      <c r="AT291" s="263" t="e">
        <f t="array" ref="AT291">_xlfn.IFS(Saisie!AJ291="OUI",1,Saisie!AJ291="NON",0)</f>
        <v>#N/A</v>
      </c>
      <c r="AU291" s="173">
        <f>Saisie!AK291</f>
        <v>0</v>
      </c>
      <c r="AV291" s="263" t="e">
        <f t="array" ref="AV291">_xlfn.IFS(Saisie!AL291="OUI",1,Saisie!AL291="NON",0)</f>
        <v>#N/A</v>
      </c>
      <c r="AW291" s="171">
        <f>Saisie!AM291</f>
        <v>0</v>
      </c>
      <c r="AX291" s="68">
        <f>Saisie!AN291</f>
        <v>0</v>
      </c>
      <c r="AY291" s="20">
        <f>Saisie!AO291</f>
        <v>0</v>
      </c>
      <c r="AZ291" s="21">
        <f>Saisie!AP291</f>
        <v>0</v>
      </c>
      <c r="BA291" s="298">
        <f>Saisie!AQ291</f>
        <v>0</v>
      </c>
      <c r="BB291" s="170">
        <f>Saisie!AR291</f>
        <v>0</v>
      </c>
      <c r="BC291" s="174">
        <f>Saisie!AS291</f>
        <v>0</v>
      </c>
      <c r="BD291" s="61">
        <f>Saisie!AT291</f>
        <v>0</v>
      </c>
      <c r="BE291" s="175" t="e">
        <f t="array" ref="BE291">_xlfn.IFS(Saisie!AU291="OUI",1,Saisie!AU291="NON",0)</f>
        <v>#N/A</v>
      </c>
      <c r="BF291" s="267">
        <f>Saisie!AV291</f>
        <v>0</v>
      </c>
      <c r="BG291" s="55">
        <f>Saisie!AW291</f>
        <v>0</v>
      </c>
      <c r="BH291" s="55" t="e">
        <f t="array" ref="BH291">_xlfn.IFS(Saisie!AX291="OUI",1,Saisie!AX291="NON",0)</f>
        <v>#N/A</v>
      </c>
      <c r="BI291" s="62">
        <f>Saisie!AY291</f>
        <v>0</v>
      </c>
      <c r="BJ291" s="55" t="e">
        <f t="array" ref="BJ291">_xlfn.IFS(Saisie!AZ291="OUI",1,Saisie!AZ291="NON",0)</f>
        <v>#N/A</v>
      </c>
      <c r="BK291" s="55" t="e">
        <f t="array" ref="BK291">_xlfn.IFS(Saisie!BA291="OUI",1,Saisie!BA291="NON",0)</f>
        <v>#N/A</v>
      </c>
      <c r="BL291" s="55">
        <f>Saisie!BB291</f>
        <v>0</v>
      </c>
      <c r="BM291" s="49" t="e">
        <f>Saisie!BC291</f>
        <v>#REF!</v>
      </c>
      <c r="BN291" s="175"/>
    </row>
    <row r="292" spans="1:66" s="176" customFormat="1" x14ac:dyDescent="0.45">
      <c r="A292" s="12">
        <v>286</v>
      </c>
      <c r="B292" s="150">
        <f>Saisie!B292</f>
        <v>0</v>
      </c>
      <c r="C292" s="150">
        <f>Saisie!C292</f>
        <v>0</v>
      </c>
      <c r="D292" s="150">
        <f>Saisie!D292</f>
        <v>0</v>
      </c>
      <c r="E292" s="150">
        <f>Saisie!E292</f>
        <v>0</v>
      </c>
      <c r="F292" s="150">
        <f>Saisie!F292</f>
        <v>0</v>
      </c>
      <c r="G292" s="150">
        <f>Saisie!G292</f>
        <v>0</v>
      </c>
      <c r="H292" s="150">
        <f>Saisie!I292</f>
        <v>0</v>
      </c>
      <c r="I292" s="150">
        <f>Saisie!J292</f>
        <v>0</v>
      </c>
      <c r="J292" s="150">
        <f>Saisie!K292</f>
        <v>0</v>
      </c>
      <c r="K292" s="150">
        <f>Saisie!L292</f>
        <v>0</v>
      </c>
      <c r="L292" s="150" t="e">
        <f>Saisie!#REF!</f>
        <v>#REF!</v>
      </c>
      <c r="M292" s="55" t="e">
        <f t="array" ref="M292">_xlfn.IFS(Saisie!M292="OUI",1,Saisie!M292="NON",0)</f>
        <v>#N/A</v>
      </c>
      <c r="N292" s="64" t="e">
        <f>Saisie!#REF!</f>
        <v>#REF!</v>
      </c>
      <c r="O292" s="63" t="e">
        <f>Saisie!#REF!</f>
        <v>#REF!</v>
      </c>
      <c r="P292" s="63">
        <f>Saisie!N292</f>
        <v>0</v>
      </c>
      <c r="Q292" s="63" t="e">
        <f t="array" ref="Q292">_xlfn.IFS(Saisie!#REF!="OUI",1,Saisie!#REF!="NON",0)</f>
        <v>#REF!</v>
      </c>
      <c r="R292" s="63" t="e">
        <f>Saisie!#REF!</f>
        <v>#REF!</v>
      </c>
      <c r="S292" s="65" t="e">
        <f>Saisie!#REF!</f>
        <v>#REF!</v>
      </c>
      <c r="T292" s="63" t="e">
        <f>Saisie!#REF!</f>
        <v>#REF!</v>
      </c>
      <c r="U292" s="63" t="e">
        <f>Saisie!#REF!</f>
        <v>#REF!</v>
      </c>
      <c r="V292" s="63" t="e">
        <f t="array" ref="V292">_xlfn.IFS(Saisie!#REF!="OUI",1,Saisie!#REF!="NON",0)</f>
        <v>#REF!</v>
      </c>
      <c r="W292" s="63" t="e">
        <f t="array" ref="W292">_xlfn.IFS(Saisie!O292="OUI",1,Saisie!O292="NON",0)</f>
        <v>#N/A</v>
      </c>
      <c r="X292" s="63">
        <f>Saisie!P292</f>
        <v>0</v>
      </c>
      <c r="Y292" s="299">
        <f>Saisie!H292</f>
        <v>0</v>
      </c>
      <c r="Z292" s="58" t="e">
        <f>Saisie!#REF!</f>
        <v>#REF!</v>
      </c>
      <c r="AA292" s="299">
        <f>Saisie!Q292</f>
        <v>0</v>
      </c>
      <c r="AB292" s="63" t="e">
        <f t="array" ref="AB292">_xlfn.IFS(Saisie!R292="OUI",1,Saisie!R292="NON",0)</f>
        <v>#N/A</v>
      </c>
      <c r="AC292" s="63">
        <f>Saisie!S292</f>
        <v>0</v>
      </c>
      <c r="AD292" s="63" t="e">
        <f t="array" ref="AD292">_xlfn.IFS(Saisie!T292="OUI",1,Saisie!T292="NON",0)</f>
        <v>#N/A</v>
      </c>
      <c r="AE292" s="171">
        <f>Saisie!U292</f>
        <v>0</v>
      </c>
      <c r="AF292" s="262">
        <v>3</v>
      </c>
      <c r="AG292" s="129">
        <f>Saisie!W292</f>
        <v>0</v>
      </c>
      <c r="AH292" s="20">
        <f>Saisie!X292</f>
        <v>0</v>
      </c>
      <c r="AI292" s="21">
        <f>Saisie!Y292</f>
        <v>0</v>
      </c>
      <c r="AJ292" s="59">
        <f>Saisie!Z292</f>
        <v>0</v>
      </c>
      <c r="AK292" s="20">
        <f>Saisie!AA292</f>
        <v>0</v>
      </c>
      <c r="AL292" s="21">
        <f>Saisie!AB292</f>
        <v>0</v>
      </c>
      <c r="AM292" s="59">
        <f>Saisie!AC292</f>
        <v>0</v>
      </c>
      <c r="AN292" s="20">
        <f>Saisie!AD292</f>
        <v>0</v>
      </c>
      <c r="AO292" s="21">
        <f>Saisie!AE292</f>
        <v>0</v>
      </c>
      <c r="AP292" s="59">
        <f>Saisie!AF292</f>
        <v>0</v>
      </c>
      <c r="AQ292" s="129" t="e">
        <f t="array" ref="AQ292">_xlfn.IFS(Saisie!AG292="OUI",1,Saisie!AG292="NON",0)</f>
        <v>#N/A</v>
      </c>
      <c r="AR292" s="129" t="e">
        <f t="array" ref="AR292">_xlfn.IFS(Saisie!AH292="OUI",1,Saisie!AH292="NON",0)</f>
        <v>#N/A</v>
      </c>
      <c r="AS292" s="171">
        <f>Saisie!AI292</f>
        <v>0</v>
      </c>
      <c r="AT292" s="263" t="e">
        <f t="array" ref="AT292">_xlfn.IFS(Saisie!AJ292="OUI",1,Saisie!AJ292="NON",0)</f>
        <v>#N/A</v>
      </c>
      <c r="AU292" s="173">
        <f>Saisie!AK292</f>
        <v>0</v>
      </c>
      <c r="AV292" s="263" t="e">
        <f t="array" ref="AV292">_xlfn.IFS(Saisie!AL292="OUI",1,Saisie!AL292="NON",0)</f>
        <v>#N/A</v>
      </c>
      <c r="AW292" s="171">
        <f>Saisie!AM292</f>
        <v>0</v>
      </c>
      <c r="AX292" s="68">
        <f>Saisie!AN292</f>
        <v>0</v>
      </c>
      <c r="AY292" s="20">
        <f>Saisie!AO292</f>
        <v>0</v>
      </c>
      <c r="AZ292" s="21">
        <f>Saisie!AP292</f>
        <v>0</v>
      </c>
      <c r="BA292" s="298">
        <f>Saisie!AQ292</f>
        <v>0</v>
      </c>
      <c r="BB292" s="170">
        <f>Saisie!AR292</f>
        <v>0</v>
      </c>
      <c r="BC292" s="174">
        <f>Saisie!AS292</f>
        <v>0</v>
      </c>
      <c r="BD292" s="61">
        <f>Saisie!AT292</f>
        <v>0</v>
      </c>
      <c r="BE292" s="175" t="e">
        <f t="array" ref="BE292">_xlfn.IFS(Saisie!AU292="OUI",1,Saisie!AU292="NON",0)</f>
        <v>#N/A</v>
      </c>
      <c r="BF292" s="267">
        <f>Saisie!AV292</f>
        <v>0</v>
      </c>
      <c r="BG292" s="55">
        <f>Saisie!AW292</f>
        <v>0</v>
      </c>
      <c r="BH292" s="55" t="e">
        <f t="array" ref="BH292">_xlfn.IFS(Saisie!AX292="OUI",1,Saisie!AX292="NON",0)</f>
        <v>#N/A</v>
      </c>
      <c r="BI292" s="62">
        <f>Saisie!AY292</f>
        <v>0</v>
      </c>
      <c r="BJ292" s="55" t="e">
        <f t="array" ref="BJ292">_xlfn.IFS(Saisie!AZ292="OUI",1,Saisie!AZ292="NON",0)</f>
        <v>#N/A</v>
      </c>
      <c r="BK292" s="55" t="e">
        <f t="array" ref="BK292">_xlfn.IFS(Saisie!BA292="OUI",1,Saisie!BA292="NON",0)</f>
        <v>#N/A</v>
      </c>
      <c r="BL292" s="55">
        <f>Saisie!BB292</f>
        <v>0</v>
      </c>
      <c r="BM292" s="49" t="e">
        <f>Saisie!BC292</f>
        <v>#REF!</v>
      </c>
      <c r="BN292" s="175"/>
    </row>
    <row r="293" spans="1:66" s="176" customFormat="1" x14ac:dyDescent="0.45">
      <c r="A293" s="13">
        <v>287</v>
      </c>
      <c r="B293" s="150">
        <f>Saisie!B293</f>
        <v>0</v>
      </c>
      <c r="C293" s="150">
        <f>Saisie!C293</f>
        <v>0</v>
      </c>
      <c r="D293" s="150">
        <f>Saisie!D293</f>
        <v>0</v>
      </c>
      <c r="E293" s="150">
        <f>Saisie!E293</f>
        <v>0</v>
      </c>
      <c r="F293" s="150">
        <f>Saisie!F293</f>
        <v>0</v>
      </c>
      <c r="G293" s="150">
        <f>Saisie!G293</f>
        <v>0</v>
      </c>
      <c r="H293" s="150">
        <f>Saisie!I293</f>
        <v>0</v>
      </c>
      <c r="I293" s="150">
        <f>Saisie!J293</f>
        <v>0</v>
      </c>
      <c r="J293" s="150">
        <f>Saisie!K293</f>
        <v>0</v>
      </c>
      <c r="K293" s="150">
        <f>Saisie!L293</f>
        <v>0</v>
      </c>
      <c r="L293" s="150" t="e">
        <f>Saisie!#REF!</f>
        <v>#REF!</v>
      </c>
      <c r="M293" s="55" t="e">
        <f t="array" ref="M293">_xlfn.IFS(Saisie!M293="OUI",1,Saisie!M293="NON",0)</f>
        <v>#N/A</v>
      </c>
      <c r="N293" s="64" t="e">
        <f>Saisie!#REF!</f>
        <v>#REF!</v>
      </c>
      <c r="O293" s="63" t="e">
        <f>Saisie!#REF!</f>
        <v>#REF!</v>
      </c>
      <c r="P293" s="63">
        <f>Saisie!N293</f>
        <v>0</v>
      </c>
      <c r="Q293" s="63" t="e">
        <f t="array" ref="Q293">_xlfn.IFS(Saisie!#REF!="OUI",1,Saisie!#REF!="NON",0)</f>
        <v>#REF!</v>
      </c>
      <c r="R293" s="63" t="e">
        <f>Saisie!#REF!</f>
        <v>#REF!</v>
      </c>
      <c r="S293" s="65" t="e">
        <f>Saisie!#REF!</f>
        <v>#REF!</v>
      </c>
      <c r="T293" s="63" t="e">
        <f>Saisie!#REF!</f>
        <v>#REF!</v>
      </c>
      <c r="U293" s="63" t="e">
        <f>Saisie!#REF!</f>
        <v>#REF!</v>
      </c>
      <c r="V293" s="63" t="e">
        <f t="array" ref="V293">_xlfn.IFS(Saisie!#REF!="OUI",1,Saisie!#REF!="NON",0)</f>
        <v>#REF!</v>
      </c>
      <c r="W293" s="63" t="e">
        <f t="array" ref="W293">_xlfn.IFS(Saisie!O293="OUI",1,Saisie!O293="NON",0)</f>
        <v>#N/A</v>
      </c>
      <c r="X293" s="63">
        <f>Saisie!P293</f>
        <v>0</v>
      </c>
      <c r="Y293" s="299">
        <f>Saisie!H293</f>
        <v>0</v>
      </c>
      <c r="Z293" s="58" t="e">
        <f>Saisie!#REF!</f>
        <v>#REF!</v>
      </c>
      <c r="AA293" s="299">
        <f>Saisie!Q293</f>
        <v>0</v>
      </c>
      <c r="AB293" s="63" t="e">
        <f t="array" ref="AB293">_xlfn.IFS(Saisie!R293="OUI",1,Saisie!R293="NON",0)</f>
        <v>#N/A</v>
      </c>
      <c r="AC293" s="63">
        <f>Saisie!S293</f>
        <v>0</v>
      </c>
      <c r="AD293" s="63" t="e">
        <f t="array" ref="AD293">_xlfn.IFS(Saisie!T293="OUI",1,Saisie!T293="NON",0)</f>
        <v>#N/A</v>
      </c>
      <c r="AE293" s="171">
        <f>Saisie!U293</f>
        <v>0</v>
      </c>
      <c r="AF293" s="262">
        <v>3</v>
      </c>
      <c r="AG293" s="129">
        <f>Saisie!W293</f>
        <v>0</v>
      </c>
      <c r="AH293" s="20">
        <f>Saisie!X293</f>
        <v>0</v>
      </c>
      <c r="AI293" s="21">
        <f>Saisie!Y293</f>
        <v>0</v>
      </c>
      <c r="AJ293" s="59">
        <f>Saisie!Z293</f>
        <v>0</v>
      </c>
      <c r="AK293" s="20">
        <f>Saisie!AA293</f>
        <v>0</v>
      </c>
      <c r="AL293" s="21">
        <f>Saisie!AB293</f>
        <v>0</v>
      </c>
      <c r="AM293" s="59">
        <f>Saisie!AC293</f>
        <v>0</v>
      </c>
      <c r="AN293" s="20">
        <f>Saisie!AD293</f>
        <v>0</v>
      </c>
      <c r="AO293" s="21">
        <f>Saisie!AE293</f>
        <v>0</v>
      </c>
      <c r="AP293" s="59">
        <f>Saisie!AF293</f>
        <v>0</v>
      </c>
      <c r="AQ293" s="129" t="e">
        <f t="array" ref="AQ293">_xlfn.IFS(Saisie!AG293="OUI",1,Saisie!AG293="NON",0)</f>
        <v>#N/A</v>
      </c>
      <c r="AR293" s="129" t="e">
        <f t="array" ref="AR293">_xlfn.IFS(Saisie!AH293="OUI",1,Saisie!AH293="NON",0)</f>
        <v>#N/A</v>
      </c>
      <c r="AS293" s="171">
        <f>Saisie!AI293</f>
        <v>0</v>
      </c>
      <c r="AT293" s="263" t="e">
        <f t="array" ref="AT293">_xlfn.IFS(Saisie!AJ293="OUI",1,Saisie!AJ293="NON",0)</f>
        <v>#N/A</v>
      </c>
      <c r="AU293" s="173">
        <f>Saisie!AK293</f>
        <v>0</v>
      </c>
      <c r="AV293" s="263" t="e">
        <f t="array" ref="AV293">_xlfn.IFS(Saisie!AL293="OUI",1,Saisie!AL293="NON",0)</f>
        <v>#N/A</v>
      </c>
      <c r="AW293" s="171">
        <f>Saisie!AM293</f>
        <v>0</v>
      </c>
      <c r="AX293" s="68">
        <f>Saisie!AN293</f>
        <v>0</v>
      </c>
      <c r="AY293" s="20">
        <f>Saisie!AO293</f>
        <v>0</v>
      </c>
      <c r="AZ293" s="21">
        <f>Saisie!AP293</f>
        <v>0</v>
      </c>
      <c r="BA293" s="298">
        <f>Saisie!AQ293</f>
        <v>0</v>
      </c>
      <c r="BB293" s="170">
        <f>Saisie!AR293</f>
        <v>0</v>
      </c>
      <c r="BC293" s="174">
        <f>Saisie!AS293</f>
        <v>0</v>
      </c>
      <c r="BD293" s="61">
        <f>Saisie!AT293</f>
        <v>0</v>
      </c>
      <c r="BE293" s="175" t="e">
        <f t="array" ref="BE293">_xlfn.IFS(Saisie!AU293="OUI",1,Saisie!AU293="NON",0)</f>
        <v>#N/A</v>
      </c>
      <c r="BF293" s="267">
        <f>Saisie!AV293</f>
        <v>0</v>
      </c>
      <c r="BG293" s="55">
        <f>Saisie!AW293</f>
        <v>0</v>
      </c>
      <c r="BH293" s="55" t="e">
        <f t="array" ref="BH293">_xlfn.IFS(Saisie!AX293="OUI",1,Saisie!AX293="NON",0)</f>
        <v>#N/A</v>
      </c>
      <c r="BI293" s="62">
        <f>Saisie!AY293</f>
        <v>0</v>
      </c>
      <c r="BJ293" s="55" t="e">
        <f t="array" ref="BJ293">_xlfn.IFS(Saisie!AZ293="OUI",1,Saisie!AZ293="NON",0)</f>
        <v>#N/A</v>
      </c>
      <c r="BK293" s="55" t="e">
        <f t="array" ref="BK293">_xlfn.IFS(Saisie!BA293="OUI",1,Saisie!BA293="NON",0)</f>
        <v>#N/A</v>
      </c>
      <c r="BL293" s="55">
        <f>Saisie!BB293</f>
        <v>0</v>
      </c>
      <c r="BM293" s="49" t="e">
        <f>Saisie!BC293</f>
        <v>#REF!</v>
      </c>
      <c r="BN293" s="175"/>
    </row>
    <row r="294" spans="1:66" s="176" customFormat="1" x14ac:dyDescent="0.45">
      <c r="A294" s="13">
        <v>288</v>
      </c>
      <c r="B294" s="150">
        <f>Saisie!B294</f>
        <v>0</v>
      </c>
      <c r="C294" s="150">
        <f>Saisie!C294</f>
        <v>0</v>
      </c>
      <c r="D294" s="150">
        <f>Saisie!D294</f>
        <v>0</v>
      </c>
      <c r="E294" s="150">
        <f>Saisie!E294</f>
        <v>0</v>
      </c>
      <c r="F294" s="150">
        <f>Saisie!F294</f>
        <v>0</v>
      </c>
      <c r="G294" s="150">
        <f>Saisie!G294</f>
        <v>0</v>
      </c>
      <c r="H294" s="150">
        <f>Saisie!I294</f>
        <v>0</v>
      </c>
      <c r="I294" s="150">
        <f>Saisie!J294</f>
        <v>0</v>
      </c>
      <c r="J294" s="150">
        <f>Saisie!K294</f>
        <v>0</v>
      </c>
      <c r="K294" s="150">
        <f>Saisie!L294</f>
        <v>0</v>
      </c>
      <c r="L294" s="150" t="e">
        <f>Saisie!#REF!</f>
        <v>#REF!</v>
      </c>
      <c r="M294" s="55" t="e">
        <f t="array" ref="M294">_xlfn.IFS(Saisie!M294="OUI",1,Saisie!M294="NON",0)</f>
        <v>#N/A</v>
      </c>
      <c r="N294" s="64" t="e">
        <f>Saisie!#REF!</f>
        <v>#REF!</v>
      </c>
      <c r="O294" s="63" t="e">
        <f>Saisie!#REF!</f>
        <v>#REF!</v>
      </c>
      <c r="P294" s="63">
        <f>Saisie!N294</f>
        <v>0</v>
      </c>
      <c r="Q294" s="63" t="e">
        <f t="array" ref="Q294">_xlfn.IFS(Saisie!#REF!="OUI",1,Saisie!#REF!="NON",0)</f>
        <v>#REF!</v>
      </c>
      <c r="R294" s="63" t="e">
        <f>Saisie!#REF!</f>
        <v>#REF!</v>
      </c>
      <c r="S294" s="65" t="e">
        <f>Saisie!#REF!</f>
        <v>#REF!</v>
      </c>
      <c r="T294" s="63" t="e">
        <f>Saisie!#REF!</f>
        <v>#REF!</v>
      </c>
      <c r="U294" s="63" t="e">
        <f>Saisie!#REF!</f>
        <v>#REF!</v>
      </c>
      <c r="V294" s="63" t="e">
        <f t="array" ref="V294">_xlfn.IFS(Saisie!#REF!="OUI",1,Saisie!#REF!="NON",0)</f>
        <v>#REF!</v>
      </c>
      <c r="W294" s="63" t="e">
        <f t="array" ref="W294">_xlfn.IFS(Saisie!O294="OUI",1,Saisie!O294="NON",0)</f>
        <v>#N/A</v>
      </c>
      <c r="X294" s="63">
        <f>Saisie!P294</f>
        <v>0</v>
      </c>
      <c r="Y294" s="299">
        <f>Saisie!H294</f>
        <v>0</v>
      </c>
      <c r="Z294" s="58" t="e">
        <f>Saisie!#REF!</f>
        <v>#REF!</v>
      </c>
      <c r="AA294" s="299">
        <f>Saisie!Q294</f>
        <v>0</v>
      </c>
      <c r="AB294" s="63" t="e">
        <f t="array" ref="AB294">_xlfn.IFS(Saisie!R294="OUI",1,Saisie!R294="NON",0)</f>
        <v>#N/A</v>
      </c>
      <c r="AC294" s="63">
        <f>Saisie!S294</f>
        <v>0</v>
      </c>
      <c r="AD294" s="63" t="e">
        <f t="array" ref="AD294">_xlfn.IFS(Saisie!T294="OUI",1,Saisie!T294="NON",0)</f>
        <v>#N/A</v>
      </c>
      <c r="AE294" s="171">
        <f>Saisie!U294</f>
        <v>0</v>
      </c>
      <c r="AF294" s="262">
        <v>3</v>
      </c>
      <c r="AG294" s="129">
        <f>Saisie!W294</f>
        <v>0</v>
      </c>
      <c r="AH294" s="20">
        <f>Saisie!X294</f>
        <v>0</v>
      </c>
      <c r="AI294" s="21">
        <f>Saisie!Y294</f>
        <v>0</v>
      </c>
      <c r="AJ294" s="59">
        <f>Saisie!Z294</f>
        <v>0</v>
      </c>
      <c r="AK294" s="20">
        <f>Saisie!AA294</f>
        <v>0</v>
      </c>
      <c r="AL294" s="21">
        <f>Saisie!AB294</f>
        <v>0</v>
      </c>
      <c r="AM294" s="59">
        <f>Saisie!AC294</f>
        <v>0</v>
      </c>
      <c r="AN294" s="20">
        <f>Saisie!AD294</f>
        <v>0</v>
      </c>
      <c r="AO294" s="21">
        <f>Saisie!AE294</f>
        <v>0</v>
      </c>
      <c r="AP294" s="59">
        <f>Saisie!AF294</f>
        <v>0</v>
      </c>
      <c r="AQ294" s="129" t="e">
        <f t="array" ref="AQ294">_xlfn.IFS(Saisie!AG294="OUI",1,Saisie!AG294="NON",0)</f>
        <v>#N/A</v>
      </c>
      <c r="AR294" s="129" t="e">
        <f t="array" ref="AR294">_xlfn.IFS(Saisie!AH294="OUI",1,Saisie!AH294="NON",0)</f>
        <v>#N/A</v>
      </c>
      <c r="AS294" s="171">
        <f>Saisie!AI294</f>
        <v>0</v>
      </c>
      <c r="AT294" s="263" t="e">
        <f t="array" ref="AT294">_xlfn.IFS(Saisie!AJ294="OUI",1,Saisie!AJ294="NON",0)</f>
        <v>#N/A</v>
      </c>
      <c r="AU294" s="173">
        <f>Saisie!AK294</f>
        <v>0</v>
      </c>
      <c r="AV294" s="263" t="e">
        <f t="array" ref="AV294">_xlfn.IFS(Saisie!AL294="OUI",1,Saisie!AL294="NON",0)</f>
        <v>#N/A</v>
      </c>
      <c r="AW294" s="171">
        <f>Saisie!AM294</f>
        <v>0</v>
      </c>
      <c r="AX294" s="68">
        <f>Saisie!AN294</f>
        <v>0</v>
      </c>
      <c r="AY294" s="20">
        <f>Saisie!AO294</f>
        <v>0</v>
      </c>
      <c r="AZ294" s="21">
        <f>Saisie!AP294</f>
        <v>0</v>
      </c>
      <c r="BA294" s="298">
        <f>Saisie!AQ294</f>
        <v>0</v>
      </c>
      <c r="BB294" s="170">
        <f>Saisie!AR294</f>
        <v>0</v>
      </c>
      <c r="BC294" s="174">
        <f>Saisie!AS294</f>
        <v>0</v>
      </c>
      <c r="BD294" s="61">
        <f>Saisie!AT294</f>
        <v>0</v>
      </c>
      <c r="BE294" s="175" t="e">
        <f t="array" ref="BE294">_xlfn.IFS(Saisie!AU294="OUI",1,Saisie!AU294="NON",0)</f>
        <v>#N/A</v>
      </c>
      <c r="BF294" s="267">
        <f>Saisie!AV294</f>
        <v>0</v>
      </c>
      <c r="BG294" s="55">
        <f>Saisie!AW294</f>
        <v>0</v>
      </c>
      <c r="BH294" s="55" t="e">
        <f t="array" ref="BH294">_xlfn.IFS(Saisie!AX294="OUI",1,Saisie!AX294="NON",0)</f>
        <v>#N/A</v>
      </c>
      <c r="BI294" s="62">
        <f>Saisie!AY294</f>
        <v>0</v>
      </c>
      <c r="BJ294" s="55" t="e">
        <f t="array" ref="BJ294">_xlfn.IFS(Saisie!AZ294="OUI",1,Saisie!AZ294="NON",0)</f>
        <v>#N/A</v>
      </c>
      <c r="BK294" s="55" t="e">
        <f t="array" ref="BK294">_xlfn.IFS(Saisie!BA294="OUI",1,Saisie!BA294="NON",0)</f>
        <v>#N/A</v>
      </c>
      <c r="BL294" s="55">
        <f>Saisie!BB294</f>
        <v>0</v>
      </c>
      <c r="BM294" s="49" t="e">
        <f>Saisie!BC294</f>
        <v>#REF!</v>
      </c>
      <c r="BN294" s="175"/>
    </row>
    <row r="295" spans="1:66" s="176" customFormat="1" x14ac:dyDescent="0.45">
      <c r="A295" s="12">
        <v>289</v>
      </c>
      <c r="B295" s="150">
        <f>Saisie!B295</f>
        <v>0</v>
      </c>
      <c r="C295" s="150">
        <f>Saisie!C295</f>
        <v>0</v>
      </c>
      <c r="D295" s="150">
        <f>Saisie!D295</f>
        <v>0</v>
      </c>
      <c r="E295" s="150">
        <f>Saisie!E295</f>
        <v>0</v>
      </c>
      <c r="F295" s="150">
        <f>Saisie!F295</f>
        <v>0</v>
      </c>
      <c r="G295" s="150">
        <f>Saisie!G295</f>
        <v>0</v>
      </c>
      <c r="H295" s="150">
        <f>Saisie!I295</f>
        <v>0</v>
      </c>
      <c r="I295" s="150">
        <f>Saisie!J295</f>
        <v>0</v>
      </c>
      <c r="J295" s="150">
        <f>Saisie!K295</f>
        <v>0</v>
      </c>
      <c r="K295" s="150">
        <f>Saisie!L295</f>
        <v>0</v>
      </c>
      <c r="L295" s="150" t="e">
        <f>Saisie!#REF!</f>
        <v>#REF!</v>
      </c>
      <c r="M295" s="55" t="e">
        <f t="array" ref="M295">_xlfn.IFS(Saisie!M295="OUI",1,Saisie!M295="NON",0)</f>
        <v>#N/A</v>
      </c>
      <c r="N295" s="64" t="e">
        <f>Saisie!#REF!</f>
        <v>#REF!</v>
      </c>
      <c r="O295" s="63" t="e">
        <f>Saisie!#REF!</f>
        <v>#REF!</v>
      </c>
      <c r="P295" s="63">
        <f>Saisie!N295</f>
        <v>0</v>
      </c>
      <c r="Q295" s="63" t="e">
        <f t="array" ref="Q295">_xlfn.IFS(Saisie!#REF!="OUI",1,Saisie!#REF!="NON",0)</f>
        <v>#REF!</v>
      </c>
      <c r="R295" s="63" t="e">
        <f>Saisie!#REF!</f>
        <v>#REF!</v>
      </c>
      <c r="S295" s="65" t="e">
        <f>Saisie!#REF!</f>
        <v>#REF!</v>
      </c>
      <c r="T295" s="63" t="e">
        <f>Saisie!#REF!</f>
        <v>#REF!</v>
      </c>
      <c r="U295" s="63" t="e">
        <f>Saisie!#REF!</f>
        <v>#REF!</v>
      </c>
      <c r="V295" s="63" t="e">
        <f t="array" ref="V295">_xlfn.IFS(Saisie!#REF!="OUI",1,Saisie!#REF!="NON",0)</f>
        <v>#REF!</v>
      </c>
      <c r="W295" s="63" t="e">
        <f t="array" ref="W295">_xlfn.IFS(Saisie!O295="OUI",1,Saisie!O295="NON",0)</f>
        <v>#N/A</v>
      </c>
      <c r="X295" s="63">
        <f>Saisie!P295</f>
        <v>0</v>
      </c>
      <c r="Y295" s="299">
        <f>Saisie!H295</f>
        <v>0</v>
      </c>
      <c r="Z295" s="58" t="e">
        <f>Saisie!#REF!</f>
        <v>#REF!</v>
      </c>
      <c r="AA295" s="299">
        <f>Saisie!Q295</f>
        <v>0</v>
      </c>
      <c r="AB295" s="63" t="e">
        <f t="array" ref="AB295">_xlfn.IFS(Saisie!R295="OUI",1,Saisie!R295="NON",0)</f>
        <v>#N/A</v>
      </c>
      <c r="AC295" s="63">
        <f>Saisie!S295</f>
        <v>0</v>
      </c>
      <c r="AD295" s="63" t="e">
        <f t="array" ref="AD295">_xlfn.IFS(Saisie!T295="OUI",1,Saisie!T295="NON",0)</f>
        <v>#N/A</v>
      </c>
      <c r="AE295" s="171">
        <f>Saisie!U295</f>
        <v>0</v>
      </c>
      <c r="AF295" s="262">
        <v>3</v>
      </c>
      <c r="AG295" s="129">
        <f>Saisie!W295</f>
        <v>0</v>
      </c>
      <c r="AH295" s="20">
        <f>Saisie!X295</f>
        <v>0</v>
      </c>
      <c r="AI295" s="21">
        <f>Saisie!Y295</f>
        <v>0</v>
      </c>
      <c r="AJ295" s="59">
        <f>Saisie!Z295</f>
        <v>0</v>
      </c>
      <c r="AK295" s="20">
        <f>Saisie!AA295</f>
        <v>0</v>
      </c>
      <c r="AL295" s="21">
        <f>Saisie!AB295</f>
        <v>0</v>
      </c>
      <c r="AM295" s="59">
        <f>Saisie!AC295</f>
        <v>0</v>
      </c>
      <c r="AN295" s="20">
        <f>Saisie!AD295</f>
        <v>0</v>
      </c>
      <c r="AO295" s="21">
        <f>Saisie!AE295</f>
        <v>0</v>
      </c>
      <c r="AP295" s="59">
        <f>Saisie!AF295</f>
        <v>0</v>
      </c>
      <c r="AQ295" s="129" t="e">
        <f t="array" ref="AQ295">_xlfn.IFS(Saisie!AG295="OUI",1,Saisie!AG295="NON",0)</f>
        <v>#N/A</v>
      </c>
      <c r="AR295" s="129" t="e">
        <f t="array" ref="AR295">_xlfn.IFS(Saisie!AH295="OUI",1,Saisie!AH295="NON",0)</f>
        <v>#N/A</v>
      </c>
      <c r="AS295" s="171">
        <f>Saisie!AI295</f>
        <v>0</v>
      </c>
      <c r="AT295" s="263" t="e">
        <f t="array" ref="AT295">_xlfn.IFS(Saisie!AJ295="OUI",1,Saisie!AJ295="NON",0)</f>
        <v>#N/A</v>
      </c>
      <c r="AU295" s="173">
        <f>Saisie!AK295</f>
        <v>0</v>
      </c>
      <c r="AV295" s="263" t="e">
        <f t="array" ref="AV295">_xlfn.IFS(Saisie!AL295="OUI",1,Saisie!AL295="NON",0)</f>
        <v>#N/A</v>
      </c>
      <c r="AW295" s="171">
        <f>Saisie!AM295</f>
        <v>0</v>
      </c>
      <c r="AX295" s="68">
        <f>Saisie!AN295</f>
        <v>0</v>
      </c>
      <c r="AY295" s="20">
        <f>Saisie!AO295</f>
        <v>0</v>
      </c>
      <c r="AZ295" s="21">
        <f>Saisie!AP295</f>
        <v>0</v>
      </c>
      <c r="BA295" s="298">
        <f>Saisie!AQ295</f>
        <v>0</v>
      </c>
      <c r="BB295" s="170">
        <f>Saisie!AR295</f>
        <v>0</v>
      </c>
      <c r="BC295" s="174">
        <f>Saisie!AS295</f>
        <v>0</v>
      </c>
      <c r="BD295" s="61">
        <f>Saisie!AT295</f>
        <v>0</v>
      </c>
      <c r="BE295" s="175" t="e">
        <f t="array" ref="BE295">_xlfn.IFS(Saisie!AU295="OUI",1,Saisie!AU295="NON",0)</f>
        <v>#N/A</v>
      </c>
      <c r="BF295" s="267">
        <f>Saisie!AV295</f>
        <v>0</v>
      </c>
      <c r="BG295" s="55">
        <f>Saisie!AW295</f>
        <v>0</v>
      </c>
      <c r="BH295" s="55" t="e">
        <f t="array" ref="BH295">_xlfn.IFS(Saisie!AX295="OUI",1,Saisie!AX295="NON",0)</f>
        <v>#N/A</v>
      </c>
      <c r="BI295" s="62">
        <f>Saisie!AY295</f>
        <v>0</v>
      </c>
      <c r="BJ295" s="55" t="e">
        <f t="array" ref="BJ295">_xlfn.IFS(Saisie!AZ295="OUI",1,Saisie!AZ295="NON",0)</f>
        <v>#N/A</v>
      </c>
      <c r="BK295" s="55" t="e">
        <f t="array" ref="BK295">_xlfn.IFS(Saisie!BA295="OUI",1,Saisie!BA295="NON",0)</f>
        <v>#N/A</v>
      </c>
      <c r="BL295" s="55">
        <f>Saisie!BB295</f>
        <v>0</v>
      </c>
      <c r="BM295" s="49" t="e">
        <f>Saisie!BC295</f>
        <v>#REF!</v>
      </c>
      <c r="BN295" s="175"/>
    </row>
    <row r="296" spans="1:66" s="176" customFormat="1" x14ac:dyDescent="0.45">
      <c r="A296" s="13">
        <v>290</v>
      </c>
      <c r="B296" s="150">
        <f>Saisie!B296</f>
        <v>0</v>
      </c>
      <c r="C296" s="150">
        <f>Saisie!C296</f>
        <v>0</v>
      </c>
      <c r="D296" s="150">
        <f>Saisie!D296</f>
        <v>0</v>
      </c>
      <c r="E296" s="150">
        <f>Saisie!E296</f>
        <v>0</v>
      </c>
      <c r="F296" s="150">
        <f>Saisie!F296</f>
        <v>0</v>
      </c>
      <c r="G296" s="150">
        <f>Saisie!G296</f>
        <v>0</v>
      </c>
      <c r="H296" s="150">
        <f>Saisie!I296</f>
        <v>0</v>
      </c>
      <c r="I296" s="150">
        <f>Saisie!J296</f>
        <v>0</v>
      </c>
      <c r="J296" s="150">
        <f>Saisie!K296</f>
        <v>0</v>
      </c>
      <c r="K296" s="150">
        <f>Saisie!L296</f>
        <v>0</v>
      </c>
      <c r="L296" s="150" t="e">
        <f>Saisie!#REF!</f>
        <v>#REF!</v>
      </c>
      <c r="M296" s="55" t="e">
        <f t="array" ref="M296">_xlfn.IFS(Saisie!M296="OUI",1,Saisie!M296="NON",0)</f>
        <v>#N/A</v>
      </c>
      <c r="N296" s="64" t="e">
        <f>Saisie!#REF!</f>
        <v>#REF!</v>
      </c>
      <c r="O296" s="63" t="e">
        <f>Saisie!#REF!</f>
        <v>#REF!</v>
      </c>
      <c r="P296" s="63">
        <f>Saisie!N296</f>
        <v>0</v>
      </c>
      <c r="Q296" s="63" t="e">
        <f t="array" ref="Q296">_xlfn.IFS(Saisie!#REF!="OUI",1,Saisie!#REF!="NON",0)</f>
        <v>#REF!</v>
      </c>
      <c r="R296" s="63" t="e">
        <f>Saisie!#REF!</f>
        <v>#REF!</v>
      </c>
      <c r="S296" s="65" t="e">
        <f>Saisie!#REF!</f>
        <v>#REF!</v>
      </c>
      <c r="T296" s="63" t="e">
        <f>Saisie!#REF!</f>
        <v>#REF!</v>
      </c>
      <c r="U296" s="63" t="e">
        <f>Saisie!#REF!</f>
        <v>#REF!</v>
      </c>
      <c r="V296" s="63" t="e">
        <f t="array" ref="V296">_xlfn.IFS(Saisie!#REF!="OUI",1,Saisie!#REF!="NON",0)</f>
        <v>#REF!</v>
      </c>
      <c r="W296" s="63" t="e">
        <f t="array" ref="W296">_xlfn.IFS(Saisie!O296="OUI",1,Saisie!O296="NON",0)</f>
        <v>#N/A</v>
      </c>
      <c r="X296" s="63">
        <f>Saisie!P296</f>
        <v>0</v>
      </c>
      <c r="Y296" s="299">
        <f>Saisie!H296</f>
        <v>0</v>
      </c>
      <c r="Z296" s="58" t="e">
        <f>Saisie!#REF!</f>
        <v>#REF!</v>
      </c>
      <c r="AA296" s="299">
        <f>Saisie!Q296</f>
        <v>0</v>
      </c>
      <c r="AB296" s="63" t="e">
        <f t="array" ref="AB296">_xlfn.IFS(Saisie!R296="OUI",1,Saisie!R296="NON",0)</f>
        <v>#N/A</v>
      </c>
      <c r="AC296" s="63">
        <f>Saisie!S296</f>
        <v>0</v>
      </c>
      <c r="AD296" s="63" t="e">
        <f t="array" ref="AD296">_xlfn.IFS(Saisie!T296="OUI",1,Saisie!T296="NON",0)</f>
        <v>#N/A</v>
      </c>
      <c r="AE296" s="171">
        <f>Saisie!U296</f>
        <v>0</v>
      </c>
      <c r="AF296" s="262">
        <v>2</v>
      </c>
      <c r="AG296" s="129">
        <f>Saisie!W296</f>
        <v>0</v>
      </c>
      <c r="AH296" s="20">
        <f>Saisie!X296</f>
        <v>0</v>
      </c>
      <c r="AI296" s="21">
        <f>Saisie!Y296</f>
        <v>0</v>
      </c>
      <c r="AJ296" s="59">
        <f>Saisie!Z296</f>
        <v>0</v>
      </c>
      <c r="AK296" s="20">
        <f>Saisie!AA296</f>
        <v>0</v>
      </c>
      <c r="AL296" s="21">
        <f>Saisie!AB296</f>
        <v>0</v>
      </c>
      <c r="AM296" s="59">
        <f>Saisie!AC296</f>
        <v>0</v>
      </c>
      <c r="AN296" s="20">
        <f>Saisie!AD296</f>
        <v>0</v>
      </c>
      <c r="AO296" s="21">
        <f>Saisie!AE296</f>
        <v>0</v>
      </c>
      <c r="AP296" s="59">
        <f>Saisie!AF296</f>
        <v>0</v>
      </c>
      <c r="AQ296" s="129" t="e">
        <f t="array" ref="AQ296">_xlfn.IFS(Saisie!AG296="OUI",1,Saisie!AG296="NON",0)</f>
        <v>#N/A</v>
      </c>
      <c r="AR296" s="129" t="e">
        <f t="array" ref="AR296">_xlfn.IFS(Saisie!AH296="OUI",1,Saisie!AH296="NON",0)</f>
        <v>#N/A</v>
      </c>
      <c r="AS296" s="171">
        <f>Saisie!AI296</f>
        <v>0</v>
      </c>
      <c r="AT296" s="263" t="e">
        <f t="array" ref="AT296">_xlfn.IFS(Saisie!AJ296="OUI",1,Saisie!AJ296="NON",0)</f>
        <v>#N/A</v>
      </c>
      <c r="AU296" s="173">
        <f>Saisie!AK296</f>
        <v>0</v>
      </c>
      <c r="AV296" s="263" t="e">
        <f t="array" ref="AV296">_xlfn.IFS(Saisie!AL296="OUI",1,Saisie!AL296="NON",0)</f>
        <v>#N/A</v>
      </c>
      <c r="AW296" s="171">
        <f>Saisie!AM296</f>
        <v>0</v>
      </c>
      <c r="AX296" s="68">
        <f>Saisie!AN296</f>
        <v>0</v>
      </c>
      <c r="AY296" s="20">
        <f>Saisie!AO296</f>
        <v>0</v>
      </c>
      <c r="AZ296" s="21">
        <f>Saisie!AP296</f>
        <v>0</v>
      </c>
      <c r="BA296" s="298">
        <f>Saisie!AQ296</f>
        <v>0</v>
      </c>
      <c r="BB296" s="170">
        <f>Saisie!AR296</f>
        <v>0</v>
      </c>
      <c r="BC296" s="174">
        <f>Saisie!AS296</f>
        <v>0</v>
      </c>
      <c r="BD296" s="61">
        <f>Saisie!AT296</f>
        <v>0</v>
      </c>
      <c r="BE296" s="175" t="e">
        <f t="array" ref="BE296">_xlfn.IFS(Saisie!AU296="OUI",1,Saisie!AU296="NON",0)</f>
        <v>#N/A</v>
      </c>
      <c r="BF296" s="267">
        <f>Saisie!AV296</f>
        <v>0</v>
      </c>
      <c r="BG296" s="55">
        <f>Saisie!AW296</f>
        <v>0</v>
      </c>
      <c r="BH296" s="55" t="e">
        <f t="array" ref="BH296">_xlfn.IFS(Saisie!AX296="OUI",1,Saisie!AX296="NON",0)</f>
        <v>#N/A</v>
      </c>
      <c r="BI296" s="62">
        <f>Saisie!AY296</f>
        <v>0</v>
      </c>
      <c r="BJ296" s="55" t="e">
        <f t="array" ref="BJ296">_xlfn.IFS(Saisie!AZ296="OUI",1,Saisie!AZ296="NON",0)</f>
        <v>#N/A</v>
      </c>
      <c r="BK296" s="55" t="e">
        <f t="array" ref="BK296">_xlfn.IFS(Saisie!BA296="OUI",1,Saisie!BA296="NON",0)</f>
        <v>#N/A</v>
      </c>
      <c r="BL296" s="55">
        <f>Saisie!BB296</f>
        <v>0</v>
      </c>
      <c r="BM296" s="49" t="e">
        <f>Saisie!BC296</f>
        <v>#REF!</v>
      </c>
      <c r="BN296" s="175"/>
    </row>
    <row r="297" spans="1:66" s="176" customFormat="1" x14ac:dyDescent="0.45">
      <c r="A297" s="13">
        <v>291</v>
      </c>
      <c r="B297" s="150">
        <f>Saisie!B297</f>
        <v>0</v>
      </c>
      <c r="C297" s="150">
        <f>Saisie!C297</f>
        <v>0</v>
      </c>
      <c r="D297" s="150">
        <f>Saisie!D297</f>
        <v>0</v>
      </c>
      <c r="E297" s="150">
        <f>Saisie!E297</f>
        <v>0</v>
      </c>
      <c r="F297" s="150">
        <f>Saisie!F297</f>
        <v>0</v>
      </c>
      <c r="G297" s="150">
        <f>Saisie!G297</f>
        <v>0</v>
      </c>
      <c r="H297" s="150">
        <f>Saisie!I297</f>
        <v>0</v>
      </c>
      <c r="I297" s="150">
        <f>Saisie!J297</f>
        <v>0</v>
      </c>
      <c r="J297" s="150">
        <f>Saisie!K297</f>
        <v>0</v>
      </c>
      <c r="K297" s="150">
        <f>Saisie!L297</f>
        <v>0</v>
      </c>
      <c r="L297" s="150" t="e">
        <f>Saisie!#REF!</f>
        <v>#REF!</v>
      </c>
      <c r="M297" s="55" t="e">
        <f t="array" ref="M297">_xlfn.IFS(Saisie!M297="OUI",1,Saisie!M297="NON",0)</f>
        <v>#N/A</v>
      </c>
      <c r="N297" s="64" t="e">
        <f>Saisie!#REF!</f>
        <v>#REF!</v>
      </c>
      <c r="O297" s="63" t="e">
        <f>Saisie!#REF!</f>
        <v>#REF!</v>
      </c>
      <c r="P297" s="63">
        <f>Saisie!N297</f>
        <v>0</v>
      </c>
      <c r="Q297" s="63" t="e">
        <f t="array" ref="Q297">_xlfn.IFS(Saisie!#REF!="OUI",1,Saisie!#REF!="NON",0)</f>
        <v>#REF!</v>
      </c>
      <c r="R297" s="63" t="e">
        <f>Saisie!#REF!</f>
        <v>#REF!</v>
      </c>
      <c r="S297" s="65" t="e">
        <f>Saisie!#REF!</f>
        <v>#REF!</v>
      </c>
      <c r="T297" s="63" t="e">
        <f>Saisie!#REF!</f>
        <v>#REF!</v>
      </c>
      <c r="U297" s="63" t="e">
        <f>Saisie!#REF!</f>
        <v>#REF!</v>
      </c>
      <c r="V297" s="63" t="e">
        <f t="array" ref="V297">_xlfn.IFS(Saisie!#REF!="OUI",1,Saisie!#REF!="NON",0)</f>
        <v>#REF!</v>
      </c>
      <c r="W297" s="63" t="e">
        <f t="array" ref="W297">_xlfn.IFS(Saisie!O297="OUI",1,Saisie!O297="NON",0)</f>
        <v>#N/A</v>
      </c>
      <c r="X297" s="63">
        <f>Saisie!P297</f>
        <v>0</v>
      </c>
      <c r="Y297" s="299">
        <f>Saisie!H297</f>
        <v>0</v>
      </c>
      <c r="Z297" s="58" t="e">
        <f>Saisie!#REF!</f>
        <v>#REF!</v>
      </c>
      <c r="AA297" s="299">
        <f>Saisie!Q297</f>
        <v>0</v>
      </c>
      <c r="AB297" s="63" t="e">
        <f t="array" ref="AB297">_xlfn.IFS(Saisie!R297="OUI",1,Saisie!R297="NON",0)</f>
        <v>#N/A</v>
      </c>
      <c r="AC297" s="63">
        <f>Saisie!S297</f>
        <v>0</v>
      </c>
      <c r="AD297" s="63" t="e">
        <f t="array" ref="AD297">_xlfn.IFS(Saisie!T297="OUI",1,Saisie!T297="NON",0)</f>
        <v>#N/A</v>
      </c>
      <c r="AE297" s="171">
        <f>Saisie!U297</f>
        <v>0</v>
      </c>
      <c r="AF297" s="262">
        <v>3</v>
      </c>
      <c r="AG297" s="129">
        <f>Saisie!W297</f>
        <v>0</v>
      </c>
      <c r="AH297" s="20">
        <f>Saisie!X297</f>
        <v>0</v>
      </c>
      <c r="AI297" s="21">
        <f>Saisie!Y297</f>
        <v>0</v>
      </c>
      <c r="AJ297" s="59">
        <f>Saisie!Z297</f>
        <v>0</v>
      </c>
      <c r="AK297" s="20">
        <f>Saisie!AA297</f>
        <v>0</v>
      </c>
      <c r="AL297" s="21">
        <f>Saisie!AB297</f>
        <v>0</v>
      </c>
      <c r="AM297" s="59">
        <f>Saisie!AC297</f>
        <v>0</v>
      </c>
      <c r="AN297" s="20">
        <f>Saisie!AD297</f>
        <v>0</v>
      </c>
      <c r="AO297" s="21">
        <f>Saisie!AE297</f>
        <v>0</v>
      </c>
      <c r="AP297" s="59">
        <f>Saisie!AF297</f>
        <v>0</v>
      </c>
      <c r="AQ297" s="129" t="e">
        <f t="array" ref="AQ297">_xlfn.IFS(Saisie!AG297="OUI",1,Saisie!AG297="NON",0)</f>
        <v>#N/A</v>
      </c>
      <c r="AR297" s="129" t="e">
        <f t="array" ref="AR297">_xlfn.IFS(Saisie!AH297="OUI",1,Saisie!AH297="NON",0)</f>
        <v>#N/A</v>
      </c>
      <c r="AS297" s="171">
        <f>Saisie!AI297</f>
        <v>0</v>
      </c>
      <c r="AT297" s="263" t="e">
        <f t="array" ref="AT297">_xlfn.IFS(Saisie!AJ297="OUI",1,Saisie!AJ297="NON",0)</f>
        <v>#N/A</v>
      </c>
      <c r="AU297" s="173">
        <f>Saisie!AK297</f>
        <v>0</v>
      </c>
      <c r="AV297" s="263" t="e">
        <f t="array" ref="AV297">_xlfn.IFS(Saisie!AL297="OUI",1,Saisie!AL297="NON",0)</f>
        <v>#N/A</v>
      </c>
      <c r="AW297" s="171">
        <f>Saisie!AM297</f>
        <v>0</v>
      </c>
      <c r="AX297" s="68">
        <f>Saisie!AN297</f>
        <v>0</v>
      </c>
      <c r="AY297" s="20">
        <f>Saisie!AO297</f>
        <v>0</v>
      </c>
      <c r="AZ297" s="21">
        <f>Saisie!AP297</f>
        <v>0</v>
      </c>
      <c r="BA297" s="298">
        <f>Saisie!AQ297</f>
        <v>0</v>
      </c>
      <c r="BB297" s="170">
        <f>Saisie!AR297</f>
        <v>0</v>
      </c>
      <c r="BC297" s="174">
        <f>Saisie!AS297</f>
        <v>0</v>
      </c>
      <c r="BD297" s="61">
        <f>Saisie!AT297</f>
        <v>0</v>
      </c>
      <c r="BE297" s="175" t="e">
        <f t="array" ref="BE297">_xlfn.IFS(Saisie!AU297="OUI",1,Saisie!AU297="NON",0)</f>
        <v>#N/A</v>
      </c>
      <c r="BF297" s="267">
        <f>Saisie!AV297</f>
        <v>0</v>
      </c>
      <c r="BG297" s="55">
        <f>Saisie!AW297</f>
        <v>0</v>
      </c>
      <c r="BH297" s="55" t="e">
        <f t="array" ref="BH297">_xlfn.IFS(Saisie!AX297="OUI",1,Saisie!AX297="NON",0)</f>
        <v>#N/A</v>
      </c>
      <c r="BI297" s="62">
        <f>Saisie!AY297</f>
        <v>0</v>
      </c>
      <c r="BJ297" s="55" t="e">
        <f t="array" ref="BJ297">_xlfn.IFS(Saisie!AZ297="OUI",1,Saisie!AZ297="NON",0)</f>
        <v>#N/A</v>
      </c>
      <c r="BK297" s="55" t="e">
        <f t="array" ref="BK297">_xlfn.IFS(Saisie!BA297="OUI",1,Saisie!BA297="NON",0)</f>
        <v>#N/A</v>
      </c>
      <c r="BL297" s="55">
        <f>Saisie!BB297</f>
        <v>0</v>
      </c>
      <c r="BM297" s="49" t="e">
        <f>Saisie!BC297</f>
        <v>#REF!</v>
      </c>
      <c r="BN297" s="175"/>
    </row>
    <row r="298" spans="1:66" s="176" customFormat="1" x14ac:dyDescent="0.45">
      <c r="A298" s="12">
        <v>292</v>
      </c>
      <c r="B298" s="150">
        <f>Saisie!B298</f>
        <v>0</v>
      </c>
      <c r="C298" s="150">
        <f>Saisie!C298</f>
        <v>0</v>
      </c>
      <c r="D298" s="150">
        <f>Saisie!D298</f>
        <v>0</v>
      </c>
      <c r="E298" s="150">
        <f>Saisie!E298</f>
        <v>0</v>
      </c>
      <c r="F298" s="150">
        <f>Saisie!F298</f>
        <v>0</v>
      </c>
      <c r="G298" s="150">
        <f>Saisie!G298</f>
        <v>0</v>
      </c>
      <c r="H298" s="150">
        <f>Saisie!I298</f>
        <v>0</v>
      </c>
      <c r="I298" s="150">
        <f>Saisie!J298</f>
        <v>0</v>
      </c>
      <c r="J298" s="150">
        <f>Saisie!K298</f>
        <v>0</v>
      </c>
      <c r="K298" s="150">
        <f>Saisie!L298</f>
        <v>0</v>
      </c>
      <c r="L298" s="150" t="e">
        <f>Saisie!#REF!</f>
        <v>#REF!</v>
      </c>
      <c r="M298" s="55" t="e">
        <f t="array" ref="M298">_xlfn.IFS(Saisie!M298="OUI",1,Saisie!M298="NON",0)</f>
        <v>#N/A</v>
      </c>
      <c r="N298" s="64" t="e">
        <f>Saisie!#REF!</f>
        <v>#REF!</v>
      </c>
      <c r="O298" s="63" t="e">
        <f>Saisie!#REF!</f>
        <v>#REF!</v>
      </c>
      <c r="P298" s="63">
        <f>Saisie!N298</f>
        <v>0</v>
      </c>
      <c r="Q298" s="63" t="e">
        <f t="array" ref="Q298">_xlfn.IFS(Saisie!#REF!="OUI",1,Saisie!#REF!="NON",0)</f>
        <v>#REF!</v>
      </c>
      <c r="R298" s="63" t="e">
        <f>Saisie!#REF!</f>
        <v>#REF!</v>
      </c>
      <c r="S298" s="65" t="e">
        <f>Saisie!#REF!</f>
        <v>#REF!</v>
      </c>
      <c r="T298" s="63" t="e">
        <f>Saisie!#REF!</f>
        <v>#REF!</v>
      </c>
      <c r="U298" s="63" t="e">
        <f>Saisie!#REF!</f>
        <v>#REF!</v>
      </c>
      <c r="V298" s="63" t="e">
        <f t="array" ref="V298">_xlfn.IFS(Saisie!#REF!="OUI",1,Saisie!#REF!="NON",0)</f>
        <v>#REF!</v>
      </c>
      <c r="W298" s="63" t="e">
        <f t="array" ref="W298">_xlfn.IFS(Saisie!O298="OUI",1,Saisie!O298="NON",0)</f>
        <v>#N/A</v>
      </c>
      <c r="X298" s="63">
        <f>Saisie!P298</f>
        <v>0</v>
      </c>
      <c r="Y298" s="299">
        <f>Saisie!H298</f>
        <v>0</v>
      </c>
      <c r="Z298" s="58" t="e">
        <f>Saisie!#REF!</f>
        <v>#REF!</v>
      </c>
      <c r="AA298" s="299">
        <f>Saisie!Q298</f>
        <v>0</v>
      </c>
      <c r="AB298" s="63" t="e">
        <f t="array" ref="AB298">_xlfn.IFS(Saisie!R298="OUI",1,Saisie!R298="NON",0)</f>
        <v>#N/A</v>
      </c>
      <c r="AC298" s="63">
        <f>Saisie!S298</f>
        <v>0</v>
      </c>
      <c r="AD298" s="63" t="e">
        <f t="array" ref="AD298">_xlfn.IFS(Saisie!T298="OUI",1,Saisie!T298="NON",0)</f>
        <v>#N/A</v>
      </c>
      <c r="AE298" s="171">
        <f>Saisie!U298</f>
        <v>0</v>
      </c>
      <c r="AF298" s="262">
        <v>3</v>
      </c>
      <c r="AG298" s="129">
        <f>Saisie!W298</f>
        <v>0</v>
      </c>
      <c r="AH298" s="20">
        <f>Saisie!X298</f>
        <v>0</v>
      </c>
      <c r="AI298" s="21">
        <f>Saisie!Y298</f>
        <v>0</v>
      </c>
      <c r="AJ298" s="59">
        <f>Saisie!Z298</f>
        <v>0</v>
      </c>
      <c r="AK298" s="20">
        <f>Saisie!AA298</f>
        <v>0</v>
      </c>
      <c r="AL298" s="21">
        <f>Saisie!AB298</f>
        <v>0</v>
      </c>
      <c r="AM298" s="59">
        <f>Saisie!AC298</f>
        <v>0</v>
      </c>
      <c r="AN298" s="20">
        <f>Saisie!AD298</f>
        <v>0</v>
      </c>
      <c r="AO298" s="21">
        <f>Saisie!AE298</f>
        <v>0</v>
      </c>
      <c r="AP298" s="59">
        <f>Saisie!AF298</f>
        <v>0</v>
      </c>
      <c r="AQ298" s="129" t="e">
        <f t="array" ref="AQ298">_xlfn.IFS(Saisie!AG298="OUI",1,Saisie!AG298="NON",0)</f>
        <v>#N/A</v>
      </c>
      <c r="AR298" s="129" t="e">
        <f t="array" ref="AR298">_xlfn.IFS(Saisie!AH298="OUI",1,Saisie!AH298="NON",0)</f>
        <v>#N/A</v>
      </c>
      <c r="AS298" s="171">
        <f>Saisie!AI298</f>
        <v>0</v>
      </c>
      <c r="AT298" s="263" t="e">
        <f t="array" ref="AT298">_xlfn.IFS(Saisie!AJ298="OUI",1,Saisie!AJ298="NON",0)</f>
        <v>#N/A</v>
      </c>
      <c r="AU298" s="173">
        <f>Saisie!AK298</f>
        <v>0</v>
      </c>
      <c r="AV298" s="263" t="e">
        <f t="array" ref="AV298">_xlfn.IFS(Saisie!AL298="OUI",1,Saisie!AL298="NON",0)</f>
        <v>#N/A</v>
      </c>
      <c r="AW298" s="171">
        <f>Saisie!AM298</f>
        <v>0</v>
      </c>
      <c r="AX298" s="68">
        <f>Saisie!AN298</f>
        <v>0</v>
      </c>
      <c r="AY298" s="20">
        <f>Saisie!AO298</f>
        <v>0</v>
      </c>
      <c r="AZ298" s="21">
        <f>Saisie!AP298</f>
        <v>0</v>
      </c>
      <c r="BA298" s="298">
        <f>Saisie!AQ298</f>
        <v>0</v>
      </c>
      <c r="BB298" s="170">
        <f>Saisie!AR298</f>
        <v>0</v>
      </c>
      <c r="BC298" s="174">
        <f>Saisie!AS298</f>
        <v>0</v>
      </c>
      <c r="BD298" s="61">
        <f>Saisie!AT298</f>
        <v>0</v>
      </c>
      <c r="BE298" s="175" t="e">
        <f t="array" ref="BE298">_xlfn.IFS(Saisie!AU298="OUI",1,Saisie!AU298="NON",0)</f>
        <v>#N/A</v>
      </c>
      <c r="BF298" s="267">
        <f>Saisie!AV298</f>
        <v>0</v>
      </c>
      <c r="BG298" s="55">
        <f>Saisie!AW298</f>
        <v>0</v>
      </c>
      <c r="BH298" s="55" t="e">
        <f t="array" ref="BH298">_xlfn.IFS(Saisie!AX298="OUI",1,Saisie!AX298="NON",0)</f>
        <v>#N/A</v>
      </c>
      <c r="BI298" s="62">
        <f>Saisie!AY298</f>
        <v>0</v>
      </c>
      <c r="BJ298" s="55" t="e">
        <f t="array" ref="BJ298">_xlfn.IFS(Saisie!AZ298="OUI",1,Saisie!AZ298="NON",0)</f>
        <v>#N/A</v>
      </c>
      <c r="BK298" s="55" t="e">
        <f t="array" ref="BK298">_xlfn.IFS(Saisie!BA298="OUI",1,Saisie!BA298="NON",0)</f>
        <v>#N/A</v>
      </c>
      <c r="BL298" s="55">
        <f>Saisie!BB298</f>
        <v>0</v>
      </c>
      <c r="BM298" s="49" t="e">
        <f>Saisie!BC298</f>
        <v>#REF!</v>
      </c>
      <c r="BN298" s="175"/>
    </row>
    <row r="299" spans="1:66" s="176" customFormat="1" x14ac:dyDescent="0.45">
      <c r="A299" s="13">
        <v>293</v>
      </c>
      <c r="B299" s="150">
        <f>Saisie!B299</f>
        <v>0</v>
      </c>
      <c r="C299" s="150">
        <f>Saisie!C299</f>
        <v>0</v>
      </c>
      <c r="D299" s="150">
        <f>Saisie!D299</f>
        <v>0</v>
      </c>
      <c r="E299" s="150">
        <f>Saisie!E299</f>
        <v>0</v>
      </c>
      <c r="F299" s="150">
        <f>Saisie!F299</f>
        <v>0</v>
      </c>
      <c r="G299" s="150">
        <f>Saisie!G299</f>
        <v>0</v>
      </c>
      <c r="H299" s="150">
        <f>Saisie!I299</f>
        <v>0</v>
      </c>
      <c r="I299" s="150">
        <f>Saisie!J299</f>
        <v>0</v>
      </c>
      <c r="J299" s="150">
        <f>Saisie!K299</f>
        <v>0</v>
      </c>
      <c r="K299" s="150">
        <f>Saisie!L299</f>
        <v>0</v>
      </c>
      <c r="L299" s="150" t="e">
        <f>Saisie!#REF!</f>
        <v>#REF!</v>
      </c>
      <c r="M299" s="55" t="e">
        <f t="array" ref="M299">_xlfn.IFS(Saisie!M299="OUI",1,Saisie!M299="NON",0)</f>
        <v>#N/A</v>
      </c>
      <c r="N299" s="64" t="e">
        <f>Saisie!#REF!</f>
        <v>#REF!</v>
      </c>
      <c r="O299" s="63" t="e">
        <f>Saisie!#REF!</f>
        <v>#REF!</v>
      </c>
      <c r="P299" s="63">
        <f>Saisie!N299</f>
        <v>0</v>
      </c>
      <c r="Q299" s="63" t="e">
        <f t="array" ref="Q299">_xlfn.IFS(Saisie!#REF!="OUI",1,Saisie!#REF!="NON",0)</f>
        <v>#REF!</v>
      </c>
      <c r="R299" s="63" t="e">
        <f>Saisie!#REF!</f>
        <v>#REF!</v>
      </c>
      <c r="S299" s="65" t="e">
        <f>Saisie!#REF!</f>
        <v>#REF!</v>
      </c>
      <c r="T299" s="63" t="e">
        <f>Saisie!#REF!</f>
        <v>#REF!</v>
      </c>
      <c r="U299" s="63" t="e">
        <f>Saisie!#REF!</f>
        <v>#REF!</v>
      </c>
      <c r="V299" s="63" t="e">
        <f t="array" ref="V299">_xlfn.IFS(Saisie!#REF!="OUI",1,Saisie!#REF!="NON",0)</f>
        <v>#REF!</v>
      </c>
      <c r="W299" s="63" t="e">
        <f t="array" ref="W299">_xlfn.IFS(Saisie!O299="OUI",1,Saisie!O299="NON",0)</f>
        <v>#N/A</v>
      </c>
      <c r="X299" s="63">
        <f>Saisie!P299</f>
        <v>0</v>
      </c>
      <c r="Y299" s="299">
        <f>Saisie!H299</f>
        <v>0</v>
      </c>
      <c r="Z299" s="58" t="e">
        <f>Saisie!#REF!</f>
        <v>#REF!</v>
      </c>
      <c r="AA299" s="299">
        <f>Saisie!Q299</f>
        <v>0</v>
      </c>
      <c r="AB299" s="63" t="e">
        <f t="array" ref="AB299">_xlfn.IFS(Saisie!R299="OUI",1,Saisie!R299="NON",0)</f>
        <v>#N/A</v>
      </c>
      <c r="AC299" s="63">
        <f>Saisie!S299</f>
        <v>0</v>
      </c>
      <c r="AD299" s="63" t="e">
        <f t="array" ref="AD299">_xlfn.IFS(Saisie!T299="OUI",1,Saisie!T299="NON",0)</f>
        <v>#N/A</v>
      </c>
      <c r="AE299" s="171">
        <f>Saisie!U299</f>
        <v>0</v>
      </c>
      <c r="AF299" s="262">
        <v>3</v>
      </c>
      <c r="AG299" s="129">
        <f>Saisie!W299</f>
        <v>0</v>
      </c>
      <c r="AH299" s="20">
        <f>Saisie!X299</f>
        <v>0</v>
      </c>
      <c r="AI299" s="21">
        <f>Saisie!Y299</f>
        <v>0</v>
      </c>
      <c r="AJ299" s="59">
        <f>Saisie!Z299</f>
        <v>0</v>
      </c>
      <c r="AK299" s="20">
        <f>Saisie!AA299</f>
        <v>0</v>
      </c>
      <c r="AL299" s="21">
        <f>Saisie!AB299</f>
        <v>0</v>
      </c>
      <c r="AM299" s="59">
        <f>Saisie!AC299</f>
        <v>0</v>
      </c>
      <c r="AN299" s="20">
        <f>Saisie!AD299</f>
        <v>0</v>
      </c>
      <c r="AO299" s="21">
        <f>Saisie!AE299</f>
        <v>0</v>
      </c>
      <c r="AP299" s="59">
        <f>Saisie!AF299</f>
        <v>0</v>
      </c>
      <c r="AQ299" s="129" t="e">
        <f t="array" ref="AQ299">_xlfn.IFS(Saisie!AG299="OUI",1,Saisie!AG299="NON",0)</f>
        <v>#N/A</v>
      </c>
      <c r="AR299" s="129" t="e">
        <f t="array" ref="AR299">_xlfn.IFS(Saisie!AH299="OUI",1,Saisie!AH299="NON",0)</f>
        <v>#N/A</v>
      </c>
      <c r="AS299" s="171">
        <f>Saisie!AI299</f>
        <v>0</v>
      </c>
      <c r="AT299" s="263" t="e">
        <f t="array" ref="AT299">_xlfn.IFS(Saisie!AJ299="OUI",1,Saisie!AJ299="NON",0)</f>
        <v>#N/A</v>
      </c>
      <c r="AU299" s="173">
        <f>Saisie!AK299</f>
        <v>0</v>
      </c>
      <c r="AV299" s="263" t="e">
        <f t="array" ref="AV299">_xlfn.IFS(Saisie!AL299="OUI",1,Saisie!AL299="NON",0)</f>
        <v>#N/A</v>
      </c>
      <c r="AW299" s="171">
        <f>Saisie!AM299</f>
        <v>0</v>
      </c>
      <c r="AX299" s="68">
        <f>Saisie!AN299</f>
        <v>0</v>
      </c>
      <c r="AY299" s="20">
        <f>Saisie!AO299</f>
        <v>0</v>
      </c>
      <c r="AZ299" s="21">
        <f>Saisie!AP299</f>
        <v>0</v>
      </c>
      <c r="BA299" s="298">
        <f>Saisie!AQ299</f>
        <v>0</v>
      </c>
      <c r="BB299" s="170">
        <f>Saisie!AR299</f>
        <v>0</v>
      </c>
      <c r="BC299" s="174">
        <f>Saisie!AS299</f>
        <v>0</v>
      </c>
      <c r="BD299" s="61">
        <f>Saisie!AT299</f>
        <v>0</v>
      </c>
      <c r="BE299" s="175" t="e">
        <f t="array" ref="BE299">_xlfn.IFS(Saisie!AU299="OUI",1,Saisie!AU299="NON",0)</f>
        <v>#N/A</v>
      </c>
      <c r="BF299" s="267">
        <f>Saisie!AV299</f>
        <v>0</v>
      </c>
      <c r="BG299" s="55">
        <f>Saisie!AW299</f>
        <v>0</v>
      </c>
      <c r="BH299" s="55" t="e">
        <f t="array" ref="BH299">_xlfn.IFS(Saisie!AX299="OUI",1,Saisie!AX299="NON",0)</f>
        <v>#N/A</v>
      </c>
      <c r="BI299" s="62">
        <f>Saisie!AY299</f>
        <v>0</v>
      </c>
      <c r="BJ299" s="55" t="e">
        <f t="array" ref="BJ299">_xlfn.IFS(Saisie!AZ299="OUI",1,Saisie!AZ299="NON",0)</f>
        <v>#N/A</v>
      </c>
      <c r="BK299" s="55" t="e">
        <f t="array" ref="BK299">_xlfn.IFS(Saisie!BA299="OUI",1,Saisie!BA299="NON",0)</f>
        <v>#N/A</v>
      </c>
      <c r="BL299" s="55">
        <f>Saisie!BB299</f>
        <v>0</v>
      </c>
      <c r="BM299" s="49" t="e">
        <f>Saisie!BC299</f>
        <v>#REF!</v>
      </c>
      <c r="BN299" s="175"/>
    </row>
    <row r="300" spans="1:66" s="176" customFormat="1" x14ac:dyDescent="0.45">
      <c r="A300" s="13">
        <v>294</v>
      </c>
      <c r="B300" s="150">
        <f>Saisie!B300</f>
        <v>0</v>
      </c>
      <c r="C300" s="150">
        <f>Saisie!C300</f>
        <v>0</v>
      </c>
      <c r="D300" s="150">
        <f>Saisie!D300</f>
        <v>0</v>
      </c>
      <c r="E300" s="150">
        <f>Saisie!E300</f>
        <v>0</v>
      </c>
      <c r="F300" s="150">
        <f>Saisie!F300</f>
        <v>0</v>
      </c>
      <c r="G300" s="150">
        <f>Saisie!G300</f>
        <v>0</v>
      </c>
      <c r="H300" s="150">
        <f>Saisie!I300</f>
        <v>0</v>
      </c>
      <c r="I300" s="150">
        <f>Saisie!J300</f>
        <v>0</v>
      </c>
      <c r="J300" s="150">
        <f>Saisie!K300</f>
        <v>0</v>
      </c>
      <c r="K300" s="150">
        <f>Saisie!L300</f>
        <v>0</v>
      </c>
      <c r="L300" s="150" t="e">
        <f>Saisie!#REF!</f>
        <v>#REF!</v>
      </c>
      <c r="M300" s="55" t="e">
        <f t="array" ref="M300">_xlfn.IFS(Saisie!M300="OUI",1,Saisie!M300="NON",0)</f>
        <v>#N/A</v>
      </c>
      <c r="N300" s="64" t="e">
        <f>Saisie!#REF!</f>
        <v>#REF!</v>
      </c>
      <c r="O300" s="63" t="e">
        <f>Saisie!#REF!</f>
        <v>#REF!</v>
      </c>
      <c r="P300" s="63">
        <f>Saisie!N300</f>
        <v>0</v>
      </c>
      <c r="Q300" s="63" t="e">
        <f t="array" ref="Q300">_xlfn.IFS(Saisie!#REF!="OUI",1,Saisie!#REF!="NON",0)</f>
        <v>#REF!</v>
      </c>
      <c r="R300" s="63" t="e">
        <f>Saisie!#REF!</f>
        <v>#REF!</v>
      </c>
      <c r="S300" s="65" t="e">
        <f>Saisie!#REF!</f>
        <v>#REF!</v>
      </c>
      <c r="T300" s="63" t="e">
        <f>Saisie!#REF!</f>
        <v>#REF!</v>
      </c>
      <c r="U300" s="63" t="e">
        <f>Saisie!#REF!</f>
        <v>#REF!</v>
      </c>
      <c r="V300" s="63" t="e">
        <f t="array" ref="V300">_xlfn.IFS(Saisie!#REF!="OUI",1,Saisie!#REF!="NON",0)</f>
        <v>#REF!</v>
      </c>
      <c r="W300" s="63" t="e">
        <f t="array" ref="W300">_xlfn.IFS(Saisie!O300="OUI",1,Saisie!O300="NON",0)</f>
        <v>#N/A</v>
      </c>
      <c r="X300" s="63">
        <f>Saisie!P300</f>
        <v>0</v>
      </c>
      <c r="Y300" s="299">
        <f>Saisie!H300</f>
        <v>0</v>
      </c>
      <c r="Z300" s="58" t="e">
        <f>Saisie!#REF!</f>
        <v>#REF!</v>
      </c>
      <c r="AA300" s="299">
        <f>Saisie!Q300</f>
        <v>0</v>
      </c>
      <c r="AB300" s="63" t="e">
        <f t="array" ref="AB300">_xlfn.IFS(Saisie!R300="OUI",1,Saisie!R300="NON",0)</f>
        <v>#N/A</v>
      </c>
      <c r="AC300" s="63">
        <f>Saisie!S300</f>
        <v>0</v>
      </c>
      <c r="AD300" s="63" t="e">
        <f t="array" ref="AD300">_xlfn.IFS(Saisie!T300="OUI",1,Saisie!T300="NON",0)</f>
        <v>#N/A</v>
      </c>
      <c r="AE300" s="171">
        <f>Saisie!U300</f>
        <v>0</v>
      </c>
      <c r="AF300" s="262">
        <v>3</v>
      </c>
      <c r="AG300" s="129">
        <f>Saisie!W300</f>
        <v>0</v>
      </c>
      <c r="AH300" s="20">
        <f>Saisie!X300</f>
        <v>0</v>
      </c>
      <c r="AI300" s="21">
        <f>Saisie!Y300</f>
        <v>0</v>
      </c>
      <c r="AJ300" s="59">
        <f>Saisie!Z300</f>
        <v>0</v>
      </c>
      <c r="AK300" s="20">
        <f>Saisie!AA300</f>
        <v>0</v>
      </c>
      <c r="AL300" s="21">
        <f>Saisie!AB300</f>
        <v>0</v>
      </c>
      <c r="AM300" s="59">
        <f>Saisie!AC300</f>
        <v>0</v>
      </c>
      <c r="AN300" s="20">
        <f>Saisie!AD300</f>
        <v>0</v>
      </c>
      <c r="AO300" s="21">
        <f>Saisie!AE300</f>
        <v>0</v>
      </c>
      <c r="AP300" s="59">
        <f>Saisie!AF300</f>
        <v>0</v>
      </c>
      <c r="AQ300" s="129" t="e">
        <f t="array" ref="AQ300">_xlfn.IFS(Saisie!AG300="OUI",1,Saisie!AG300="NON",0)</f>
        <v>#N/A</v>
      </c>
      <c r="AR300" s="129" t="e">
        <f t="array" ref="AR300">_xlfn.IFS(Saisie!AH300="OUI",1,Saisie!AH300="NON",0)</f>
        <v>#N/A</v>
      </c>
      <c r="AS300" s="171">
        <f>Saisie!AI300</f>
        <v>0</v>
      </c>
      <c r="AT300" s="263" t="e">
        <f t="array" ref="AT300">_xlfn.IFS(Saisie!AJ300="OUI",1,Saisie!AJ300="NON",0)</f>
        <v>#N/A</v>
      </c>
      <c r="AU300" s="173">
        <f>Saisie!AK300</f>
        <v>0</v>
      </c>
      <c r="AV300" s="263" t="e">
        <f t="array" ref="AV300">_xlfn.IFS(Saisie!AL300="OUI",1,Saisie!AL300="NON",0)</f>
        <v>#N/A</v>
      </c>
      <c r="AW300" s="171">
        <f>Saisie!AM300</f>
        <v>0</v>
      </c>
      <c r="AX300" s="68">
        <f>Saisie!AN300</f>
        <v>0</v>
      </c>
      <c r="AY300" s="20">
        <f>Saisie!AO300</f>
        <v>0</v>
      </c>
      <c r="AZ300" s="21">
        <f>Saisie!AP300</f>
        <v>0</v>
      </c>
      <c r="BA300" s="298">
        <f>Saisie!AQ300</f>
        <v>0</v>
      </c>
      <c r="BB300" s="170">
        <f>Saisie!AR300</f>
        <v>0</v>
      </c>
      <c r="BC300" s="174">
        <f>Saisie!AS300</f>
        <v>0</v>
      </c>
      <c r="BD300" s="61">
        <f>Saisie!AT300</f>
        <v>0</v>
      </c>
      <c r="BE300" s="175" t="e">
        <f t="array" ref="BE300">_xlfn.IFS(Saisie!AU300="OUI",1,Saisie!AU300="NON",0)</f>
        <v>#N/A</v>
      </c>
      <c r="BF300" s="267">
        <f>Saisie!AV300</f>
        <v>0</v>
      </c>
      <c r="BG300" s="55">
        <f>Saisie!AW300</f>
        <v>0</v>
      </c>
      <c r="BH300" s="55" t="e">
        <f t="array" ref="BH300">_xlfn.IFS(Saisie!AX300="OUI",1,Saisie!AX300="NON",0)</f>
        <v>#N/A</v>
      </c>
      <c r="BI300" s="62">
        <f>Saisie!AY300</f>
        <v>0</v>
      </c>
      <c r="BJ300" s="55" t="e">
        <f t="array" ref="BJ300">_xlfn.IFS(Saisie!AZ300="OUI",1,Saisie!AZ300="NON",0)</f>
        <v>#N/A</v>
      </c>
      <c r="BK300" s="55" t="e">
        <f t="array" ref="BK300">_xlfn.IFS(Saisie!BA300="OUI",1,Saisie!BA300="NON",0)</f>
        <v>#N/A</v>
      </c>
      <c r="BL300" s="55">
        <f>Saisie!BB300</f>
        <v>0</v>
      </c>
      <c r="BM300" s="49" t="e">
        <f>Saisie!BC300</f>
        <v>#REF!</v>
      </c>
      <c r="BN300" s="175"/>
    </row>
    <row r="301" spans="1:66" s="176" customFormat="1" x14ac:dyDescent="0.45">
      <c r="A301" s="12">
        <v>295</v>
      </c>
      <c r="B301" s="150">
        <f>Saisie!B301</f>
        <v>0</v>
      </c>
      <c r="C301" s="150">
        <f>Saisie!C301</f>
        <v>0</v>
      </c>
      <c r="D301" s="150">
        <f>Saisie!D301</f>
        <v>0</v>
      </c>
      <c r="E301" s="150">
        <f>Saisie!E301</f>
        <v>0</v>
      </c>
      <c r="F301" s="150">
        <f>Saisie!F301</f>
        <v>0</v>
      </c>
      <c r="G301" s="150">
        <f>Saisie!G301</f>
        <v>0</v>
      </c>
      <c r="H301" s="150">
        <f>Saisie!I301</f>
        <v>0</v>
      </c>
      <c r="I301" s="150">
        <f>Saisie!J301</f>
        <v>0</v>
      </c>
      <c r="J301" s="150">
        <f>Saisie!K301</f>
        <v>0</v>
      </c>
      <c r="K301" s="150">
        <f>Saisie!L301</f>
        <v>0</v>
      </c>
      <c r="L301" s="150" t="e">
        <f>Saisie!#REF!</f>
        <v>#REF!</v>
      </c>
      <c r="M301" s="55" t="e">
        <f t="array" ref="M301">_xlfn.IFS(Saisie!M301="OUI",1,Saisie!M301="NON",0)</f>
        <v>#N/A</v>
      </c>
      <c r="N301" s="64" t="e">
        <f>Saisie!#REF!</f>
        <v>#REF!</v>
      </c>
      <c r="O301" s="63" t="e">
        <f>Saisie!#REF!</f>
        <v>#REF!</v>
      </c>
      <c r="P301" s="63">
        <f>Saisie!N301</f>
        <v>0</v>
      </c>
      <c r="Q301" s="63" t="e">
        <f t="array" ref="Q301">_xlfn.IFS(Saisie!#REF!="OUI",1,Saisie!#REF!="NON",0)</f>
        <v>#REF!</v>
      </c>
      <c r="R301" s="63" t="e">
        <f>Saisie!#REF!</f>
        <v>#REF!</v>
      </c>
      <c r="S301" s="65" t="e">
        <f>Saisie!#REF!</f>
        <v>#REF!</v>
      </c>
      <c r="T301" s="63" t="e">
        <f>Saisie!#REF!</f>
        <v>#REF!</v>
      </c>
      <c r="U301" s="63" t="e">
        <f>Saisie!#REF!</f>
        <v>#REF!</v>
      </c>
      <c r="V301" s="63" t="e">
        <f t="array" ref="V301">_xlfn.IFS(Saisie!#REF!="OUI",1,Saisie!#REF!="NON",0)</f>
        <v>#REF!</v>
      </c>
      <c r="W301" s="63" t="e">
        <f t="array" ref="W301">_xlfn.IFS(Saisie!O301="OUI",1,Saisie!O301="NON",0)</f>
        <v>#N/A</v>
      </c>
      <c r="X301" s="63">
        <f>Saisie!P301</f>
        <v>0</v>
      </c>
      <c r="Y301" s="299">
        <f>Saisie!H301</f>
        <v>0</v>
      </c>
      <c r="Z301" s="58" t="e">
        <f>Saisie!#REF!</f>
        <v>#REF!</v>
      </c>
      <c r="AA301" s="299">
        <f>Saisie!Q301</f>
        <v>0</v>
      </c>
      <c r="AB301" s="63" t="e">
        <f t="array" ref="AB301">_xlfn.IFS(Saisie!R301="OUI",1,Saisie!R301="NON",0)</f>
        <v>#N/A</v>
      </c>
      <c r="AC301" s="63">
        <f>Saisie!S301</f>
        <v>0</v>
      </c>
      <c r="AD301" s="63" t="e">
        <f t="array" ref="AD301">_xlfn.IFS(Saisie!T301="OUI",1,Saisie!T301="NON",0)</f>
        <v>#N/A</v>
      </c>
      <c r="AE301" s="171">
        <f>Saisie!U301</f>
        <v>0</v>
      </c>
      <c r="AF301" s="262">
        <v>3</v>
      </c>
      <c r="AG301" s="129">
        <f>Saisie!W301</f>
        <v>0</v>
      </c>
      <c r="AH301" s="20">
        <f>Saisie!X301</f>
        <v>0</v>
      </c>
      <c r="AI301" s="21">
        <f>Saisie!Y301</f>
        <v>0</v>
      </c>
      <c r="AJ301" s="59">
        <f>Saisie!Z301</f>
        <v>0</v>
      </c>
      <c r="AK301" s="20">
        <f>Saisie!AA301</f>
        <v>0</v>
      </c>
      <c r="AL301" s="21">
        <f>Saisie!AB301</f>
        <v>0</v>
      </c>
      <c r="AM301" s="59">
        <f>Saisie!AC301</f>
        <v>0</v>
      </c>
      <c r="AN301" s="20">
        <f>Saisie!AD301</f>
        <v>0</v>
      </c>
      <c r="AO301" s="21">
        <f>Saisie!AE301</f>
        <v>0</v>
      </c>
      <c r="AP301" s="59">
        <f>Saisie!AF301</f>
        <v>0</v>
      </c>
      <c r="AQ301" s="129" t="e">
        <f t="array" ref="AQ301">_xlfn.IFS(Saisie!AG301="OUI",1,Saisie!AG301="NON",0)</f>
        <v>#N/A</v>
      </c>
      <c r="AR301" s="129" t="e">
        <f t="array" ref="AR301">_xlfn.IFS(Saisie!AH301="OUI",1,Saisie!AH301="NON",0)</f>
        <v>#N/A</v>
      </c>
      <c r="AS301" s="171">
        <f>Saisie!AI301</f>
        <v>0</v>
      </c>
      <c r="AT301" s="263" t="e">
        <f t="array" ref="AT301">_xlfn.IFS(Saisie!AJ301="OUI",1,Saisie!AJ301="NON",0)</f>
        <v>#N/A</v>
      </c>
      <c r="AU301" s="173">
        <f>Saisie!AK301</f>
        <v>0</v>
      </c>
      <c r="AV301" s="263" t="e">
        <f t="array" ref="AV301">_xlfn.IFS(Saisie!AL301="OUI",1,Saisie!AL301="NON",0)</f>
        <v>#N/A</v>
      </c>
      <c r="AW301" s="171">
        <f>Saisie!AM301</f>
        <v>0</v>
      </c>
      <c r="AX301" s="68">
        <f>Saisie!AN301</f>
        <v>0</v>
      </c>
      <c r="AY301" s="20">
        <f>Saisie!AO301</f>
        <v>0</v>
      </c>
      <c r="AZ301" s="21">
        <f>Saisie!AP301</f>
        <v>0</v>
      </c>
      <c r="BA301" s="298">
        <f>Saisie!AQ301</f>
        <v>0</v>
      </c>
      <c r="BB301" s="170">
        <f>Saisie!AR301</f>
        <v>0</v>
      </c>
      <c r="BC301" s="174">
        <f>Saisie!AS301</f>
        <v>0</v>
      </c>
      <c r="BD301" s="61">
        <f>Saisie!AT301</f>
        <v>0</v>
      </c>
      <c r="BE301" s="175" t="e">
        <f t="array" ref="BE301">_xlfn.IFS(Saisie!AU301="OUI",1,Saisie!AU301="NON",0)</f>
        <v>#N/A</v>
      </c>
      <c r="BF301" s="267">
        <f>Saisie!AV301</f>
        <v>0</v>
      </c>
      <c r="BG301" s="55">
        <f>Saisie!AW301</f>
        <v>0</v>
      </c>
      <c r="BH301" s="55" t="e">
        <f t="array" ref="BH301">_xlfn.IFS(Saisie!AX301="OUI",1,Saisie!AX301="NON",0)</f>
        <v>#N/A</v>
      </c>
      <c r="BI301" s="62">
        <f>Saisie!AY301</f>
        <v>0</v>
      </c>
      <c r="BJ301" s="55" t="e">
        <f t="array" ref="BJ301">_xlfn.IFS(Saisie!AZ301="OUI",1,Saisie!AZ301="NON",0)</f>
        <v>#N/A</v>
      </c>
      <c r="BK301" s="55" t="e">
        <f t="array" ref="BK301">_xlfn.IFS(Saisie!BA301="OUI",1,Saisie!BA301="NON",0)</f>
        <v>#N/A</v>
      </c>
      <c r="BL301" s="55">
        <f>Saisie!BB301</f>
        <v>0</v>
      </c>
      <c r="BM301" s="49" t="e">
        <f>Saisie!BC301</f>
        <v>#REF!</v>
      </c>
      <c r="BN301" s="175"/>
    </row>
    <row r="302" spans="1:66" s="176" customFormat="1" x14ac:dyDescent="0.45">
      <c r="A302" s="13">
        <v>296</v>
      </c>
      <c r="B302" s="150">
        <f>Saisie!B302</f>
        <v>0</v>
      </c>
      <c r="C302" s="150">
        <f>Saisie!C302</f>
        <v>0</v>
      </c>
      <c r="D302" s="150">
        <f>Saisie!D302</f>
        <v>0</v>
      </c>
      <c r="E302" s="150">
        <f>Saisie!E302</f>
        <v>0</v>
      </c>
      <c r="F302" s="150">
        <f>Saisie!F302</f>
        <v>0</v>
      </c>
      <c r="G302" s="150">
        <f>Saisie!G302</f>
        <v>0</v>
      </c>
      <c r="H302" s="150">
        <f>Saisie!I302</f>
        <v>0</v>
      </c>
      <c r="I302" s="150">
        <f>Saisie!J302</f>
        <v>0</v>
      </c>
      <c r="J302" s="150">
        <f>Saisie!K302</f>
        <v>0</v>
      </c>
      <c r="K302" s="150">
        <f>Saisie!L302</f>
        <v>0</v>
      </c>
      <c r="L302" s="150" t="e">
        <f>Saisie!#REF!</f>
        <v>#REF!</v>
      </c>
      <c r="M302" s="55" t="e">
        <f t="array" ref="M302">_xlfn.IFS(Saisie!M302="OUI",1,Saisie!M302="NON",0)</f>
        <v>#N/A</v>
      </c>
      <c r="N302" s="64" t="e">
        <f>Saisie!#REF!</f>
        <v>#REF!</v>
      </c>
      <c r="O302" s="63" t="e">
        <f>Saisie!#REF!</f>
        <v>#REF!</v>
      </c>
      <c r="P302" s="63">
        <f>Saisie!N302</f>
        <v>0</v>
      </c>
      <c r="Q302" s="63" t="e">
        <f t="array" ref="Q302">_xlfn.IFS(Saisie!#REF!="OUI",1,Saisie!#REF!="NON",0)</f>
        <v>#REF!</v>
      </c>
      <c r="R302" s="63" t="e">
        <f>Saisie!#REF!</f>
        <v>#REF!</v>
      </c>
      <c r="S302" s="65" t="e">
        <f>Saisie!#REF!</f>
        <v>#REF!</v>
      </c>
      <c r="T302" s="63" t="e">
        <f>Saisie!#REF!</f>
        <v>#REF!</v>
      </c>
      <c r="U302" s="63" t="e">
        <f>Saisie!#REF!</f>
        <v>#REF!</v>
      </c>
      <c r="V302" s="63" t="e">
        <f t="array" ref="V302">_xlfn.IFS(Saisie!#REF!="OUI",1,Saisie!#REF!="NON",0)</f>
        <v>#REF!</v>
      </c>
      <c r="W302" s="63" t="e">
        <f t="array" ref="W302">_xlfn.IFS(Saisie!O302="OUI",1,Saisie!O302="NON",0)</f>
        <v>#N/A</v>
      </c>
      <c r="X302" s="63">
        <f>Saisie!P302</f>
        <v>0</v>
      </c>
      <c r="Y302" s="299">
        <f>Saisie!H302</f>
        <v>0</v>
      </c>
      <c r="Z302" s="58" t="e">
        <f>Saisie!#REF!</f>
        <v>#REF!</v>
      </c>
      <c r="AA302" s="299">
        <f>Saisie!Q302</f>
        <v>0</v>
      </c>
      <c r="AB302" s="63" t="e">
        <f t="array" ref="AB302">_xlfn.IFS(Saisie!R302="OUI",1,Saisie!R302="NON",0)</f>
        <v>#N/A</v>
      </c>
      <c r="AC302" s="63">
        <f>Saisie!S302</f>
        <v>0</v>
      </c>
      <c r="AD302" s="63" t="e">
        <f t="array" ref="AD302">_xlfn.IFS(Saisie!T302="OUI",1,Saisie!T302="NON",0)</f>
        <v>#N/A</v>
      </c>
      <c r="AE302" s="171">
        <f>Saisie!U302</f>
        <v>0</v>
      </c>
      <c r="AF302" s="262">
        <v>2</v>
      </c>
      <c r="AG302" s="129">
        <f>Saisie!W302</f>
        <v>0</v>
      </c>
      <c r="AH302" s="20">
        <f>Saisie!X302</f>
        <v>0</v>
      </c>
      <c r="AI302" s="21">
        <f>Saisie!Y302</f>
        <v>0</v>
      </c>
      <c r="AJ302" s="59">
        <f>Saisie!Z302</f>
        <v>0</v>
      </c>
      <c r="AK302" s="20">
        <f>Saisie!AA302</f>
        <v>0</v>
      </c>
      <c r="AL302" s="21">
        <f>Saisie!AB302</f>
        <v>0</v>
      </c>
      <c r="AM302" s="59">
        <f>Saisie!AC302</f>
        <v>0</v>
      </c>
      <c r="AN302" s="20">
        <f>Saisie!AD302</f>
        <v>0</v>
      </c>
      <c r="AO302" s="21">
        <f>Saisie!AE302</f>
        <v>0</v>
      </c>
      <c r="AP302" s="59">
        <f>Saisie!AF302</f>
        <v>0</v>
      </c>
      <c r="AQ302" s="129" t="e">
        <f t="array" ref="AQ302">_xlfn.IFS(Saisie!AG302="OUI",1,Saisie!AG302="NON",0)</f>
        <v>#N/A</v>
      </c>
      <c r="AR302" s="129" t="e">
        <f t="array" ref="AR302">_xlfn.IFS(Saisie!AH302="OUI",1,Saisie!AH302="NON",0)</f>
        <v>#N/A</v>
      </c>
      <c r="AS302" s="171">
        <f>Saisie!AI302</f>
        <v>0</v>
      </c>
      <c r="AT302" s="263" t="e">
        <f t="array" ref="AT302">_xlfn.IFS(Saisie!AJ302="OUI",1,Saisie!AJ302="NON",0)</f>
        <v>#N/A</v>
      </c>
      <c r="AU302" s="173">
        <f>Saisie!AK302</f>
        <v>0</v>
      </c>
      <c r="AV302" s="263" t="e">
        <f t="array" ref="AV302">_xlfn.IFS(Saisie!AL302="OUI",1,Saisie!AL302="NON",0)</f>
        <v>#N/A</v>
      </c>
      <c r="AW302" s="171">
        <f>Saisie!AM302</f>
        <v>0</v>
      </c>
      <c r="AX302" s="68">
        <f>Saisie!AN302</f>
        <v>0</v>
      </c>
      <c r="AY302" s="20">
        <f>Saisie!AO302</f>
        <v>0</v>
      </c>
      <c r="AZ302" s="21">
        <f>Saisie!AP302</f>
        <v>0</v>
      </c>
      <c r="BA302" s="298">
        <f>Saisie!AQ302</f>
        <v>0</v>
      </c>
      <c r="BB302" s="170">
        <f>Saisie!AR302</f>
        <v>0</v>
      </c>
      <c r="BC302" s="174">
        <f>Saisie!AS302</f>
        <v>0</v>
      </c>
      <c r="BD302" s="61">
        <f>Saisie!AT302</f>
        <v>0</v>
      </c>
      <c r="BE302" s="175" t="e">
        <f t="array" ref="BE302">_xlfn.IFS(Saisie!AU302="OUI",1,Saisie!AU302="NON",0)</f>
        <v>#N/A</v>
      </c>
      <c r="BF302" s="267">
        <f>Saisie!AV302</f>
        <v>0</v>
      </c>
      <c r="BG302" s="55">
        <f>Saisie!AW302</f>
        <v>0</v>
      </c>
      <c r="BH302" s="55" t="e">
        <f t="array" ref="BH302">_xlfn.IFS(Saisie!AX302="OUI",1,Saisie!AX302="NON",0)</f>
        <v>#N/A</v>
      </c>
      <c r="BI302" s="62">
        <f>Saisie!AY302</f>
        <v>0</v>
      </c>
      <c r="BJ302" s="55" t="e">
        <f t="array" ref="BJ302">_xlfn.IFS(Saisie!AZ302="OUI",1,Saisie!AZ302="NON",0)</f>
        <v>#N/A</v>
      </c>
      <c r="BK302" s="55" t="e">
        <f t="array" ref="BK302">_xlfn.IFS(Saisie!BA302="OUI",1,Saisie!BA302="NON",0)</f>
        <v>#N/A</v>
      </c>
      <c r="BL302" s="55">
        <f>Saisie!BB302</f>
        <v>0</v>
      </c>
      <c r="BM302" s="49" t="e">
        <f>Saisie!BC302</f>
        <v>#REF!</v>
      </c>
      <c r="BN302" s="175"/>
    </row>
    <row r="303" spans="1:66" s="176" customFormat="1" x14ac:dyDescent="0.45">
      <c r="A303" s="13">
        <v>297</v>
      </c>
      <c r="B303" s="150">
        <f>Saisie!B303</f>
        <v>0</v>
      </c>
      <c r="C303" s="150">
        <f>Saisie!C303</f>
        <v>0</v>
      </c>
      <c r="D303" s="150">
        <f>Saisie!D303</f>
        <v>0</v>
      </c>
      <c r="E303" s="150">
        <f>Saisie!E303</f>
        <v>0</v>
      </c>
      <c r="F303" s="150">
        <f>Saisie!F303</f>
        <v>0</v>
      </c>
      <c r="G303" s="150">
        <f>Saisie!G303</f>
        <v>0</v>
      </c>
      <c r="H303" s="150">
        <f>Saisie!I303</f>
        <v>0</v>
      </c>
      <c r="I303" s="150">
        <f>Saisie!J303</f>
        <v>0</v>
      </c>
      <c r="J303" s="150">
        <f>Saisie!K303</f>
        <v>0</v>
      </c>
      <c r="K303" s="150">
        <f>Saisie!L303</f>
        <v>0</v>
      </c>
      <c r="L303" s="150" t="e">
        <f>Saisie!#REF!</f>
        <v>#REF!</v>
      </c>
      <c r="M303" s="55" t="e">
        <f t="array" ref="M303">_xlfn.IFS(Saisie!M303="OUI",1,Saisie!M303="NON",0)</f>
        <v>#N/A</v>
      </c>
      <c r="N303" s="64" t="e">
        <f>Saisie!#REF!</f>
        <v>#REF!</v>
      </c>
      <c r="O303" s="63" t="e">
        <f>Saisie!#REF!</f>
        <v>#REF!</v>
      </c>
      <c r="P303" s="63">
        <f>Saisie!N303</f>
        <v>0</v>
      </c>
      <c r="Q303" s="63" t="e">
        <f t="array" ref="Q303">_xlfn.IFS(Saisie!#REF!="OUI",1,Saisie!#REF!="NON",0)</f>
        <v>#REF!</v>
      </c>
      <c r="R303" s="63" t="e">
        <f>Saisie!#REF!</f>
        <v>#REF!</v>
      </c>
      <c r="S303" s="65" t="e">
        <f>Saisie!#REF!</f>
        <v>#REF!</v>
      </c>
      <c r="T303" s="63" t="e">
        <f>Saisie!#REF!</f>
        <v>#REF!</v>
      </c>
      <c r="U303" s="63" t="e">
        <f>Saisie!#REF!</f>
        <v>#REF!</v>
      </c>
      <c r="V303" s="63" t="e">
        <f t="array" ref="V303">_xlfn.IFS(Saisie!#REF!="OUI",1,Saisie!#REF!="NON",0)</f>
        <v>#REF!</v>
      </c>
      <c r="W303" s="63" t="e">
        <f t="array" ref="W303">_xlfn.IFS(Saisie!O303="OUI",1,Saisie!O303="NON",0)</f>
        <v>#N/A</v>
      </c>
      <c r="X303" s="63">
        <f>Saisie!P303</f>
        <v>0</v>
      </c>
      <c r="Y303" s="299">
        <f>Saisie!H303</f>
        <v>0</v>
      </c>
      <c r="Z303" s="58" t="e">
        <f>Saisie!#REF!</f>
        <v>#REF!</v>
      </c>
      <c r="AA303" s="299">
        <f>Saisie!Q303</f>
        <v>0</v>
      </c>
      <c r="AB303" s="63" t="e">
        <f t="array" ref="AB303">_xlfn.IFS(Saisie!R303="OUI",1,Saisie!R303="NON",0)</f>
        <v>#N/A</v>
      </c>
      <c r="AC303" s="63">
        <f>Saisie!S303</f>
        <v>0</v>
      </c>
      <c r="AD303" s="63" t="e">
        <f t="array" ref="AD303">_xlfn.IFS(Saisie!T303="OUI",1,Saisie!T303="NON",0)</f>
        <v>#N/A</v>
      </c>
      <c r="AE303" s="171">
        <f>Saisie!U303</f>
        <v>0</v>
      </c>
      <c r="AF303" s="262">
        <v>3</v>
      </c>
      <c r="AG303" s="129">
        <f>Saisie!W303</f>
        <v>0</v>
      </c>
      <c r="AH303" s="20">
        <f>Saisie!X303</f>
        <v>0</v>
      </c>
      <c r="AI303" s="21">
        <f>Saisie!Y303</f>
        <v>0</v>
      </c>
      <c r="AJ303" s="59">
        <f>Saisie!Z303</f>
        <v>0</v>
      </c>
      <c r="AK303" s="20">
        <f>Saisie!AA303</f>
        <v>0</v>
      </c>
      <c r="AL303" s="21">
        <f>Saisie!AB303</f>
        <v>0</v>
      </c>
      <c r="AM303" s="59">
        <f>Saisie!AC303</f>
        <v>0</v>
      </c>
      <c r="AN303" s="20">
        <f>Saisie!AD303</f>
        <v>0</v>
      </c>
      <c r="AO303" s="21">
        <f>Saisie!AE303</f>
        <v>0</v>
      </c>
      <c r="AP303" s="59">
        <f>Saisie!AF303</f>
        <v>0</v>
      </c>
      <c r="AQ303" s="129" t="e">
        <f t="array" ref="AQ303">_xlfn.IFS(Saisie!AG303="OUI",1,Saisie!AG303="NON",0)</f>
        <v>#N/A</v>
      </c>
      <c r="AR303" s="129" t="e">
        <f t="array" ref="AR303">_xlfn.IFS(Saisie!AH303="OUI",1,Saisie!AH303="NON",0)</f>
        <v>#N/A</v>
      </c>
      <c r="AS303" s="171">
        <f>Saisie!AI303</f>
        <v>0</v>
      </c>
      <c r="AT303" s="263" t="e">
        <f t="array" ref="AT303">_xlfn.IFS(Saisie!AJ303="OUI",1,Saisie!AJ303="NON",0)</f>
        <v>#N/A</v>
      </c>
      <c r="AU303" s="173">
        <f>Saisie!AK303</f>
        <v>0</v>
      </c>
      <c r="AV303" s="263" t="e">
        <f t="array" ref="AV303">_xlfn.IFS(Saisie!AL303="OUI",1,Saisie!AL303="NON",0)</f>
        <v>#N/A</v>
      </c>
      <c r="AW303" s="171">
        <f>Saisie!AM303</f>
        <v>0</v>
      </c>
      <c r="AX303" s="68">
        <f>Saisie!AN303</f>
        <v>0</v>
      </c>
      <c r="AY303" s="20">
        <f>Saisie!AO303</f>
        <v>0</v>
      </c>
      <c r="AZ303" s="21">
        <f>Saisie!AP303</f>
        <v>0</v>
      </c>
      <c r="BA303" s="298">
        <f>Saisie!AQ303</f>
        <v>0</v>
      </c>
      <c r="BB303" s="170">
        <f>Saisie!AR303</f>
        <v>0</v>
      </c>
      <c r="BC303" s="174">
        <f>Saisie!AS303</f>
        <v>0</v>
      </c>
      <c r="BD303" s="61">
        <f>Saisie!AT303</f>
        <v>0</v>
      </c>
      <c r="BE303" s="175" t="e">
        <f t="array" ref="BE303">_xlfn.IFS(Saisie!AU303="OUI",1,Saisie!AU303="NON",0)</f>
        <v>#N/A</v>
      </c>
      <c r="BF303" s="267">
        <f>Saisie!AV303</f>
        <v>0</v>
      </c>
      <c r="BG303" s="55">
        <f>Saisie!AW303</f>
        <v>0</v>
      </c>
      <c r="BH303" s="55" t="e">
        <f t="array" ref="BH303">_xlfn.IFS(Saisie!AX303="OUI",1,Saisie!AX303="NON",0)</f>
        <v>#N/A</v>
      </c>
      <c r="BI303" s="62">
        <f>Saisie!AY303</f>
        <v>0</v>
      </c>
      <c r="BJ303" s="55" t="e">
        <f t="array" ref="BJ303">_xlfn.IFS(Saisie!AZ303="OUI",1,Saisie!AZ303="NON",0)</f>
        <v>#N/A</v>
      </c>
      <c r="BK303" s="55" t="e">
        <f t="array" ref="BK303">_xlfn.IFS(Saisie!BA303="OUI",1,Saisie!BA303="NON",0)</f>
        <v>#N/A</v>
      </c>
      <c r="BL303" s="55">
        <f>Saisie!BB303</f>
        <v>0</v>
      </c>
      <c r="BM303" s="49" t="e">
        <f>Saisie!BC303</f>
        <v>#REF!</v>
      </c>
      <c r="BN303" s="175"/>
    </row>
    <row r="304" spans="1:66" s="176" customFormat="1" x14ac:dyDescent="0.45">
      <c r="A304" s="12">
        <v>298</v>
      </c>
      <c r="B304" s="150">
        <f>Saisie!B304</f>
        <v>0</v>
      </c>
      <c r="C304" s="150">
        <f>Saisie!C304</f>
        <v>0</v>
      </c>
      <c r="D304" s="150">
        <f>Saisie!D304</f>
        <v>0</v>
      </c>
      <c r="E304" s="150">
        <f>Saisie!E304</f>
        <v>0</v>
      </c>
      <c r="F304" s="150">
        <f>Saisie!F304</f>
        <v>0</v>
      </c>
      <c r="G304" s="150">
        <f>Saisie!G304</f>
        <v>0</v>
      </c>
      <c r="H304" s="150">
        <f>Saisie!I304</f>
        <v>0</v>
      </c>
      <c r="I304" s="150">
        <f>Saisie!J304</f>
        <v>0</v>
      </c>
      <c r="J304" s="150">
        <f>Saisie!K304</f>
        <v>0</v>
      </c>
      <c r="K304" s="150">
        <f>Saisie!L304</f>
        <v>0</v>
      </c>
      <c r="L304" s="150" t="e">
        <f>Saisie!#REF!</f>
        <v>#REF!</v>
      </c>
      <c r="M304" s="55" t="e">
        <f t="array" ref="M304">_xlfn.IFS(Saisie!M304="OUI",1,Saisie!M304="NON",0)</f>
        <v>#N/A</v>
      </c>
      <c r="N304" s="64" t="e">
        <f>Saisie!#REF!</f>
        <v>#REF!</v>
      </c>
      <c r="O304" s="63" t="e">
        <f>Saisie!#REF!</f>
        <v>#REF!</v>
      </c>
      <c r="P304" s="63">
        <f>Saisie!N304</f>
        <v>0</v>
      </c>
      <c r="Q304" s="63" t="e">
        <f t="array" ref="Q304">_xlfn.IFS(Saisie!#REF!="OUI",1,Saisie!#REF!="NON",0)</f>
        <v>#REF!</v>
      </c>
      <c r="R304" s="63" t="e">
        <f>Saisie!#REF!</f>
        <v>#REF!</v>
      </c>
      <c r="S304" s="65" t="e">
        <f>Saisie!#REF!</f>
        <v>#REF!</v>
      </c>
      <c r="T304" s="63" t="e">
        <f>Saisie!#REF!</f>
        <v>#REF!</v>
      </c>
      <c r="U304" s="63" t="e">
        <f>Saisie!#REF!</f>
        <v>#REF!</v>
      </c>
      <c r="V304" s="63" t="e">
        <f t="array" ref="V304">_xlfn.IFS(Saisie!#REF!="OUI",1,Saisie!#REF!="NON",0)</f>
        <v>#REF!</v>
      </c>
      <c r="W304" s="63" t="e">
        <f t="array" ref="W304">_xlfn.IFS(Saisie!O304="OUI",1,Saisie!O304="NON",0)</f>
        <v>#N/A</v>
      </c>
      <c r="X304" s="63">
        <f>Saisie!P304</f>
        <v>0</v>
      </c>
      <c r="Y304" s="299">
        <f>Saisie!H304</f>
        <v>0</v>
      </c>
      <c r="Z304" s="58" t="e">
        <f>Saisie!#REF!</f>
        <v>#REF!</v>
      </c>
      <c r="AA304" s="299">
        <f>Saisie!Q304</f>
        <v>0</v>
      </c>
      <c r="AB304" s="63" t="e">
        <f t="array" ref="AB304">_xlfn.IFS(Saisie!R304="OUI",1,Saisie!R304="NON",0)</f>
        <v>#N/A</v>
      </c>
      <c r="AC304" s="63">
        <f>Saisie!S304</f>
        <v>0</v>
      </c>
      <c r="AD304" s="63" t="e">
        <f t="array" ref="AD304">_xlfn.IFS(Saisie!T304="OUI",1,Saisie!T304="NON",0)</f>
        <v>#N/A</v>
      </c>
      <c r="AE304" s="171">
        <f>Saisie!U304</f>
        <v>0</v>
      </c>
      <c r="AF304" s="262">
        <v>3</v>
      </c>
      <c r="AG304" s="129">
        <f>Saisie!W304</f>
        <v>0</v>
      </c>
      <c r="AH304" s="20">
        <f>Saisie!X304</f>
        <v>0</v>
      </c>
      <c r="AI304" s="21">
        <f>Saisie!Y304</f>
        <v>0</v>
      </c>
      <c r="AJ304" s="59">
        <f>Saisie!Z304</f>
        <v>0</v>
      </c>
      <c r="AK304" s="20">
        <f>Saisie!AA304</f>
        <v>0</v>
      </c>
      <c r="AL304" s="21">
        <f>Saisie!AB304</f>
        <v>0</v>
      </c>
      <c r="AM304" s="59">
        <f>Saisie!AC304</f>
        <v>0</v>
      </c>
      <c r="AN304" s="20">
        <f>Saisie!AD304</f>
        <v>0</v>
      </c>
      <c r="AO304" s="21">
        <f>Saisie!AE304</f>
        <v>0</v>
      </c>
      <c r="AP304" s="59">
        <f>Saisie!AF304</f>
        <v>0</v>
      </c>
      <c r="AQ304" s="129" t="e">
        <f t="array" ref="AQ304">_xlfn.IFS(Saisie!AG304="OUI",1,Saisie!AG304="NON",0)</f>
        <v>#N/A</v>
      </c>
      <c r="AR304" s="129" t="e">
        <f t="array" ref="AR304">_xlfn.IFS(Saisie!AH304="OUI",1,Saisie!AH304="NON",0)</f>
        <v>#N/A</v>
      </c>
      <c r="AS304" s="171">
        <f>Saisie!AI304</f>
        <v>0</v>
      </c>
      <c r="AT304" s="263" t="e">
        <f t="array" ref="AT304">_xlfn.IFS(Saisie!AJ304="OUI",1,Saisie!AJ304="NON",0)</f>
        <v>#N/A</v>
      </c>
      <c r="AU304" s="173">
        <f>Saisie!AK304</f>
        <v>0</v>
      </c>
      <c r="AV304" s="263" t="e">
        <f t="array" ref="AV304">_xlfn.IFS(Saisie!AL304="OUI",1,Saisie!AL304="NON",0)</f>
        <v>#N/A</v>
      </c>
      <c r="AW304" s="171">
        <f>Saisie!AM304</f>
        <v>0</v>
      </c>
      <c r="AX304" s="68">
        <f>Saisie!AN304</f>
        <v>0</v>
      </c>
      <c r="AY304" s="20">
        <f>Saisie!AO304</f>
        <v>0</v>
      </c>
      <c r="AZ304" s="21">
        <f>Saisie!AP304</f>
        <v>0</v>
      </c>
      <c r="BA304" s="298">
        <f>Saisie!AQ304</f>
        <v>0</v>
      </c>
      <c r="BB304" s="170">
        <f>Saisie!AR304</f>
        <v>0</v>
      </c>
      <c r="BC304" s="174">
        <f>Saisie!AS304</f>
        <v>0</v>
      </c>
      <c r="BD304" s="61">
        <f>Saisie!AT304</f>
        <v>0</v>
      </c>
      <c r="BE304" s="175" t="e">
        <f t="array" ref="BE304">_xlfn.IFS(Saisie!AU304="OUI",1,Saisie!AU304="NON",0)</f>
        <v>#N/A</v>
      </c>
      <c r="BF304" s="267">
        <f>Saisie!AV304</f>
        <v>0</v>
      </c>
      <c r="BG304" s="55">
        <f>Saisie!AW304</f>
        <v>0</v>
      </c>
      <c r="BH304" s="55" t="e">
        <f t="array" ref="BH304">_xlfn.IFS(Saisie!AX304="OUI",1,Saisie!AX304="NON",0)</f>
        <v>#N/A</v>
      </c>
      <c r="BI304" s="62">
        <f>Saisie!AY304</f>
        <v>0</v>
      </c>
      <c r="BJ304" s="55" t="e">
        <f t="array" ref="BJ304">_xlfn.IFS(Saisie!AZ304="OUI",1,Saisie!AZ304="NON",0)</f>
        <v>#N/A</v>
      </c>
      <c r="BK304" s="55" t="e">
        <f t="array" ref="BK304">_xlfn.IFS(Saisie!BA304="OUI",1,Saisie!BA304="NON",0)</f>
        <v>#N/A</v>
      </c>
      <c r="BL304" s="55">
        <f>Saisie!BB304</f>
        <v>0</v>
      </c>
      <c r="BM304" s="49" t="e">
        <f>Saisie!BC304</f>
        <v>#REF!</v>
      </c>
      <c r="BN304" s="175"/>
    </row>
    <row r="305" spans="1:66" s="176" customFormat="1" x14ac:dyDescent="0.45">
      <c r="A305" s="13">
        <v>299</v>
      </c>
      <c r="B305" s="150">
        <f>Saisie!B305</f>
        <v>0</v>
      </c>
      <c r="C305" s="150">
        <f>Saisie!C305</f>
        <v>0</v>
      </c>
      <c r="D305" s="150">
        <f>Saisie!D305</f>
        <v>0</v>
      </c>
      <c r="E305" s="150">
        <f>Saisie!E305</f>
        <v>0</v>
      </c>
      <c r="F305" s="150">
        <f>Saisie!F305</f>
        <v>0</v>
      </c>
      <c r="G305" s="150">
        <f>Saisie!G305</f>
        <v>0</v>
      </c>
      <c r="H305" s="150">
        <f>Saisie!I305</f>
        <v>0</v>
      </c>
      <c r="I305" s="150">
        <f>Saisie!J305</f>
        <v>0</v>
      </c>
      <c r="J305" s="150">
        <f>Saisie!K305</f>
        <v>0</v>
      </c>
      <c r="K305" s="150">
        <f>Saisie!L305</f>
        <v>0</v>
      </c>
      <c r="L305" s="150" t="e">
        <f>Saisie!#REF!</f>
        <v>#REF!</v>
      </c>
      <c r="M305" s="55" t="e">
        <f t="array" ref="M305">_xlfn.IFS(Saisie!M305="OUI",1,Saisie!M305="NON",0)</f>
        <v>#N/A</v>
      </c>
      <c r="N305" s="64" t="e">
        <f>Saisie!#REF!</f>
        <v>#REF!</v>
      </c>
      <c r="O305" s="63" t="e">
        <f>Saisie!#REF!</f>
        <v>#REF!</v>
      </c>
      <c r="P305" s="63">
        <f>Saisie!N305</f>
        <v>0</v>
      </c>
      <c r="Q305" s="63" t="e">
        <f t="array" ref="Q305">_xlfn.IFS(Saisie!#REF!="OUI",1,Saisie!#REF!="NON",0)</f>
        <v>#REF!</v>
      </c>
      <c r="R305" s="63" t="e">
        <f>Saisie!#REF!</f>
        <v>#REF!</v>
      </c>
      <c r="S305" s="65" t="e">
        <f>Saisie!#REF!</f>
        <v>#REF!</v>
      </c>
      <c r="T305" s="63" t="e">
        <f>Saisie!#REF!</f>
        <v>#REF!</v>
      </c>
      <c r="U305" s="63" t="e">
        <f>Saisie!#REF!</f>
        <v>#REF!</v>
      </c>
      <c r="V305" s="63" t="e">
        <f t="array" ref="V305">_xlfn.IFS(Saisie!#REF!="OUI",1,Saisie!#REF!="NON",0)</f>
        <v>#REF!</v>
      </c>
      <c r="W305" s="63" t="e">
        <f t="array" ref="W305">_xlfn.IFS(Saisie!O305="OUI",1,Saisie!O305="NON",0)</f>
        <v>#N/A</v>
      </c>
      <c r="X305" s="63">
        <f>Saisie!P305</f>
        <v>0</v>
      </c>
      <c r="Y305" s="299">
        <f>Saisie!H305</f>
        <v>0</v>
      </c>
      <c r="Z305" s="58" t="e">
        <f>Saisie!#REF!</f>
        <v>#REF!</v>
      </c>
      <c r="AA305" s="299">
        <f>Saisie!Q305</f>
        <v>0</v>
      </c>
      <c r="AB305" s="63" t="e">
        <f t="array" ref="AB305">_xlfn.IFS(Saisie!R305="OUI",1,Saisie!R305="NON",0)</f>
        <v>#N/A</v>
      </c>
      <c r="AC305" s="63">
        <f>Saisie!S305</f>
        <v>0</v>
      </c>
      <c r="AD305" s="63" t="e">
        <f t="array" ref="AD305">_xlfn.IFS(Saisie!T305="OUI",1,Saisie!T305="NON",0)</f>
        <v>#N/A</v>
      </c>
      <c r="AE305" s="171">
        <f>Saisie!U305</f>
        <v>0</v>
      </c>
      <c r="AF305" s="262">
        <v>3</v>
      </c>
      <c r="AG305" s="129">
        <f>Saisie!W305</f>
        <v>0</v>
      </c>
      <c r="AH305" s="20">
        <f>Saisie!X305</f>
        <v>0</v>
      </c>
      <c r="AI305" s="21">
        <f>Saisie!Y305</f>
        <v>0</v>
      </c>
      <c r="AJ305" s="59">
        <f>Saisie!Z305</f>
        <v>0</v>
      </c>
      <c r="AK305" s="20">
        <f>Saisie!AA305</f>
        <v>0</v>
      </c>
      <c r="AL305" s="21">
        <f>Saisie!AB305</f>
        <v>0</v>
      </c>
      <c r="AM305" s="59">
        <f>Saisie!AC305</f>
        <v>0</v>
      </c>
      <c r="AN305" s="20">
        <f>Saisie!AD305</f>
        <v>0</v>
      </c>
      <c r="AO305" s="21">
        <f>Saisie!AE305</f>
        <v>0</v>
      </c>
      <c r="AP305" s="59">
        <f>Saisie!AF305</f>
        <v>0</v>
      </c>
      <c r="AQ305" s="129" t="e">
        <f t="array" ref="AQ305">_xlfn.IFS(Saisie!AG305="OUI",1,Saisie!AG305="NON",0)</f>
        <v>#N/A</v>
      </c>
      <c r="AR305" s="129" t="e">
        <f t="array" ref="AR305">_xlfn.IFS(Saisie!AH305="OUI",1,Saisie!AH305="NON",0)</f>
        <v>#N/A</v>
      </c>
      <c r="AS305" s="171">
        <f>Saisie!AI305</f>
        <v>0</v>
      </c>
      <c r="AT305" s="263" t="e">
        <f t="array" ref="AT305">_xlfn.IFS(Saisie!AJ305="OUI",1,Saisie!AJ305="NON",0)</f>
        <v>#N/A</v>
      </c>
      <c r="AU305" s="173">
        <f>Saisie!AK305</f>
        <v>0</v>
      </c>
      <c r="AV305" s="263" t="e">
        <f t="array" ref="AV305">_xlfn.IFS(Saisie!AL305="OUI",1,Saisie!AL305="NON",0)</f>
        <v>#N/A</v>
      </c>
      <c r="AW305" s="171">
        <f>Saisie!AM305</f>
        <v>0</v>
      </c>
      <c r="AX305" s="68">
        <f>Saisie!AN305</f>
        <v>0</v>
      </c>
      <c r="AY305" s="20">
        <f>Saisie!AO305</f>
        <v>0</v>
      </c>
      <c r="AZ305" s="21">
        <f>Saisie!AP305</f>
        <v>0</v>
      </c>
      <c r="BA305" s="298">
        <f>Saisie!AQ305</f>
        <v>0</v>
      </c>
      <c r="BB305" s="170">
        <f>Saisie!AR305</f>
        <v>0</v>
      </c>
      <c r="BC305" s="174">
        <f>Saisie!AS305</f>
        <v>0</v>
      </c>
      <c r="BD305" s="61">
        <f>Saisie!AT305</f>
        <v>0</v>
      </c>
      <c r="BE305" s="175" t="e">
        <f t="array" ref="BE305">_xlfn.IFS(Saisie!AU305="OUI",1,Saisie!AU305="NON",0)</f>
        <v>#N/A</v>
      </c>
      <c r="BF305" s="267">
        <f>Saisie!AV305</f>
        <v>0</v>
      </c>
      <c r="BG305" s="55">
        <f>Saisie!AW305</f>
        <v>0</v>
      </c>
      <c r="BH305" s="55" t="e">
        <f t="array" ref="BH305">_xlfn.IFS(Saisie!AX305="OUI",1,Saisie!AX305="NON",0)</f>
        <v>#N/A</v>
      </c>
      <c r="BI305" s="62">
        <f>Saisie!AY305</f>
        <v>0</v>
      </c>
      <c r="BJ305" s="55" t="e">
        <f t="array" ref="BJ305">_xlfn.IFS(Saisie!AZ305="OUI",1,Saisie!AZ305="NON",0)</f>
        <v>#N/A</v>
      </c>
      <c r="BK305" s="55" t="e">
        <f t="array" ref="BK305">_xlfn.IFS(Saisie!BA305="OUI",1,Saisie!BA305="NON",0)</f>
        <v>#N/A</v>
      </c>
      <c r="BL305" s="55">
        <f>Saisie!BB305</f>
        <v>0</v>
      </c>
      <c r="BM305" s="49" t="e">
        <f>Saisie!BC305</f>
        <v>#REF!</v>
      </c>
      <c r="BN305" s="175"/>
    </row>
    <row r="306" spans="1:66" s="176" customFormat="1" x14ac:dyDescent="0.45">
      <c r="A306" s="13">
        <v>300</v>
      </c>
      <c r="B306" s="150">
        <f>Saisie!B306</f>
        <v>0</v>
      </c>
      <c r="C306" s="150">
        <f>Saisie!C306</f>
        <v>0</v>
      </c>
      <c r="D306" s="150">
        <f>Saisie!D306</f>
        <v>0</v>
      </c>
      <c r="E306" s="150">
        <f>Saisie!E306</f>
        <v>0</v>
      </c>
      <c r="F306" s="150">
        <f>Saisie!F306</f>
        <v>0</v>
      </c>
      <c r="G306" s="150">
        <f>Saisie!G306</f>
        <v>0</v>
      </c>
      <c r="H306" s="150">
        <f>Saisie!I306</f>
        <v>0</v>
      </c>
      <c r="I306" s="150">
        <f>Saisie!J306</f>
        <v>0</v>
      </c>
      <c r="J306" s="150">
        <f>Saisie!K306</f>
        <v>0</v>
      </c>
      <c r="K306" s="150">
        <f>Saisie!L306</f>
        <v>0</v>
      </c>
      <c r="L306" s="150" t="e">
        <f>Saisie!#REF!</f>
        <v>#REF!</v>
      </c>
      <c r="M306" s="55" t="e">
        <f t="array" ref="M306">_xlfn.IFS(Saisie!M306="OUI",1,Saisie!M306="NON",0)</f>
        <v>#N/A</v>
      </c>
      <c r="N306" s="64" t="e">
        <f>Saisie!#REF!</f>
        <v>#REF!</v>
      </c>
      <c r="O306" s="63" t="e">
        <f>Saisie!#REF!</f>
        <v>#REF!</v>
      </c>
      <c r="P306" s="63">
        <f>Saisie!N306</f>
        <v>0</v>
      </c>
      <c r="Q306" s="63" t="e">
        <f t="array" ref="Q306">_xlfn.IFS(Saisie!#REF!="OUI",1,Saisie!#REF!="NON",0)</f>
        <v>#REF!</v>
      </c>
      <c r="R306" s="63" t="e">
        <f>Saisie!#REF!</f>
        <v>#REF!</v>
      </c>
      <c r="S306" s="65" t="e">
        <f>Saisie!#REF!</f>
        <v>#REF!</v>
      </c>
      <c r="T306" s="63" t="e">
        <f>Saisie!#REF!</f>
        <v>#REF!</v>
      </c>
      <c r="U306" s="63" t="e">
        <f>Saisie!#REF!</f>
        <v>#REF!</v>
      </c>
      <c r="V306" s="63" t="e">
        <f t="array" ref="V306">_xlfn.IFS(Saisie!#REF!="OUI",1,Saisie!#REF!="NON",0)</f>
        <v>#REF!</v>
      </c>
      <c r="W306" s="63" t="e">
        <f t="array" ref="W306">_xlfn.IFS(Saisie!O306="OUI",1,Saisie!O306="NON",0)</f>
        <v>#N/A</v>
      </c>
      <c r="X306" s="63">
        <f>Saisie!P306</f>
        <v>0</v>
      </c>
      <c r="Y306" s="299">
        <f>Saisie!H306</f>
        <v>0</v>
      </c>
      <c r="Z306" s="58" t="e">
        <f>Saisie!#REF!</f>
        <v>#REF!</v>
      </c>
      <c r="AA306" s="299">
        <f>Saisie!Q306</f>
        <v>0</v>
      </c>
      <c r="AB306" s="63" t="e">
        <f t="array" ref="AB306">_xlfn.IFS(Saisie!R306="OUI",1,Saisie!R306="NON",0)</f>
        <v>#N/A</v>
      </c>
      <c r="AC306" s="63">
        <f>Saisie!S306</f>
        <v>0</v>
      </c>
      <c r="AD306" s="63" t="e">
        <f t="array" ref="AD306">_xlfn.IFS(Saisie!T306="OUI",1,Saisie!T306="NON",0)</f>
        <v>#N/A</v>
      </c>
      <c r="AE306" s="171">
        <f>Saisie!U306</f>
        <v>0</v>
      </c>
      <c r="AF306" s="262">
        <v>3</v>
      </c>
      <c r="AG306" s="129">
        <f>Saisie!W306</f>
        <v>0</v>
      </c>
      <c r="AH306" s="20">
        <f>Saisie!X306</f>
        <v>0</v>
      </c>
      <c r="AI306" s="21">
        <f>Saisie!Y306</f>
        <v>0</v>
      </c>
      <c r="AJ306" s="59">
        <f>Saisie!Z306</f>
        <v>0</v>
      </c>
      <c r="AK306" s="20">
        <f>Saisie!AA306</f>
        <v>0</v>
      </c>
      <c r="AL306" s="21">
        <f>Saisie!AB306</f>
        <v>0</v>
      </c>
      <c r="AM306" s="59">
        <f>Saisie!AC306</f>
        <v>0</v>
      </c>
      <c r="AN306" s="20">
        <f>Saisie!AD306</f>
        <v>0</v>
      </c>
      <c r="AO306" s="21">
        <f>Saisie!AE306</f>
        <v>0</v>
      </c>
      <c r="AP306" s="59">
        <f>Saisie!AF306</f>
        <v>0</v>
      </c>
      <c r="AQ306" s="129" t="e">
        <f t="array" ref="AQ306">_xlfn.IFS(Saisie!AG306="OUI",1,Saisie!AG306="NON",0)</f>
        <v>#N/A</v>
      </c>
      <c r="AR306" s="129" t="e">
        <f t="array" ref="AR306">_xlfn.IFS(Saisie!AH306="OUI",1,Saisie!AH306="NON",0)</f>
        <v>#N/A</v>
      </c>
      <c r="AS306" s="171">
        <f>Saisie!AI306</f>
        <v>0</v>
      </c>
      <c r="AT306" s="263" t="e">
        <f t="array" ref="AT306">_xlfn.IFS(Saisie!AJ306="OUI",1,Saisie!AJ306="NON",0)</f>
        <v>#N/A</v>
      </c>
      <c r="AU306" s="173">
        <f>Saisie!AK306</f>
        <v>0</v>
      </c>
      <c r="AV306" s="263" t="e">
        <f t="array" ref="AV306">_xlfn.IFS(Saisie!AL306="OUI",1,Saisie!AL306="NON",0)</f>
        <v>#N/A</v>
      </c>
      <c r="AW306" s="171">
        <f>Saisie!AM306</f>
        <v>0</v>
      </c>
      <c r="AX306" s="68">
        <f>Saisie!AN306</f>
        <v>0</v>
      </c>
      <c r="AY306" s="20">
        <f>Saisie!AO306</f>
        <v>0</v>
      </c>
      <c r="AZ306" s="21">
        <f>Saisie!AP306</f>
        <v>0</v>
      </c>
      <c r="BA306" s="298">
        <f>Saisie!AQ306</f>
        <v>0</v>
      </c>
      <c r="BB306" s="170">
        <f>Saisie!AR306</f>
        <v>0</v>
      </c>
      <c r="BC306" s="174">
        <f>Saisie!AS306</f>
        <v>0</v>
      </c>
      <c r="BD306" s="61">
        <f>Saisie!AT306</f>
        <v>0</v>
      </c>
      <c r="BE306" s="175" t="e">
        <f t="array" ref="BE306">_xlfn.IFS(Saisie!AU306="OUI",1,Saisie!AU306="NON",0)</f>
        <v>#N/A</v>
      </c>
      <c r="BF306" s="267">
        <f>Saisie!AV306</f>
        <v>0</v>
      </c>
      <c r="BG306" s="55">
        <f>Saisie!AW306</f>
        <v>0</v>
      </c>
      <c r="BH306" s="55" t="e">
        <f t="array" ref="BH306">_xlfn.IFS(Saisie!AX306="OUI",1,Saisie!AX306="NON",0)</f>
        <v>#N/A</v>
      </c>
      <c r="BI306" s="62">
        <f>Saisie!AY306</f>
        <v>0</v>
      </c>
      <c r="BJ306" s="55" t="e">
        <f t="array" ref="BJ306">_xlfn.IFS(Saisie!AZ306="OUI",1,Saisie!AZ306="NON",0)</f>
        <v>#N/A</v>
      </c>
      <c r="BK306" s="55" t="e">
        <f t="array" ref="BK306">_xlfn.IFS(Saisie!BA306="OUI",1,Saisie!BA306="NON",0)</f>
        <v>#N/A</v>
      </c>
      <c r="BL306" s="55">
        <f>Saisie!BB306</f>
        <v>0</v>
      </c>
      <c r="BM306" s="49" t="e">
        <f>Saisie!BC306</f>
        <v>#REF!</v>
      </c>
      <c r="BN306" s="175"/>
    </row>
    <row r="307" spans="1:66" s="176" customFormat="1" x14ac:dyDescent="0.45">
      <c r="A307" s="12">
        <v>301</v>
      </c>
      <c r="B307" s="150">
        <f>Saisie!B307</f>
        <v>0</v>
      </c>
      <c r="C307" s="150">
        <f>Saisie!C307</f>
        <v>0</v>
      </c>
      <c r="D307" s="150">
        <f>Saisie!D307</f>
        <v>0</v>
      </c>
      <c r="E307" s="150">
        <f>Saisie!E307</f>
        <v>0</v>
      </c>
      <c r="F307" s="150">
        <f>Saisie!F307</f>
        <v>0</v>
      </c>
      <c r="G307" s="150">
        <f>Saisie!G307</f>
        <v>0</v>
      </c>
      <c r="H307" s="150">
        <f>Saisie!I307</f>
        <v>0</v>
      </c>
      <c r="I307" s="150">
        <f>Saisie!J307</f>
        <v>0</v>
      </c>
      <c r="J307" s="150">
        <f>Saisie!K307</f>
        <v>0</v>
      </c>
      <c r="K307" s="150">
        <f>Saisie!L307</f>
        <v>0</v>
      </c>
      <c r="L307" s="150" t="e">
        <f>Saisie!#REF!</f>
        <v>#REF!</v>
      </c>
      <c r="M307" s="55" t="e">
        <f t="array" ref="M307">_xlfn.IFS(Saisie!M307="OUI",1,Saisie!M307="NON",0)</f>
        <v>#N/A</v>
      </c>
      <c r="N307" s="64" t="e">
        <f>Saisie!#REF!</f>
        <v>#REF!</v>
      </c>
      <c r="O307" s="63" t="e">
        <f>Saisie!#REF!</f>
        <v>#REF!</v>
      </c>
      <c r="P307" s="63">
        <f>Saisie!N307</f>
        <v>0</v>
      </c>
      <c r="Q307" s="63" t="e">
        <f t="array" ref="Q307">_xlfn.IFS(Saisie!#REF!="OUI",1,Saisie!#REF!="NON",0)</f>
        <v>#REF!</v>
      </c>
      <c r="R307" s="63" t="e">
        <f>Saisie!#REF!</f>
        <v>#REF!</v>
      </c>
      <c r="S307" s="65" t="e">
        <f>Saisie!#REF!</f>
        <v>#REF!</v>
      </c>
      <c r="T307" s="63" t="e">
        <f>Saisie!#REF!</f>
        <v>#REF!</v>
      </c>
      <c r="U307" s="63" t="e">
        <f>Saisie!#REF!</f>
        <v>#REF!</v>
      </c>
      <c r="V307" s="63" t="e">
        <f t="array" ref="V307">_xlfn.IFS(Saisie!#REF!="OUI",1,Saisie!#REF!="NON",0)</f>
        <v>#REF!</v>
      </c>
      <c r="W307" s="63" t="e">
        <f t="array" ref="W307">_xlfn.IFS(Saisie!O307="OUI",1,Saisie!O307="NON",0)</f>
        <v>#N/A</v>
      </c>
      <c r="X307" s="63">
        <f>Saisie!P307</f>
        <v>0</v>
      </c>
      <c r="Y307" s="299">
        <f>Saisie!H307</f>
        <v>0</v>
      </c>
      <c r="Z307" s="58" t="e">
        <f>Saisie!#REF!</f>
        <v>#REF!</v>
      </c>
      <c r="AA307" s="299">
        <f>Saisie!Q307</f>
        <v>0</v>
      </c>
      <c r="AB307" s="63" t="e">
        <f t="array" ref="AB307">_xlfn.IFS(Saisie!R307="OUI",1,Saisie!R307="NON",0)</f>
        <v>#N/A</v>
      </c>
      <c r="AC307" s="63">
        <f>Saisie!S307</f>
        <v>0</v>
      </c>
      <c r="AD307" s="63" t="e">
        <f t="array" ref="AD307">_xlfn.IFS(Saisie!T307="OUI",1,Saisie!T307="NON",0)</f>
        <v>#N/A</v>
      </c>
      <c r="AE307" s="171">
        <f>Saisie!U307</f>
        <v>0</v>
      </c>
      <c r="AF307" s="262">
        <v>3</v>
      </c>
      <c r="AG307" s="129">
        <f>Saisie!W307</f>
        <v>0</v>
      </c>
      <c r="AH307" s="20">
        <f>Saisie!X307</f>
        <v>0</v>
      </c>
      <c r="AI307" s="21">
        <f>Saisie!Y307</f>
        <v>0</v>
      </c>
      <c r="AJ307" s="59">
        <f>Saisie!Z307</f>
        <v>0</v>
      </c>
      <c r="AK307" s="20">
        <f>Saisie!AA307</f>
        <v>0</v>
      </c>
      <c r="AL307" s="21">
        <f>Saisie!AB307</f>
        <v>0</v>
      </c>
      <c r="AM307" s="59">
        <f>Saisie!AC307</f>
        <v>0</v>
      </c>
      <c r="AN307" s="20">
        <f>Saisie!AD307</f>
        <v>0</v>
      </c>
      <c r="AO307" s="21">
        <f>Saisie!AE307</f>
        <v>0</v>
      </c>
      <c r="AP307" s="59">
        <f>Saisie!AF307</f>
        <v>0</v>
      </c>
      <c r="AQ307" s="129" t="e">
        <f t="array" ref="AQ307">_xlfn.IFS(Saisie!AG307="OUI",1,Saisie!AG307="NON",0)</f>
        <v>#N/A</v>
      </c>
      <c r="AR307" s="129" t="e">
        <f t="array" ref="AR307">_xlfn.IFS(Saisie!AH307="OUI",1,Saisie!AH307="NON",0)</f>
        <v>#N/A</v>
      </c>
      <c r="AS307" s="171">
        <f>Saisie!AI307</f>
        <v>0</v>
      </c>
      <c r="AT307" s="263" t="e">
        <f t="array" ref="AT307">_xlfn.IFS(Saisie!AJ307="OUI",1,Saisie!AJ307="NON",0)</f>
        <v>#N/A</v>
      </c>
      <c r="AU307" s="173">
        <f>Saisie!AK307</f>
        <v>0</v>
      </c>
      <c r="AV307" s="263" t="e">
        <f t="array" ref="AV307">_xlfn.IFS(Saisie!AL307="OUI",1,Saisie!AL307="NON",0)</f>
        <v>#N/A</v>
      </c>
      <c r="AW307" s="171">
        <f>Saisie!AM307</f>
        <v>0</v>
      </c>
      <c r="AX307" s="68">
        <f>Saisie!AN307</f>
        <v>0</v>
      </c>
      <c r="AY307" s="20">
        <f>Saisie!AO307</f>
        <v>0</v>
      </c>
      <c r="AZ307" s="21">
        <f>Saisie!AP307</f>
        <v>0</v>
      </c>
      <c r="BA307" s="298">
        <f>Saisie!AQ307</f>
        <v>0</v>
      </c>
      <c r="BB307" s="170">
        <f>Saisie!AR307</f>
        <v>0</v>
      </c>
      <c r="BC307" s="174">
        <f>Saisie!AS307</f>
        <v>0</v>
      </c>
      <c r="BD307" s="61">
        <f>Saisie!AT307</f>
        <v>0</v>
      </c>
      <c r="BE307" s="175" t="e">
        <f t="array" ref="BE307">_xlfn.IFS(Saisie!AU307="OUI",1,Saisie!AU307="NON",0)</f>
        <v>#N/A</v>
      </c>
      <c r="BF307" s="267">
        <f>Saisie!AV307</f>
        <v>0</v>
      </c>
      <c r="BG307" s="55">
        <f>Saisie!AW307</f>
        <v>0</v>
      </c>
      <c r="BH307" s="55" t="e">
        <f t="array" ref="BH307">_xlfn.IFS(Saisie!AX307="OUI",1,Saisie!AX307="NON",0)</f>
        <v>#N/A</v>
      </c>
      <c r="BI307" s="62">
        <f>Saisie!AY307</f>
        <v>0</v>
      </c>
      <c r="BJ307" s="55" t="e">
        <f t="array" ref="BJ307">_xlfn.IFS(Saisie!AZ307="OUI",1,Saisie!AZ307="NON",0)</f>
        <v>#N/A</v>
      </c>
      <c r="BK307" s="55" t="e">
        <f t="array" ref="BK307">_xlfn.IFS(Saisie!BA307="OUI",1,Saisie!BA307="NON",0)</f>
        <v>#N/A</v>
      </c>
      <c r="BL307" s="55">
        <f>Saisie!BB307</f>
        <v>0</v>
      </c>
      <c r="BM307" s="49" t="e">
        <f>Saisie!BC307</f>
        <v>#REF!</v>
      </c>
      <c r="BN307" s="175"/>
    </row>
    <row r="308" spans="1:66" s="176" customFormat="1" x14ac:dyDescent="0.45">
      <c r="A308" s="13">
        <v>302</v>
      </c>
      <c r="B308" s="150">
        <f>Saisie!B308</f>
        <v>0</v>
      </c>
      <c r="C308" s="150">
        <f>Saisie!C308</f>
        <v>0</v>
      </c>
      <c r="D308" s="150">
        <f>Saisie!D308</f>
        <v>0</v>
      </c>
      <c r="E308" s="150">
        <f>Saisie!E308</f>
        <v>0</v>
      </c>
      <c r="F308" s="150">
        <f>Saisie!F308</f>
        <v>0</v>
      </c>
      <c r="G308" s="150">
        <f>Saisie!G308</f>
        <v>0</v>
      </c>
      <c r="H308" s="150">
        <f>Saisie!I308</f>
        <v>0</v>
      </c>
      <c r="I308" s="150">
        <f>Saisie!J308</f>
        <v>0</v>
      </c>
      <c r="J308" s="150">
        <f>Saisie!K308</f>
        <v>0</v>
      </c>
      <c r="K308" s="150">
        <f>Saisie!L308</f>
        <v>0</v>
      </c>
      <c r="L308" s="150" t="e">
        <f>Saisie!#REF!</f>
        <v>#REF!</v>
      </c>
      <c r="M308" s="55" t="e">
        <f t="array" ref="M308">_xlfn.IFS(Saisie!M308="OUI",1,Saisie!M308="NON",0)</f>
        <v>#N/A</v>
      </c>
      <c r="N308" s="64" t="e">
        <f>Saisie!#REF!</f>
        <v>#REF!</v>
      </c>
      <c r="O308" s="63" t="e">
        <f>Saisie!#REF!</f>
        <v>#REF!</v>
      </c>
      <c r="P308" s="63">
        <f>Saisie!N308</f>
        <v>0</v>
      </c>
      <c r="Q308" s="63" t="e">
        <f t="array" ref="Q308">_xlfn.IFS(Saisie!#REF!="OUI",1,Saisie!#REF!="NON",0)</f>
        <v>#REF!</v>
      </c>
      <c r="R308" s="63" t="e">
        <f>Saisie!#REF!</f>
        <v>#REF!</v>
      </c>
      <c r="S308" s="65" t="e">
        <f>Saisie!#REF!</f>
        <v>#REF!</v>
      </c>
      <c r="T308" s="63" t="e">
        <f>Saisie!#REF!</f>
        <v>#REF!</v>
      </c>
      <c r="U308" s="63" t="e">
        <f>Saisie!#REF!</f>
        <v>#REF!</v>
      </c>
      <c r="V308" s="63" t="e">
        <f t="array" ref="V308">_xlfn.IFS(Saisie!#REF!="OUI",1,Saisie!#REF!="NON",0)</f>
        <v>#REF!</v>
      </c>
      <c r="W308" s="63" t="e">
        <f t="array" ref="W308">_xlfn.IFS(Saisie!O308="OUI",1,Saisie!O308="NON",0)</f>
        <v>#N/A</v>
      </c>
      <c r="X308" s="63">
        <f>Saisie!P308</f>
        <v>0</v>
      </c>
      <c r="Y308" s="299">
        <f>Saisie!H308</f>
        <v>0</v>
      </c>
      <c r="Z308" s="58" t="e">
        <f>Saisie!#REF!</f>
        <v>#REF!</v>
      </c>
      <c r="AA308" s="299">
        <f>Saisie!Q308</f>
        <v>0</v>
      </c>
      <c r="AB308" s="63" t="e">
        <f t="array" ref="AB308">_xlfn.IFS(Saisie!R308="OUI",1,Saisie!R308="NON",0)</f>
        <v>#N/A</v>
      </c>
      <c r="AC308" s="63">
        <f>Saisie!S308</f>
        <v>0</v>
      </c>
      <c r="AD308" s="63" t="e">
        <f t="array" ref="AD308">_xlfn.IFS(Saisie!T308="OUI",1,Saisie!T308="NON",0)</f>
        <v>#N/A</v>
      </c>
      <c r="AE308" s="171">
        <f>Saisie!U308</f>
        <v>0</v>
      </c>
      <c r="AF308" s="262">
        <v>3</v>
      </c>
      <c r="AG308" s="129">
        <f>Saisie!W308</f>
        <v>0</v>
      </c>
      <c r="AH308" s="20">
        <f>Saisie!X308</f>
        <v>0</v>
      </c>
      <c r="AI308" s="21">
        <f>Saisie!Y308</f>
        <v>0</v>
      </c>
      <c r="AJ308" s="59">
        <f>Saisie!Z308</f>
        <v>0</v>
      </c>
      <c r="AK308" s="20">
        <f>Saisie!AA308</f>
        <v>0</v>
      </c>
      <c r="AL308" s="21">
        <f>Saisie!AB308</f>
        <v>0</v>
      </c>
      <c r="AM308" s="59">
        <f>Saisie!AC308</f>
        <v>0</v>
      </c>
      <c r="AN308" s="20">
        <f>Saisie!AD308</f>
        <v>0</v>
      </c>
      <c r="AO308" s="21">
        <f>Saisie!AE308</f>
        <v>0</v>
      </c>
      <c r="AP308" s="59">
        <f>Saisie!AF308</f>
        <v>0</v>
      </c>
      <c r="AQ308" s="129" t="e">
        <f t="array" ref="AQ308">_xlfn.IFS(Saisie!AG308="OUI",1,Saisie!AG308="NON",0)</f>
        <v>#N/A</v>
      </c>
      <c r="AR308" s="129" t="e">
        <f t="array" ref="AR308">_xlfn.IFS(Saisie!AH308="OUI",1,Saisie!AH308="NON",0)</f>
        <v>#N/A</v>
      </c>
      <c r="AS308" s="171">
        <f>Saisie!AI308</f>
        <v>0</v>
      </c>
      <c r="AT308" s="263" t="e">
        <f t="array" ref="AT308">_xlfn.IFS(Saisie!AJ308="OUI",1,Saisie!AJ308="NON",0)</f>
        <v>#N/A</v>
      </c>
      <c r="AU308" s="173">
        <f>Saisie!AK308</f>
        <v>0</v>
      </c>
      <c r="AV308" s="263" t="e">
        <f t="array" ref="AV308">_xlfn.IFS(Saisie!AL308="OUI",1,Saisie!AL308="NON",0)</f>
        <v>#N/A</v>
      </c>
      <c r="AW308" s="171">
        <f>Saisie!AM308</f>
        <v>0</v>
      </c>
      <c r="AX308" s="68">
        <f>Saisie!AN308</f>
        <v>0</v>
      </c>
      <c r="AY308" s="20">
        <f>Saisie!AO308</f>
        <v>0</v>
      </c>
      <c r="AZ308" s="21">
        <f>Saisie!AP308</f>
        <v>0</v>
      </c>
      <c r="BA308" s="298">
        <f>Saisie!AQ308</f>
        <v>0</v>
      </c>
      <c r="BB308" s="170">
        <f>Saisie!AR308</f>
        <v>0</v>
      </c>
      <c r="BC308" s="174">
        <f>Saisie!AS308</f>
        <v>0</v>
      </c>
      <c r="BD308" s="61">
        <f>Saisie!AT308</f>
        <v>0</v>
      </c>
      <c r="BE308" s="175" t="e">
        <f t="array" ref="BE308">_xlfn.IFS(Saisie!AU308="OUI",1,Saisie!AU308="NON",0)</f>
        <v>#N/A</v>
      </c>
      <c r="BF308" s="267">
        <f>Saisie!AV308</f>
        <v>0</v>
      </c>
      <c r="BG308" s="55">
        <f>Saisie!AW308</f>
        <v>0</v>
      </c>
      <c r="BH308" s="55" t="e">
        <f t="array" ref="BH308">_xlfn.IFS(Saisie!AX308="OUI",1,Saisie!AX308="NON",0)</f>
        <v>#N/A</v>
      </c>
      <c r="BI308" s="62">
        <f>Saisie!AY308</f>
        <v>0</v>
      </c>
      <c r="BJ308" s="55" t="e">
        <f t="array" ref="BJ308">_xlfn.IFS(Saisie!AZ308="OUI",1,Saisie!AZ308="NON",0)</f>
        <v>#N/A</v>
      </c>
      <c r="BK308" s="55" t="e">
        <f t="array" ref="BK308">_xlfn.IFS(Saisie!BA308="OUI",1,Saisie!BA308="NON",0)</f>
        <v>#N/A</v>
      </c>
      <c r="BL308" s="55">
        <f>Saisie!BB308</f>
        <v>0</v>
      </c>
      <c r="BM308" s="49" t="e">
        <f>Saisie!BC308</f>
        <v>#REF!</v>
      </c>
      <c r="BN308" s="175"/>
    </row>
    <row r="309" spans="1:66" s="176" customFormat="1" x14ac:dyDescent="0.45">
      <c r="A309" s="13">
        <v>303</v>
      </c>
      <c r="B309" s="150">
        <f>Saisie!B309</f>
        <v>0</v>
      </c>
      <c r="C309" s="150">
        <f>Saisie!C309</f>
        <v>0</v>
      </c>
      <c r="D309" s="150">
        <f>Saisie!D309</f>
        <v>0</v>
      </c>
      <c r="E309" s="150">
        <f>Saisie!E309</f>
        <v>0</v>
      </c>
      <c r="F309" s="150">
        <f>Saisie!F309</f>
        <v>0</v>
      </c>
      <c r="G309" s="150">
        <f>Saisie!G309</f>
        <v>0</v>
      </c>
      <c r="H309" s="150">
        <f>Saisie!I309</f>
        <v>0</v>
      </c>
      <c r="I309" s="150">
        <f>Saisie!J309</f>
        <v>0</v>
      </c>
      <c r="J309" s="150">
        <f>Saisie!K309</f>
        <v>0</v>
      </c>
      <c r="K309" s="150">
        <f>Saisie!L309</f>
        <v>0</v>
      </c>
      <c r="L309" s="150" t="e">
        <f>Saisie!#REF!</f>
        <v>#REF!</v>
      </c>
      <c r="M309" s="55" t="e">
        <f t="array" ref="M309">_xlfn.IFS(Saisie!M309="OUI",1,Saisie!M309="NON",0)</f>
        <v>#N/A</v>
      </c>
      <c r="N309" s="64" t="e">
        <f>Saisie!#REF!</f>
        <v>#REF!</v>
      </c>
      <c r="O309" s="63" t="e">
        <f>Saisie!#REF!</f>
        <v>#REF!</v>
      </c>
      <c r="P309" s="63">
        <f>Saisie!N309</f>
        <v>0</v>
      </c>
      <c r="Q309" s="63" t="e">
        <f t="array" ref="Q309">_xlfn.IFS(Saisie!#REF!="OUI",1,Saisie!#REF!="NON",0)</f>
        <v>#REF!</v>
      </c>
      <c r="R309" s="63" t="e">
        <f>Saisie!#REF!</f>
        <v>#REF!</v>
      </c>
      <c r="S309" s="65" t="e">
        <f>Saisie!#REF!</f>
        <v>#REF!</v>
      </c>
      <c r="T309" s="63" t="e">
        <f>Saisie!#REF!</f>
        <v>#REF!</v>
      </c>
      <c r="U309" s="63" t="e">
        <f>Saisie!#REF!</f>
        <v>#REF!</v>
      </c>
      <c r="V309" s="63" t="e">
        <f t="array" ref="V309">_xlfn.IFS(Saisie!#REF!="OUI",1,Saisie!#REF!="NON",0)</f>
        <v>#REF!</v>
      </c>
      <c r="W309" s="63" t="e">
        <f t="array" ref="W309">_xlfn.IFS(Saisie!O309="OUI",1,Saisie!O309="NON",0)</f>
        <v>#N/A</v>
      </c>
      <c r="X309" s="63">
        <f>Saisie!P309</f>
        <v>0</v>
      </c>
      <c r="Y309" s="299">
        <f>Saisie!H309</f>
        <v>0</v>
      </c>
      <c r="Z309" s="58" t="e">
        <f>Saisie!#REF!</f>
        <v>#REF!</v>
      </c>
      <c r="AA309" s="299">
        <f>Saisie!Q309</f>
        <v>0</v>
      </c>
      <c r="AB309" s="63" t="e">
        <f t="array" ref="AB309">_xlfn.IFS(Saisie!R309="OUI",1,Saisie!R309="NON",0)</f>
        <v>#N/A</v>
      </c>
      <c r="AC309" s="63">
        <f>Saisie!S309</f>
        <v>0</v>
      </c>
      <c r="AD309" s="63" t="e">
        <f t="array" ref="AD309">_xlfn.IFS(Saisie!T309="OUI",1,Saisie!T309="NON",0)</f>
        <v>#N/A</v>
      </c>
      <c r="AE309" s="171">
        <f>Saisie!U309</f>
        <v>0</v>
      </c>
      <c r="AF309" s="262"/>
      <c r="AG309" s="129">
        <f>Saisie!W309</f>
        <v>0</v>
      </c>
      <c r="AH309" s="20">
        <f>Saisie!X309</f>
        <v>0</v>
      </c>
      <c r="AI309" s="21">
        <f>Saisie!Y309</f>
        <v>0</v>
      </c>
      <c r="AJ309" s="59">
        <f>Saisie!Z309</f>
        <v>0</v>
      </c>
      <c r="AK309" s="20">
        <f>Saisie!AA309</f>
        <v>0</v>
      </c>
      <c r="AL309" s="21">
        <f>Saisie!AB309</f>
        <v>0</v>
      </c>
      <c r="AM309" s="59">
        <f>Saisie!AC309</f>
        <v>0</v>
      </c>
      <c r="AN309" s="20">
        <f>Saisie!AD309</f>
        <v>0</v>
      </c>
      <c r="AO309" s="21">
        <f>Saisie!AE309</f>
        <v>0</v>
      </c>
      <c r="AP309" s="59">
        <f>Saisie!AF309</f>
        <v>0</v>
      </c>
      <c r="AQ309" s="129" t="e">
        <f t="array" ref="AQ309">_xlfn.IFS(Saisie!AG309="OUI",1,Saisie!AG309="NON",0)</f>
        <v>#N/A</v>
      </c>
      <c r="AR309" s="129" t="e">
        <f t="array" ref="AR309">_xlfn.IFS(Saisie!AH309="OUI",1,Saisie!AH309="NON",0)</f>
        <v>#N/A</v>
      </c>
      <c r="AS309" s="171">
        <f>Saisie!AI309</f>
        <v>0</v>
      </c>
      <c r="AT309" s="263" t="e">
        <f t="array" ref="AT309">_xlfn.IFS(Saisie!AJ309="OUI",1,Saisie!AJ309="NON",0)</f>
        <v>#N/A</v>
      </c>
      <c r="AU309" s="173">
        <f>Saisie!AK309</f>
        <v>0</v>
      </c>
      <c r="AV309" s="263" t="e">
        <f t="array" ref="AV309">_xlfn.IFS(Saisie!AL309="OUI",1,Saisie!AL309="NON",0)</f>
        <v>#N/A</v>
      </c>
      <c r="AW309" s="171">
        <f>Saisie!AM309</f>
        <v>0</v>
      </c>
      <c r="AX309" s="68">
        <f>Saisie!AN309</f>
        <v>0</v>
      </c>
      <c r="AY309" s="20">
        <f>Saisie!AO309</f>
        <v>0</v>
      </c>
      <c r="AZ309" s="21">
        <f>Saisie!AP309</f>
        <v>0</v>
      </c>
      <c r="BA309" s="298">
        <f>Saisie!AQ309</f>
        <v>0</v>
      </c>
      <c r="BB309" s="170">
        <f>Saisie!AR309</f>
        <v>0</v>
      </c>
      <c r="BC309" s="174">
        <f>Saisie!AS309</f>
        <v>0</v>
      </c>
      <c r="BD309" s="61">
        <f>Saisie!AT309</f>
        <v>0</v>
      </c>
      <c r="BE309" s="175" t="e">
        <f t="array" ref="BE309">_xlfn.IFS(Saisie!AU309="OUI",1,Saisie!AU309="NON",0)</f>
        <v>#N/A</v>
      </c>
      <c r="BF309" s="267">
        <f>Saisie!AV309</f>
        <v>0</v>
      </c>
      <c r="BG309" s="55">
        <f>Saisie!AW309</f>
        <v>0</v>
      </c>
      <c r="BH309" s="55" t="e">
        <f t="array" ref="BH309">_xlfn.IFS(Saisie!AX309="OUI",1,Saisie!AX309="NON",0)</f>
        <v>#N/A</v>
      </c>
      <c r="BI309" s="62">
        <f>Saisie!AY309</f>
        <v>0</v>
      </c>
      <c r="BJ309" s="55" t="e">
        <f t="array" ref="BJ309">_xlfn.IFS(Saisie!AZ309="OUI",1,Saisie!AZ309="NON",0)</f>
        <v>#N/A</v>
      </c>
      <c r="BK309" s="55" t="e">
        <f t="array" ref="BK309">_xlfn.IFS(Saisie!BA309="OUI",1,Saisie!BA309="NON",0)</f>
        <v>#N/A</v>
      </c>
      <c r="BL309" s="55">
        <f>Saisie!BB309</f>
        <v>0</v>
      </c>
      <c r="BM309" s="49" t="e">
        <f>Saisie!BC309</f>
        <v>#REF!</v>
      </c>
      <c r="BN309" s="175"/>
    </row>
    <row r="310" spans="1:66" s="176" customFormat="1" x14ac:dyDescent="0.45">
      <c r="A310" s="12">
        <v>304</v>
      </c>
      <c r="B310" s="150">
        <f>Saisie!B310</f>
        <v>0</v>
      </c>
      <c r="C310" s="150">
        <f>Saisie!C310</f>
        <v>0</v>
      </c>
      <c r="D310" s="150">
        <f>Saisie!D310</f>
        <v>0</v>
      </c>
      <c r="E310" s="150">
        <f>Saisie!E310</f>
        <v>0</v>
      </c>
      <c r="F310" s="150">
        <f>Saisie!F310</f>
        <v>0</v>
      </c>
      <c r="G310" s="150">
        <f>Saisie!G310</f>
        <v>0</v>
      </c>
      <c r="H310" s="150">
        <f>Saisie!I310</f>
        <v>0</v>
      </c>
      <c r="I310" s="150">
        <f>Saisie!J310</f>
        <v>0</v>
      </c>
      <c r="J310" s="150">
        <f>Saisie!K310</f>
        <v>0</v>
      </c>
      <c r="K310" s="150">
        <f>Saisie!L310</f>
        <v>0</v>
      </c>
      <c r="L310" s="150" t="e">
        <f>Saisie!#REF!</f>
        <v>#REF!</v>
      </c>
      <c r="M310" s="55" t="e">
        <f t="array" ref="M310">_xlfn.IFS(Saisie!M310="OUI",1,Saisie!M310="NON",0)</f>
        <v>#N/A</v>
      </c>
      <c r="N310" s="64" t="e">
        <f>Saisie!#REF!</f>
        <v>#REF!</v>
      </c>
      <c r="O310" s="63" t="e">
        <f>Saisie!#REF!</f>
        <v>#REF!</v>
      </c>
      <c r="P310" s="63">
        <f>Saisie!N310</f>
        <v>0</v>
      </c>
      <c r="Q310" s="63" t="e">
        <f t="array" ref="Q310">_xlfn.IFS(Saisie!#REF!="OUI",1,Saisie!#REF!="NON",0)</f>
        <v>#REF!</v>
      </c>
      <c r="R310" s="63" t="e">
        <f>Saisie!#REF!</f>
        <v>#REF!</v>
      </c>
      <c r="S310" s="65" t="e">
        <f>Saisie!#REF!</f>
        <v>#REF!</v>
      </c>
      <c r="T310" s="63" t="e">
        <f>Saisie!#REF!</f>
        <v>#REF!</v>
      </c>
      <c r="U310" s="63" t="e">
        <f>Saisie!#REF!</f>
        <v>#REF!</v>
      </c>
      <c r="V310" s="63" t="e">
        <f t="array" ref="V310">_xlfn.IFS(Saisie!#REF!="OUI",1,Saisie!#REF!="NON",0)</f>
        <v>#REF!</v>
      </c>
      <c r="W310" s="63" t="e">
        <f t="array" ref="W310">_xlfn.IFS(Saisie!O310="OUI",1,Saisie!O310="NON",0)</f>
        <v>#N/A</v>
      </c>
      <c r="X310" s="63">
        <f>Saisie!P310</f>
        <v>0</v>
      </c>
      <c r="Y310" s="299">
        <f>Saisie!H310</f>
        <v>0</v>
      </c>
      <c r="Z310" s="58" t="e">
        <f>Saisie!#REF!</f>
        <v>#REF!</v>
      </c>
      <c r="AA310" s="299">
        <f>Saisie!Q310</f>
        <v>0</v>
      </c>
      <c r="AB310" s="63" t="e">
        <f t="array" ref="AB310">_xlfn.IFS(Saisie!R310="OUI",1,Saisie!R310="NON",0)</f>
        <v>#N/A</v>
      </c>
      <c r="AC310" s="63">
        <f>Saisie!S310</f>
        <v>0</v>
      </c>
      <c r="AD310" s="63" t="e">
        <f t="array" ref="AD310">_xlfn.IFS(Saisie!T310="OUI",1,Saisie!T310="NON",0)</f>
        <v>#N/A</v>
      </c>
      <c r="AE310" s="171">
        <f>Saisie!U310</f>
        <v>0</v>
      </c>
      <c r="AF310" s="262">
        <v>3</v>
      </c>
      <c r="AG310" s="129">
        <f>Saisie!W310</f>
        <v>0</v>
      </c>
      <c r="AH310" s="20">
        <f>Saisie!X310</f>
        <v>0</v>
      </c>
      <c r="AI310" s="21">
        <f>Saisie!Y310</f>
        <v>0</v>
      </c>
      <c r="AJ310" s="59">
        <f>Saisie!Z310</f>
        <v>0</v>
      </c>
      <c r="AK310" s="20">
        <f>Saisie!AA310</f>
        <v>0</v>
      </c>
      <c r="AL310" s="21">
        <f>Saisie!AB310</f>
        <v>0</v>
      </c>
      <c r="AM310" s="59">
        <f>Saisie!AC310</f>
        <v>0</v>
      </c>
      <c r="AN310" s="20">
        <f>Saisie!AD310</f>
        <v>0</v>
      </c>
      <c r="AO310" s="21">
        <f>Saisie!AE310</f>
        <v>0</v>
      </c>
      <c r="AP310" s="59">
        <f>Saisie!AF310</f>
        <v>0</v>
      </c>
      <c r="AQ310" s="129" t="e">
        <f t="array" ref="AQ310">_xlfn.IFS(Saisie!AG310="OUI",1,Saisie!AG310="NON",0)</f>
        <v>#N/A</v>
      </c>
      <c r="AR310" s="129" t="e">
        <f t="array" ref="AR310">_xlfn.IFS(Saisie!AH310="OUI",1,Saisie!AH310="NON",0)</f>
        <v>#N/A</v>
      </c>
      <c r="AS310" s="171">
        <f>Saisie!AI310</f>
        <v>0</v>
      </c>
      <c r="AT310" s="263" t="e">
        <f t="array" ref="AT310">_xlfn.IFS(Saisie!AJ310="OUI",1,Saisie!AJ310="NON",0)</f>
        <v>#N/A</v>
      </c>
      <c r="AU310" s="173">
        <f>Saisie!AK310</f>
        <v>0</v>
      </c>
      <c r="AV310" s="263" t="e">
        <f t="array" ref="AV310">_xlfn.IFS(Saisie!AL310="OUI",1,Saisie!AL310="NON",0)</f>
        <v>#N/A</v>
      </c>
      <c r="AW310" s="171">
        <f>Saisie!AM310</f>
        <v>0</v>
      </c>
      <c r="AX310" s="68">
        <f>Saisie!AN310</f>
        <v>0</v>
      </c>
      <c r="AY310" s="20">
        <f>Saisie!AO310</f>
        <v>0</v>
      </c>
      <c r="AZ310" s="21">
        <f>Saisie!AP310</f>
        <v>0</v>
      </c>
      <c r="BA310" s="298">
        <f>Saisie!AQ310</f>
        <v>0</v>
      </c>
      <c r="BB310" s="170">
        <f>Saisie!AR310</f>
        <v>0</v>
      </c>
      <c r="BC310" s="174">
        <f>Saisie!AS310</f>
        <v>0</v>
      </c>
      <c r="BD310" s="61">
        <f>Saisie!AT310</f>
        <v>0</v>
      </c>
      <c r="BE310" s="175" t="e">
        <f t="array" ref="BE310">_xlfn.IFS(Saisie!AU310="OUI",1,Saisie!AU310="NON",0)</f>
        <v>#N/A</v>
      </c>
      <c r="BF310" s="267">
        <f>Saisie!AV310</f>
        <v>0</v>
      </c>
      <c r="BG310" s="55">
        <f>Saisie!AW310</f>
        <v>0</v>
      </c>
      <c r="BH310" s="55" t="e">
        <f t="array" ref="BH310">_xlfn.IFS(Saisie!AX310="OUI",1,Saisie!AX310="NON",0)</f>
        <v>#N/A</v>
      </c>
      <c r="BI310" s="62">
        <f>Saisie!AY310</f>
        <v>0</v>
      </c>
      <c r="BJ310" s="55" t="e">
        <f t="array" ref="BJ310">_xlfn.IFS(Saisie!AZ310="OUI",1,Saisie!AZ310="NON",0)</f>
        <v>#N/A</v>
      </c>
      <c r="BK310" s="55" t="e">
        <f t="array" ref="BK310">_xlfn.IFS(Saisie!BA310="OUI",1,Saisie!BA310="NON",0)</f>
        <v>#N/A</v>
      </c>
      <c r="BL310" s="55">
        <f>Saisie!BB310</f>
        <v>0</v>
      </c>
      <c r="BM310" s="49" t="e">
        <f>Saisie!BC310</f>
        <v>#REF!</v>
      </c>
      <c r="BN310" s="175"/>
    </row>
    <row r="311" spans="1:66" s="176" customFormat="1" x14ac:dyDescent="0.45">
      <c r="A311" s="13">
        <v>305</v>
      </c>
      <c r="B311" s="150">
        <f>Saisie!B311</f>
        <v>0</v>
      </c>
      <c r="C311" s="150">
        <f>Saisie!C311</f>
        <v>0</v>
      </c>
      <c r="D311" s="150">
        <f>Saisie!D311</f>
        <v>0</v>
      </c>
      <c r="E311" s="150">
        <f>Saisie!E311</f>
        <v>0</v>
      </c>
      <c r="F311" s="150">
        <f>Saisie!F311</f>
        <v>0</v>
      </c>
      <c r="G311" s="150">
        <f>Saisie!G311</f>
        <v>0</v>
      </c>
      <c r="H311" s="150">
        <f>Saisie!I311</f>
        <v>0</v>
      </c>
      <c r="I311" s="150">
        <f>Saisie!J311</f>
        <v>0</v>
      </c>
      <c r="J311" s="150">
        <f>Saisie!K311</f>
        <v>0</v>
      </c>
      <c r="K311" s="150">
        <f>Saisie!L311</f>
        <v>0</v>
      </c>
      <c r="L311" s="150" t="e">
        <f>Saisie!#REF!</f>
        <v>#REF!</v>
      </c>
      <c r="M311" s="55" t="e">
        <f t="array" ref="M311">_xlfn.IFS(Saisie!M311="OUI",1,Saisie!M311="NON",0)</f>
        <v>#N/A</v>
      </c>
      <c r="N311" s="64" t="e">
        <f>Saisie!#REF!</f>
        <v>#REF!</v>
      </c>
      <c r="O311" s="63" t="e">
        <f>Saisie!#REF!</f>
        <v>#REF!</v>
      </c>
      <c r="P311" s="63">
        <f>Saisie!N311</f>
        <v>0</v>
      </c>
      <c r="Q311" s="63" t="e">
        <f t="array" ref="Q311">_xlfn.IFS(Saisie!#REF!="OUI",1,Saisie!#REF!="NON",0)</f>
        <v>#REF!</v>
      </c>
      <c r="R311" s="63" t="e">
        <f>Saisie!#REF!</f>
        <v>#REF!</v>
      </c>
      <c r="S311" s="65" t="e">
        <f>Saisie!#REF!</f>
        <v>#REF!</v>
      </c>
      <c r="T311" s="63" t="e">
        <f>Saisie!#REF!</f>
        <v>#REF!</v>
      </c>
      <c r="U311" s="63" t="e">
        <f>Saisie!#REF!</f>
        <v>#REF!</v>
      </c>
      <c r="V311" s="63" t="e">
        <f t="array" ref="V311">_xlfn.IFS(Saisie!#REF!="OUI",1,Saisie!#REF!="NON",0)</f>
        <v>#REF!</v>
      </c>
      <c r="W311" s="63" t="e">
        <f t="array" ref="W311">_xlfn.IFS(Saisie!O311="OUI",1,Saisie!O311="NON",0)</f>
        <v>#N/A</v>
      </c>
      <c r="X311" s="63">
        <f>Saisie!P311</f>
        <v>0</v>
      </c>
      <c r="Y311" s="299">
        <f>Saisie!H311</f>
        <v>0</v>
      </c>
      <c r="Z311" s="58" t="e">
        <f>Saisie!#REF!</f>
        <v>#REF!</v>
      </c>
      <c r="AA311" s="299">
        <f>Saisie!Q311</f>
        <v>0</v>
      </c>
      <c r="AB311" s="63" t="e">
        <f t="array" ref="AB311">_xlfn.IFS(Saisie!R311="OUI",1,Saisie!R311="NON",0)</f>
        <v>#N/A</v>
      </c>
      <c r="AC311" s="63">
        <f>Saisie!S311</f>
        <v>0</v>
      </c>
      <c r="AD311" s="63" t="e">
        <f t="array" ref="AD311">_xlfn.IFS(Saisie!T311="OUI",1,Saisie!T311="NON",0)</f>
        <v>#N/A</v>
      </c>
      <c r="AE311" s="171">
        <f>Saisie!U311</f>
        <v>0</v>
      </c>
      <c r="AF311" s="262">
        <v>3</v>
      </c>
      <c r="AG311" s="129">
        <f>Saisie!W311</f>
        <v>0</v>
      </c>
      <c r="AH311" s="20">
        <f>Saisie!X311</f>
        <v>0</v>
      </c>
      <c r="AI311" s="21">
        <f>Saisie!Y311</f>
        <v>0</v>
      </c>
      <c r="AJ311" s="59">
        <f>Saisie!Z311</f>
        <v>0</v>
      </c>
      <c r="AK311" s="20">
        <f>Saisie!AA311</f>
        <v>0</v>
      </c>
      <c r="AL311" s="21">
        <f>Saisie!AB311</f>
        <v>0</v>
      </c>
      <c r="AM311" s="59">
        <f>Saisie!AC311</f>
        <v>0</v>
      </c>
      <c r="AN311" s="20">
        <f>Saisie!AD311</f>
        <v>0</v>
      </c>
      <c r="AO311" s="21">
        <f>Saisie!AE311</f>
        <v>0</v>
      </c>
      <c r="AP311" s="59">
        <f>Saisie!AF311</f>
        <v>0</v>
      </c>
      <c r="AQ311" s="129" t="e">
        <f t="array" ref="AQ311">_xlfn.IFS(Saisie!AG311="OUI",1,Saisie!AG311="NON",0)</f>
        <v>#N/A</v>
      </c>
      <c r="AR311" s="129" t="e">
        <f t="array" ref="AR311">_xlfn.IFS(Saisie!AH311="OUI",1,Saisie!AH311="NON",0)</f>
        <v>#N/A</v>
      </c>
      <c r="AS311" s="171">
        <f>Saisie!AI311</f>
        <v>0</v>
      </c>
      <c r="AT311" s="263" t="e">
        <f t="array" ref="AT311">_xlfn.IFS(Saisie!AJ311="OUI",1,Saisie!AJ311="NON",0)</f>
        <v>#N/A</v>
      </c>
      <c r="AU311" s="173">
        <f>Saisie!AK311</f>
        <v>0</v>
      </c>
      <c r="AV311" s="263" t="e">
        <f t="array" ref="AV311">_xlfn.IFS(Saisie!AL311="OUI",1,Saisie!AL311="NON",0)</f>
        <v>#N/A</v>
      </c>
      <c r="AW311" s="171">
        <f>Saisie!AM311</f>
        <v>0</v>
      </c>
      <c r="AX311" s="68">
        <f>Saisie!AN311</f>
        <v>0</v>
      </c>
      <c r="AY311" s="20">
        <f>Saisie!AO311</f>
        <v>0</v>
      </c>
      <c r="AZ311" s="21">
        <f>Saisie!AP311</f>
        <v>0</v>
      </c>
      <c r="BA311" s="298">
        <f>Saisie!AQ311</f>
        <v>0</v>
      </c>
      <c r="BB311" s="170">
        <f>Saisie!AR311</f>
        <v>0</v>
      </c>
      <c r="BC311" s="174">
        <f>Saisie!AS311</f>
        <v>0</v>
      </c>
      <c r="BD311" s="61">
        <f>Saisie!AT311</f>
        <v>0</v>
      </c>
      <c r="BE311" s="175" t="e">
        <f t="array" ref="BE311">_xlfn.IFS(Saisie!AU311="OUI",1,Saisie!AU311="NON",0)</f>
        <v>#N/A</v>
      </c>
      <c r="BF311" s="267">
        <f>Saisie!AV311</f>
        <v>0</v>
      </c>
      <c r="BG311" s="55">
        <f>Saisie!AW311</f>
        <v>0</v>
      </c>
      <c r="BH311" s="55" t="e">
        <f t="array" ref="BH311">_xlfn.IFS(Saisie!AX311="OUI",1,Saisie!AX311="NON",0)</f>
        <v>#N/A</v>
      </c>
      <c r="BI311" s="62">
        <f>Saisie!AY311</f>
        <v>0</v>
      </c>
      <c r="BJ311" s="55" t="e">
        <f t="array" ref="BJ311">_xlfn.IFS(Saisie!AZ311="OUI",1,Saisie!AZ311="NON",0)</f>
        <v>#N/A</v>
      </c>
      <c r="BK311" s="55" t="e">
        <f t="array" ref="BK311">_xlfn.IFS(Saisie!BA311="OUI",1,Saisie!BA311="NON",0)</f>
        <v>#N/A</v>
      </c>
      <c r="BL311" s="55">
        <f>Saisie!BB311</f>
        <v>0</v>
      </c>
      <c r="BM311" s="49" t="e">
        <f>Saisie!BC311</f>
        <v>#REF!</v>
      </c>
      <c r="BN311" s="175"/>
    </row>
    <row r="312" spans="1:66" s="176" customFormat="1" x14ac:dyDescent="0.45">
      <c r="A312" s="13">
        <v>306</v>
      </c>
      <c r="B312" s="150">
        <f>Saisie!B312</f>
        <v>0</v>
      </c>
      <c r="C312" s="150">
        <f>Saisie!C312</f>
        <v>0</v>
      </c>
      <c r="D312" s="150">
        <f>Saisie!D312</f>
        <v>0</v>
      </c>
      <c r="E312" s="150">
        <f>Saisie!E312</f>
        <v>0</v>
      </c>
      <c r="F312" s="150">
        <f>Saisie!F312</f>
        <v>0</v>
      </c>
      <c r="G312" s="150">
        <f>Saisie!G312</f>
        <v>0</v>
      </c>
      <c r="H312" s="150">
        <f>Saisie!I312</f>
        <v>0</v>
      </c>
      <c r="I312" s="150">
        <f>Saisie!J312</f>
        <v>0</v>
      </c>
      <c r="J312" s="150">
        <f>Saisie!K312</f>
        <v>0</v>
      </c>
      <c r="K312" s="150">
        <f>Saisie!L312</f>
        <v>0</v>
      </c>
      <c r="L312" s="150" t="e">
        <f>Saisie!#REF!</f>
        <v>#REF!</v>
      </c>
      <c r="M312" s="55" t="e">
        <f t="array" ref="M312">_xlfn.IFS(Saisie!M312="OUI",1,Saisie!M312="NON",0)</f>
        <v>#N/A</v>
      </c>
      <c r="N312" s="64" t="e">
        <f>Saisie!#REF!</f>
        <v>#REF!</v>
      </c>
      <c r="O312" s="63" t="e">
        <f>Saisie!#REF!</f>
        <v>#REF!</v>
      </c>
      <c r="P312" s="63">
        <f>Saisie!N312</f>
        <v>0</v>
      </c>
      <c r="Q312" s="63" t="e">
        <f t="array" ref="Q312">_xlfn.IFS(Saisie!#REF!="OUI",1,Saisie!#REF!="NON",0)</f>
        <v>#REF!</v>
      </c>
      <c r="R312" s="63" t="e">
        <f>Saisie!#REF!</f>
        <v>#REF!</v>
      </c>
      <c r="S312" s="65" t="e">
        <f>Saisie!#REF!</f>
        <v>#REF!</v>
      </c>
      <c r="T312" s="63" t="e">
        <f>Saisie!#REF!</f>
        <v>#REF!</v>
      </c>
      <c r="U312" s="63" t="e">
        <f>Saisie!#REF!</f>
        <v>#REF!</v>
      </c>
      <c r="V312" s="63" t="e">
        <f t="array" ref="V312">_xlfn.IFS(Saisie!#REF!="OUI",1,Saisie!#REF!="NON",0)</f>
        <v>#REF!</v>
      </c>
      <c r="W312" s="63" t="e">
        <f t="array" ref="W312">_xlfn.IFS(Saisie!O312="OUI",1,Saisie!O312="NON",0)</f>
        <v>#N/A</v>
      </c>
      <c r="X312" s="63">
        <f>Saisie!P312</f>
        <v>0</v>
      </c>
      <c r="Y312" s="299">
        <f>Saisie!H312</f>
        <v>0</v>
      </c>
      <c r="Z312" s="58" t="e">
        <f>Saisie!#REF!</f>
        <v>#REF!</v>
      </c>
      <c r="AA312" s="299">
        <f>Saisie!Q312</f>
        <v>0</v>
      </c>
      <c r="AB312" s="63" t="e">
        <f t="array" ref="AB312">_xlfn.IFS(Saisie!R312="OUI",1,Saisie!R312="NON",0)</f>
        <v>#N/A</v>
      </c>
      <c r="AC312" s="63">
        <f>Saisie!S312</f>
        <v>0</v>
      </c>
      <c r="AD312" s="63" t="e">
        <f t="array" ref="AD312">_xlfn.IFS(Saisie!T312="OUI",1,Saisie!T312="NON",0)</f>
        <v>#N/A</v>
      </c>
      <c r="AE312" s="171">
        <f>Saisie!U312</f>
        <v>0</v>
      </c>
      <c r="AF312" s="262">
        <v>3</v>
      </c>
      <c r="AG312" s="129">
        <f>Saisie!W312</f>
        <v>0</v>
      </c>
      <c r="AH312" s="20">
        <f>Saisie!X312</f>
        <v>0</v>
      </c>
      <c r="AI312" s="21">
        <f>Saisie!Y312</f>
        <v>0</v>
      </c>
      <c r="AJ312" s="59">
        <f>Saisie!Z312</f>
        <v>0</v>
      </c>
      <c r="AK312" s="20">
        <f>Saisie!AA312</f>
        <v>0</v>
      </c>
      <c r="AL312" s="21">
        <f>Saisie!AB312</f>
        <v>0</v>
      </c>
      <c r="AM312" s="59">
        <f>Saisie!AC312</f>
        <v>0</v>
      </c>
      <c r="AN312" s="20">
        <f>Saisie!AD312</f>
        <v>0</v>
      </c>
      <c r="AO312" s="21">
        <f>Saisie!AE312</f>
        <v>0</v>
      </c>
      <c r="AP312" s="59">
        <f>Saisie!AF312</f>
        <v>0</v>
      </c>
      <c r="AQ312" s="129" t="e">
        <f t="array" ref="AQ312">_xlfn.IFS(Saisie!AG312="OUI",1,Saisie!AG312="NON",0)</f>
        <v>#N/A</v>
      </c>
      <c r="AR312" s="129" t="e">
        <f t="array" ref="AR312">_xlfn.IFS(Saisie!AH312="OUI",1,Saisie!AH312="NON",0)</f>
        <v>#N/A</v>
      </c>
      <c r="AS312" s="171">
        <f>Saisie!AI312</f>
        <v>0</v>
      </c>
      <c r="AT312" s="263" t="e">
        <f t="array" ref="AT312">_xlfn.IFS(Saisie!AJ312="OUI",1,Saisie!AJ312="NON",0)</f>
        <v>#N/A</v>
      </c>
      <c r="AU312" s="173">
        <f>Saisie!AK312</f>
        <v>0</v>
      </c>
      <c r="AV312" s="263" t="e">
        <f t="array" ref="AV312">_xlfn.IFS(Saisie!AL312="OUI",1,Saisie!AL312="NON",0)</f>
        <v>#N/A</v>
      </c>
      <c r="AW312" s="171">
        <f>Saisie!AM312</f>
        <v>0</v>
      </c>
      <c r="AX312" s="68">
        <f>Saisie!AN312</f>
        <v>0</v>
      </c>
      <c r="AY312" s="20">
        <f>Saisie!AO312</f>
        <v>0</v>
      </c>
      <c r="AZ312" s="21">
        <f>Saisie!AP312</f>
        <v>0</v>
      </c>
      <c r="BA312" s="298">
        <f>Saisie!AQ312</f>
        <v>0</v>
      </c>
      <c r="BB312" s="170">
        <f>Saisie!AR312</f>
        <v>0</v>
      </c>
      <c r="BC312" s="174">
        <f>Saisie!AS312</f>
        <v>0</v>
      </c>
      <c r="BD312" s="61">
        <f>Saisie!AT312</f>
        <v>0</v>
      </c>
      <c r="BE312" s="175" t="e">
        <f t="array" ref="BE312">_xlfn.IFS(Saisie!AU312="OUI",1,Saisie!AU312="NON",0)</f>
        <v>#N/A</v>
      </c>
      <c r="BF312" s="267">
        <f>Saisie!AV312</f>
        <v>0</v>
      </c>
      <c r="BG312" s="55">
        <f>Saisie!AW312</f>
        <v>0</v>
      </c>
      <c r="BH312" s="55" t="e">
        <f t="array" ref="BH312">_xlfn.IFS(Saisie!AX312="OUI",1,Saisie!AX312="NON",0)</f>
        <v>#N/A</v>
      </c>
      <c r="BI312" s="62">
        <f>Saisie!AY312</f>
        <v>0</v>
      </c>
      <c r="BJ312" s="55" t="e">
        <f t="array" ref="BJ312">_xlfn.IFS(Saisie!AZ312="OUI",1,Saisie!AZ312="NON",0)</f>
        <v>#N/A</v>
      </c>
      <c r="BK312" s="55" t="e">
        <f t="array" ref="BK312">_xlfn.IFS(Saisie!BA312="OUI",1,Saisie!BA312="NON",0)</f>
        <v>#N/A</v>
      </c>
      <c r="BL312" s="55">
        <f>Saisie!BB312</f>
        <v>0</v>
      </c>
      <c r="BM312" s="49" t="e">
        <f>Saisie!BC312</f>
        <v>#REF!</v>
      </c>
      <c r="BN312" s="175"/>
    </row>
    <row r="313" spans="1:66" s="176" customFormat="1" x14ac:dyDescent="0.45">
      <c r="A313" s="12">
        <v>307</v>
      </c>
      <c r="B313" s="150">
        <f>Saisie!B313</f>
        <v>0</v>
      </c>
      <c r="C313" s="150">
        <f>Saisie!C313</f>
        <v>0</v>
      </c>
      <c r="D313" s="150">
        <f>Saisie!D313</f>
        <v>0</v>
      </c>
      <c r="E313" s="150">
        <f>Saisie!E313</f>
        <v>0</v>
      </c>
      <c r="F313" s="150">
        <f>Saisie!F313</f>
        <v>0</v>
      </c>
      <c r="G313" s="150">
        <f>Saisie!G313</f>
        <v>0</v>
      </c>
      <c r="H313" s="150">
        <f>Saisie!I313</f>
        <v>0</v>
      </c>
      <c r="I313" s="150">
        <f>Saisie!J313</f>
        <v>0</v>
      </c>
      <c r="J313" s="150">
        <f>Saisie!K313</f>
        <v>0</v>
      </c>
      <c r="K313" s="150">
        <f>Saisie!L313</f>
        <v>0</v>
      </c>
      <c r="L313" s="150" t="e">
        <f>Saisie!#REF!</f>
        <v>#REF!</v>
      </c>
      <c r="M313" s="55" t="e">
        <f t="array" ref="M313">_xlfn.IFS(Saisie!M313="OUI",1,Saisie!M313="NON",0)</f>
        <v>#N/A</v>
      </c>
      <c r="N313" s="64" t="e">
        <f>Saisie!#REF!</f>
        <v>#REF!</v>
      </c>
      <c r="O313" s="63" t="e">
        <f>Saisie!#REF!</f>
        <v>#REF!</v>
      </c>
      <c r="P313" s="63">
        <f>Saisie!N313</f>
        <v>0</v>
      </c>
      <c r="Q313" s="63" t="e">
        <f t="array" ref="Q313">_xlfn.IFS(Saisie!#REF!="OUI",1,Saisie!#REF!="NON",0)</f>
        <v>#REF!</v>
      </c>
      <c r="R313" s="63" t="e">
        <f>Saisie!#REF!</f>
        <v>#REF!</v>
      </c>
      <c r="S313" s="65" t="e">
        <f>Saisie!#REF!</f>
        <v>#REF!</v>
      </c>
      <c r="T313" s="63" t="e">
        <f>Saisie!#REF!</f>
        <v>#REF!</v>
      </c>
      <c r="U313" s="63" t="e">
        <f>Saisie!#REF!</f>
        <v>#REF!</v>
      </c>
      <c r="V313" s="63" t="e">
        <f t="array" ref="V313">_xlfn.IFS(Saisie!#REF!="OUI",1,Saisie!#REF!="NON",0)</f>
        <v>#REF!</v>
      </c>
      <c r="W313" s="63" t="e">
        <f t="array" ref="W313">_xlfn.IFS(Saisie!O313="OUI",1,Saisie!O313="NON",0)</f>
        <v>#N/A</v>
      </c>
      <c r="X313" s="63">
        <f>Saisie!P313</f>
        <v>0</v>
      </c>
      <c r="Y313" s="299">
        <f>Saisie!H313</f>
        <v>0</v>
      </c>
      <c r="Z313" s="58" t="e">
        <f>Saisie!#REF!</f>
        <v>#REF!</v>
      </c>
      <c r="AA313" s="299">
        <f>Saisie!Q313</f>
        <v>0</v>
      </c>
      <c r="AB313" s="63" t="e">
        <f t="array" ref="AB313">_xlfn.IFS(Saisie!R313="OUI",1,Saisie!R313="NON",0)</f>
        <v>#N/A</v>
      </c>
      <c r="AC313" s="63">
        <f>Saisie!S313</f>
        <v>0</v>
      </c>
      <c r="AD313" s="63" t="e">
        <f t="array" ref="AD313">_xlfn.IFS(Saisie!T313="OUI",1,Saisie!T313="NON",0)</f>
        <v>#N/A</v>
      </c>
      <c r="AE313" s="171">
        <f>Saisie!U313</f>
        <v>0</v>
      </c>
      <c r="AF313" s="262">
        <v>3</v>
      </c>
      <c r="AG313" s="129">
        <f>Saisie!W313</f>
        <v>0</v>
      </c>
      <c r="AH313" s="20">
        <f>Saisie!X313</f>
        <v>0</v>
      </c>
      <c r="AI313" s="21">
        <f>Saisie!Y313</f>
        <v>0</v>
      </c>
      <c r="AJ313" s="59">
        <f>Saisie!Z313</f>
        <v>0</v>
      </c>
      <c r="AK313" s="20">
        <f>Saisie!AA313</f>
        <v>0</v>
      </c>
      <c r="AL313" s="21">
        <f>Saisie!AB313</f>
        <v>0</v>
      </c>
      <c r="AM313" s="59">
        <f>Saisie!AC313</f>
        <v>0</v>
      </c>
      <c r="AN313" s="20">
        <f>Saisie!AD313</f>
        <v>0</v>
      </c>
      <c r="AO313" s="21">
        <f>Saisie!AE313</f>
        <v>0</v>
      </c>
      <c r="AP313" s="59">
        <f>Saisie!AF313</f>
        <v>0</v>
      </c>
      <c r="AQ313" s="129" t="e">
        <f t="array" ref="AQ313">_xlfn.IFS(Saisie!AG313="OUI",1,Saisie!AG313="NON",0)</f>
        <v>#N/A</v>
      </c>
      <c r="AR313" s="129" t="e">
        <f t="array" ref="AR313">_xlfn.IFS(Saisie!AH313="OUI",1,Saisie!AH313="NON",0)</f>
        <v>#N/A</v>
      </c>
      <c r="AS313" s="171">
        <f>Saisie!AI313</f>
        <v>0</v>
      </c>
      <c r="AT313" s="263" t="e">
        <f t="array" ref="AT313">_xlfn.IFS(Saisie!AJ313="OUI",1,Saisie!AJ313="NON",0)</f>
        <v>#N/A</v>
      </c>
      <c r="AU313" s="173">
        <f>Saisie!AK313</f>
        <v>0</v>
      </c>
      <c r="AV313" s="263" t="e">
        <f t="array" ref="AV313">_xlfn.IFS(Saisie!AL313="OUI",1,Saisie!AL313="NON",0)</f>
        <v>#N/A</v>
      </c>
      <c r="AW313" s="171">
        <f>Saisie!AM313</f>
        <v>0</v>
      </c>
      <c r="AX313" s="68">
        <f>Saisie!AN313</f>
        <v>0</v>
      </c>
      <c r="AY313" s="20">
        <f>Saisie!AO313</f>
        <v>0</v>
      </c>
      <c r="AZ313" s="21">
        <f>Saisie!AP313</f>
        <v>0</v>
      </c>
      <c r="BA313" s="298">
        <f>Saisie!AQ313</f>
        <v>0</v>
      </c>
      <c r="BB313" s="170">
        <f>Saisie!AR313</f>
        <v>0</v>
      </c>
      <c r="BC313" s="174">
        <f>Saisie!AS313</f>
        <v>0</v>
      </c>
      <c r="BD313" s="61">
        <f>Saisie!AT313</f>
        <v>0</v>
      </c>
      <c r="BE313" s="175" t="e">
        <f t="array" ref="BE313">_xlfn.IFS(Saisie!AU313="OUI",1,Saisie!AU313="NON",0)</f>
        <v>#N/A</v>
      </c>
      <c r="BF313" s="267">
        <f>Saisie!AV313</f>
        <v>0</v>
      </c>
      <c r="BG313" s="55">
        <f>Saisie!AW313</f>
        <v>0</v>
      </c>
      <c r="BH313" s="55" t="e">
        <f t="array" ref="BH313">_xlfn.IFS(Saisie!AX313="OUI",1,Saisie!AX313="NON",0)</f>
        <v>#N/A</v>
      </c>
      <c r="BI313" s="62">
        <f>Saisie!AY313</f>
        <v>0</v>
      </c>
      <c r="BJ313" s="55" t="e">
        <f t="array" ref="BJ313">_xlfn.IFS(Saisie!AZ313="OUI",1,Saisie!AZ313="NON",0)</f>
        <v>#N/A</v>
      </c>
      <c r="BK313" s="55" t="e">
        <f t="array" ref="BK313">_xlfn.IFS(Saisie!BA313="OUI",1,Saisie!BA313="NON",0)</f>
        <v>#N/A</v>
      </c>
      <c r="BL313" s="55">
        <f>Saisie!BB313</f>
        <v>0</v>
      </c>
      <c r="BM313" s="49" t="e">
        <f>Saisie!BC313</f>
        <v>#REF!</v>
      </c>
      <c r="BN313" s="175"/>
    </row>
    <row r="314" spans="1:66" s="176" customFormat="1" x14ac:dyDescent="0.45">
      <c r="A314" s="13">
        <v>308</v>
      </c>
      <c r="B314" s="150">
        <f>Saisie!B314</f>
        <v>0</v>
      </c>
      <c r="C314" s="150">
        <f>Saisie!C314</f>
        <v>0</v>
      </c>
      <c r="D314" s="150">
        <f>Saisie!D314</f>
        <v>0</v>
      </c>
      <c r="E314" s="150">
        <f>Saisie!E314</f>
        <v>0</v>
      </c>
      <c r="F314" s="150">
        <f>Saisie!F314</f>
        <v>0</v>
      </c>
      <c r="G314" s="150">
        <f>Saisie!G314</f>
        <v>0</v>
      </c>
      <c r="H314" s="150">
        <f>Saisie!I314</f>
        <v>0</v>
      </c>
      <c r="I314" s="150">
        <f>Saisie!J314</f>
        <v>0</v>
      </c>
      <c r="J314" s="150">
        <f>Saisie!K314</f>
        <v>0</v>
      </c>
      <c r="K314" s="150">
        <f>Saisie!L314</f>
        <v>0</v>
      </c>
      <c r="L314" s="150" t="e">
        <f>Saisie!#REF!</f>
        <v>#REF!</v>
      </c>
      <c r="M314" s="55" t="e">
        <f t="array" ref="M314">_xlfn.IFS(Saisie!M314="OUI",1,Saisie!M314="NON",0)</f>
        <v>#N/A</v>
      </c>
      <c r="N314" s="64" t="e">
        <f>Saisie!#REF!</f>
        <v>#REF!</v>
      </c>
      <c r="O314" s="63" t="e">
        <f>Saisie!#REF!</f>
        <v>#REF!</v>
      </c>
      <c r="P314" s="63">
        <f>Saisie!N314</f>
        <v>0</v>
      </c>
      <c r="Q314" s="63" t="e">
        <f t="array" ref="Q314">_xlfn.IFS(Saisie!#REF!="OUI",1,Saisie!#REF!="NON",0)</f>
        <v>#REF!</v>
      </c>
      <c r="R314" s="63" t="e">
        <f>Saisie!#REF!</f>
        <v>#REF!</v>
      </c>
      <c r="S314" s="65" t="e">
        <f>Saisie!#REF!</f>
        <v>#REF!</v>
      </c>
      <c r="T314" s="63" t="e">
        <f>Saisie!#REF!</f>
        <v>#REF!</v>
      </c>
      <c r="U314" s="63" t="e">
        <f>Saisie!#REF!</f>
        <v>#REF!</v>
      </c>
      <c r="V314" s="63" t="e">
        <f t="array" ref="V314">_xlfn.IFS(Saisie!#REF!="OUI",1,Saisie!#REF!="NON",0)</f>
        <v>#REF!</v>
      </c>
      <c r="W314" s="63" t="e">
        <f t="array" ref="W314">_xlfn.IFS(Saisie!O314="OUI",1,Saisie!O314="NON",0)</f>
        <v>#N/A</v>
      </c>
      <c r="X314" s="63">
        <f>Saisie!P314</f>
        <v>0</v>
      </c>
      <c r="Y314" s="299">
        <f>Saisie!H314</f>
        <v>0</v>
      </c>
      <c r="Z314" s="58" t="e">
        <f>Saisie!#REF!</f>
        <v>#REF!</v>
      </c>
      <c r="AA314" s="299">
        <f>Saisie!Q314</f>
        <v>0</v>
      </c>
      <c r="AB314" s="63" t="e">
        <f t="array" ref="AB314">_xlfn.IFS(Saisie!R314="OUI",1,Saisie!R314="NON",0)</f>
        <v>#N/A</v>
      </c>
      <c r="AC314" s="63">
        <f>Saisie!S314</f>
        <v>0</v>
      </c>
      <c r="AD314" s="63" t="e">
        <f t="array" ref="AD314">_xlfn.IFS(Saisie!T314="OUI",1,Saisie!T314="NON",0)</f>
        <v>#N/A</v>
      </c>
      <c r="AE314" s="171">
        <f>Saisie!U314</f>
        <v>0</v>
      </c>
      <c r="AF314" s="262">
        <v>3</v>
      </c>
      <c r="AG314" s="129">
        <f>Saisie!W314</f>
        <v>0</v>
      </c>
      <c r="AH314" s="20">
        <f>Saisie!X314</f>
        <v>0</v>
      </c>
      <c r="AI314" s="21">
        <f>Saisie!Y314</f>
        <v>0</v>
      </c>
      <c r="AJ314" s="59">
        <f>Saisie!Z314</f>
        <v>0</v>
      </c>
      <c r="AK314" s="20">
        <f>Saisie!AA314</f>
        <v>0</v>
      </c>
      <c r="AL314" s="21">
        <f>Saisie!AB314</f>
        <v>0</v>
      </c>
      <c r="AM314" s="59">
        <f>Saisie!AC314</f>
        <v>0</v>
      </c>
      <c r="AN314" s="20">
        <f>Saisie!AD314</f>
        <v>0</v>
      </c>
      <c r="AO314" s="21">
        <f>Saisie!AE314</f>
        <v>0</v>
      </c>
      <c r="AP314" s="59">
        <f>Saisie!AF314</f>
        <v>0</v>
      </c>
      <c r="AQ314" s="129" t="e">
        <f t="array" ref="AQ314">_xlfn.IFS(Saisie!AG314="OUI",1,Saisie!AG314="NON",0)</f>
        <v>#N/A</v>
      </c>
      <c r="AR314" s="129" t="e">
        <f t="array" ref="AR314">_xlfn.IFS(Saisie!AH314="OUI",1,Saisie!AH314="NON",0)</f>
        <v>#N/A</v>
      </c>
      <c r="AS314" s="171">
        <f>Saisie!AI314</f>
        <v>0</v>
      </c>
      <c r="AT314" s="263" t="e">
        <f t="array" ref="AT314">_xlfn.IFS(Saisie!AJ314="OUI",1,Saisie!AJ314="NON",0)</f>
        <v>#N/A</v>
      </c>
      <c r="AU314" s="173">
        <f>Saisie!AK314</f>
        <v>0</v>
      </c>
      <c r="AV314" s="263" t="e">
        <f t="array" ref="AV314">_xlfn.IFS(Saisie!AL314="OUI",1,Saisie!AL314="NON",0)</f>
        <v>#N/A</v>
      </c>
      <c r="AW314" s="171">
        <f>Saisie!AM314</f>
        <v>0</v>
      </c>
      <c r="AX314" s="68">
        <f>Saisie!AN314</f>
        <v>0</v>
      </c>
      <c r="AY314" s="20">
        <f>Saisie!AO314</f>
        <v>0</v>
      </c>
      <c r="AZ314" s="21">
        <f>Saisie!AP314</f>
        <v>0</v>
      </c>
      <c r="BA314" s="298">
        <f>Saisie!AQ314</f>
        <v>0</v>
      </c>
      <c r="BB314" s="170">
        <f>Saisie!AR314</f>
        <v>0</v>
      </c>
      <c r="BC314" s="174">
        <f>Saisie!AS314</f>
        <v>0</v>
      </c>
      <c r="BD314" s="61">
        <f>Saisie!AT314</f>
        <v>0</v>
      </c>
      <c r="BE314" s="175" t="e">
        <f t="array" ref="BE314">_xlfn.IFS(Saisie!AU314="OUI",1,Saisie!AU314="NON",0)</f>
        <v>#N/A</v>
      </c>
      <c r="BF314" s="267">
        <f>Saisie!AV314</f>
        <v>0</v>
      </c>
      <c r="BG314" s="55">
        <f>Saisie!AW314</f>
        <v>0</v>
      </c>
      <c r="BH314" s="55" t="e">
        <f t="array" ref="BH314">_xlfn.IFS(Saisie!AX314="OUI",1,Saisie!AX314="NON",0)</f>
        <v>#N/A</v>
      </c>
      <c r="BI314" s="62">
        <f>Saisie!AY314</f>
        <v>0</v>
      </c>
      <c r="BJ314" s="55" t="e">
        <f t="array" ref="BJ314">_xlfn.IFS(Saisie!AZ314="OUI",1,Saisie!AZ314="NON",0)</f>
        <v>#N/A</v>
      </c>
      <c r="BK314" s="55" t="e">
        <f t="array" ref="BK314">_xlfn.IFS(Saisie!BA314="OUI",1,Saisie!BA314="NON",0)</f>
        <v>#N/A</v>
      </c>
      <c r="BL314" s="55">
        <f>Saisie!BB314</f>
        <v>0</v>
      </c>
      <c r="BM314" s="49" t="e">
        <f>Saisie!BC314</f>
        <v>#REF!</v>
      </c>
      <c r="BN314" s="175"/>
    </row>
    <row r="315" spans="1:66" s="176" customFormat="1" x14ac:dyDescent="0.45">
      <c r="A315" s="13">
        <v>309</v>
      </c>
      <c r="B315" s="150">
        <f>Saisie!B315</f>
        <v>0</v>
      </c>
      <c r="C315" s="150">
        <f>Saisie!C315</f>
        <v>0</v>
      </c>
      <c r="D315" s="150">
        <f>Saisie!D315</f>
        <v>0</v>
      </c>
      <c r="E315" s="150">
        <f>Saisie!E315</f>
        <v>0</v>
      </c>
      <c r="F315" s="150">
        <f>Saisie!F315</f>
        <v>0</v>
      </c>
      <c r="G315" s="150">
        <f>Saisie!G315</f>
        <v>0</v>
      </c>
      <c r="H315" s="150">
        <f>Saisie!I315</f>
        <v>0</v>
      </c>
      <c r="I315" s="150">
        <f>Saisie!J315</f>
        <v>0</v>
      </c>
      <c r="J315" s="150">
        <f>Saisie!K315</f>
        <v>0</v>
      </c>
      <c r="K315" s="150">
        <f>Saisie!L315</f>
        <v>0</v>
      </c>
      <c r="L315" s="150" t="e">
        <f>Saisie!#REF!</f>
        <v>#REF!</v>
      </c>
      <c r="M315" s="55" t="e">
        <f t="array" ref="M315">_xlfn.IFS(Saisie!M315="OUI",1,Saisie!M315="NON",0)</f>
        <v>#N/A</v>
      </c>
      <c r="N315" s="64" t="e">
        <f>Saisie!#REF!</f>
        <v>#REF!</v>
      </c>
      <c r="O315" s="63" t="e">
        <f>Saisie!#REF!</f>
        <v>#REF!</v>
      </c>
      <c r="P315" s="63">
        <f>Saisie!N315</f>
        <v>0</v>
      </c>
      <c r="Q315" s="63" t="e">
        <f t="array" ref="Q315">_xlfn.IFS(Saisie!#REF!="OUI",1,Saisie!#REF!="NON",0)</f>
        <v>#REF!</v>
      </c>
      <c r="R315" s="63" t="e">
        <f>Saisie!#REF!</f>
        <v>#REF!</v>
      </c>
      <c r="S315" s="65" t="e">
        <f>Saisie!#REF!</f>
        <v>#REF!</v>
      </c>
      <c r="T315" s="63" t="e">
        <f>Saisie!#REF!</f>
        <v>#REF!</v>
      </c>
      <c r="U315" s="63" t="e">
        <f>Saisie!#REF!</f>
        <v>#REF!</v>
      </c>
      <c r="V315" s="63" t="e">
        <f t="array" ref="V315">_xlfn.IFS(Saisie!#REF!="OUI",1,Saisie!#REF!="NON",0)</f>
        <v>#REF!</v>
      </c>
      <c r="W315" s="63" t="e">
        <f t="array" ref="W315">_xlfn.IFS(Saisie!O315="OUI",1,Saisie!O315="NON",0)</f>
        <v>#N/A</v>
      </c>
      <c r="X315" s="63">
        <f>Saisie!P315</f>
        <v>0</v>
      </c>
      <c r="Y315" s="299">
        <f>Saisie!H315</f>
        <v>0</v>
      </c>
      <c r="Z315" s="58" t="e">
        <f>Saisie!#REF!</f>
        <v>#REF!</v>
      </c>
      <c r="AA315" s="299">
        <f>Saisie!Q315</f>
        <v>0</v>
      </c>
      <c r="AB315" s="63" t="e">
        <f t="array" ref="AB315">_xlfn.IFS(Saisie!R315="OUI",1,Saisie!R315="NON",0)</f>
        <v>#N/A</v>
      </c>
      <c r="AC315" s="63">
        <f>Saisie!S315</f>
        <v>0</v>
      </c>
      <c r="AD315" s="63" t="e">
        <f t="array" ref="AD315">_xlfn.IFS(Saisie!T315="OUI",1,Saisie!T315="NON",0)</f>
        <v>#N/A</v>
      </c>
      <c r="AE315" s="171">
        <f>Saisie!U315</f>
        <v>0</v>
      </c>
      <c r="AF315" s="262">
        <v>3</v>
      </c>
      <c r="AG315" s="129">
        <f>Saisie!W315</f>
        <v>0</v>
      </c>
      <c r="AH315" s="20">
        <f>Saisie!X315</f>
        <v>0</v>
      </c>
      <c r="AI315" s="21">
        <f>Saisie!Y315</f>
        <v>0</v>
      </c>
      <c r="AJ315" s="59">
        <f>Saisie!Z315</f>
        <v>0</v>
      </c>
      <c r="AK315" s="20">
        <f>Saisie!AA315</f>
        <v>0</v>
      </c>
      <c r="AL315" s="21">
        <f>Saisie!AB315</f>
        <v>0</v>
      </c>
      <c r="AM315" s="59">
        <f>Saisie!AC315</f>
        <v>0</v>
      </c>
      <c r="AN315" s="20">
        <f>Saisie!AD315</f>
        <v>0</v>
      </c>
      <c r="AO315" s="21">
        <f>Saisie!AE315</f>
        <v>0</v>
      </c>
      <c r="AP315" s="59">
        <f>Saisie!AF315</f>
        <v>0</v>
      </c>
      <c r="AQ315" s="129" t="e">
        <f t="array" ref="AQ315">_xlfn.IFS(Saisie!AG315="OUI",1,Saisie!AG315="NON",0)</f>
        <v>#N/A</v>
      </c>
      <c r="AR315" s="129" t="e">
        <f t="array" ref="AR315">_xlfn.IFS(Saisie!AH315="OUI",1,Saisie!AH315="NON",0)</f>
        <v>#N/A</v>
      </c>
      <c r="AS315" s="171">
        <f>Saisie!AI315</f>
        <v>0</v>
      </c>
      <c r="AT315" s="263" t="e">
        <f t="array" ref="AT315">_xlfn.IFS(Saisie!AJ315="OUI",1,Saisie!AJ315="NON",0)</f>
        <v>#N/A</v>
      </c>
      <c r="AU315" s="173">
        <f>Saisie!AK315</f>
        <v>0</v>
      </c>
      <c r="AV315" s="263" t="e">
        <f t="array" ref="AV315">_xlfn.IFS(Saisie!AL315="OUI",1,Saisie!AL315="NON",0)</f>
        <v>#N/A</v>
      </c>
      <c r="AW315" s="171">
        <f>Saisie!AM315</f>
        <v>0</v>
      </c>
      <c r="AX315" s="68">
        <f>Saisie!AN315</f>
        <v>0</v>
      </c>
      <c r="AY315" s="20">
        <f>Saisie!AO315</f>
        <v>0</v>
      </c>
      <c r="AZ315" s="21">
        <f>Saisie!AP315</f>
        <v>0</v>
      </c>
      <c r="BA315" s="298">
        <f>Saisie!AQ315</f>
        <v>0</v>
      </c>
      <c r="BB315" s="170">
        <f>Saisie!AR315</f>
        <v>0</v>
      </c>
      <c r="BC315" s="174">
        <f>Saisie!AS315</f>
        <v>0</v>
      </c>
      <c r="BD315" s="61">
        <f>Saisie!AT315</f>
        <v>0</v>
      </c>
      <c r="BE315" s="175" t="e">
        <f t="array" ref="BE315">_xlfn.IFS(Saisie!AU315="OUI",1,Saisie!AU315="NON",0)</f>
        <v>#N/A</v>
      </c>
      <c r="BF315" s="267">
        <f>Saisie!AV315</f>
        <v>0</v>
      </c>
      <c r="BG315" s="55">
        <f>Saisie!AW315</f>
        <v>0</v>
      </c>
      <c r="BH315" s="55" t="e">
        <f t="array" ref="BH315">_xlfn.IFS(Saisie!AX315="OUI",1,Saisie!AX315="NON",0)</f>
        <v>#N/A</v>
      </c>
      <c r="BI315" s="62">
        <f>Saisie!AY315</f>
        <v>0</v>
      </c>
      <c r="BJ315" s="55" t="e">
        <f t="array" ref="BJ315">_xlfn.IFS(Saisie!AZ315="OUI",1,Saisie!AZ315="NON",0)</f>
        <v>#N/A</v>
      </c>
      <c r="BK315" s="55" t="e">
        <f t="array" ref="BK315">_xlfn.IFS(Saisie!BA315="OUI",1,Saisie!BA315="NON",0)</f>
        <v>#N/A</v>
      </c>
      <c r="BL315" s="55">
        <f>Saisie!BB315</f>
        <v>0</v>
      </c>
      <c r="BM315" s="49" t="e">
        <f>Saisie!BC315</f>
        <v>#REF!</v>
      </c>
      <c r="BN315" s="175"/>
    </row>
    <row r="316" spans="1:66" s="176" customFormat="1" x14ac:dyDescent="0.45">
      <c r="A316" s="12">
        <v>310</v>
      </c>
      <c r="B316" s="150">
        <f>Saisie!B316</f>
        <v>0</v>
      </c>
      <c r="C316" s="150">
        <f>Saisie!C316</f>
        <v>0</v>
      </c>
      <c r="D316" s="150">
        <f>Saisie!D316</f>
        <v>0</v>
      </c>
      <c r="E316" s="150">
        <f>Saisie!E316</f>
        <v>0</v>
      </c>
      <c r="F316" s="150">
        <f>Saisie!F316</f>
        <v>0</v>
      </c>
      <c r="G316" s="150">
        <f>Saisie!G316</f>
        <v>0</v>
      </c>
      <c r="H316" s="150">
        <f>Saisie!I316</f>
        <v>0</v>
      </c>
      <c r="I316" s="150">
        <f>Saisie!J316</f>
        <v>0</v>
      </c>
      <c r="J316" s="150">
        <f>Saisie!K316</f>
        <v>0</v>
      </c>
      <c r="K316" s="150">
        <f>Saisie!L316</f>
        <v>0</v>
      </c>
      <c r="L316" s="150" t="e">
        <f>Saisie!#REF!</f>
        <v>#REF!</v>
      </c>
      <c r="M316" s="55" t="e">
        <f t="array" ref="M316">_xlfn.IFS(Saisie!M316="OUI",1,Saisie!M316="NON",0)</f>
        <v>#N/A</v>
      </c>
      <c r="N316" s="64" t="e">
        <f>Saisie!#REF!</f>
        <v>#REF!</v>
      </c>
      <c r="O316" s="63" t="e">
        <f>Saisie!#REF!</f>
        <v>#REF!</v>
      </c>
      <c r="P316" s="63">
        <f>Saisie!N316</f>
        <v>0</v>
      </c>
      <c r="Q316" s="63" t="e">
        <f t="array" ref="Q316">_xlfn.IFS(Saisie!#REF!="OUI",1,Saisie!#REF!="NON",0)</f>
        <v>#REF!</v>
      </c>
      <c r="R316" s="63" t="e">
        <f>Saisie!#REF!</f>
        <v>#REF!</v>
      </c>
      <c r="S316" s="65" t="e">
        <f>Saisie!#REF!</f>
        <v>#REF!</v>
      </c>
      <c r="T316" s="63" t="e">
        <f>Saisie!#REF!</f>
        <v>#REF!</v>
      </c>
      <c r="U316" s="63" t="e">
        <f>Saisie!#REF!</f>
        <v>#REF!</v>
      </c>
      <c r="V316" s="63" t="e">
        <f t="array" ref="V316">_xlfn.IFS(Saisie!#REF!="OUI",1,Saisie!#REF!="NON",0)</f>
        <v>#REF!</v>
      </c>
      <c r="W316" s="63" t="e">
        <f t="array" ref="W316">_xlfn.IFS(Saisie!O316="OUI",1,Saisie!O316="NON",0)</f>
        <v>#N/A</v>
      </c>
      <c r="X316" s="63">
        <f>Saisie!P316</f>
        <v>0</v>
      </c>
      <c r="Y316" s="299">
        <f>Saisie!H316</f>
        <v>0</v>
      </c>
      <c r="Z316" s="58" t="e">
        <f>Saisie!#REF!</f>
        <v>#REF!</v>
      </c>
      <c r="AA316" s="299">
        <f>Saisie!Q316</f>
        <v>0</v>
      </c>
      <c r="AB316" s="63" t="e">
        <f t="array" ref="AB316">_xlfn.IFS(Saisie!R316="OUI",1,Saisie!R316="NON",0)</f>
        <v>#N/A</v>
      </c>
      <c r="AC316" s="63">
        <f>Saisie!S316</f>
        <v>0</v>
      </c>
      <c r="AD316" s="63" t="e">
        <f t="array" ref="AD316">_xlfn.IFS(Saisie!T316="OUI",1,Saisie!T316="NON",0)</f>
        <v>#N/A</v>
      </c>
      <c r="AE316" s="171">
        <f>Saisie!U316</f>
        <v>0</v>
      </c>
      <c r="AF316" s="262">
        <v>3</v>
      </c>
      <c r="AG316" s="129">
        <f>Saisie!W316</f>
        <v>0</v>
      </c>
      <c r="AH316" s="20">
        <f>Saisie!X316</f>
        <v>0</v>
      </c>
      <c r="AI316" s="21">
        <f>Saisie!Y316</f>
        <v>0</v>
      </c>
      <c r="AJ316" s="59">
        <f>Saisie!Z316</f>
        <v>0</v>
      </c>
      <c r="AK316" s="20">
        <f>Saisie!AA316</f>
        <v>0</v>
      </c>
      <c r="AL316" s="21">
        <f>Saisie!AB316</f>
        <v>0</v>
      </c>
      <c r="AM316" s="59">
        <f>Saisie!AC316</f>
        <v>0</v>
      </c>
      <c r="AN316" s="20">
        <f>Saisie!AD316</f>
        <v>0</v>
      </c>
      <c r="AO316" s="21">
        <f>Saisie!AE316</f>
        <v>0</v>
      </c>
      <c r="AP316" s="59">
        <f>Saisie!AF316</f>
        <v>0</v>
      </c>
      <c r="AQ316" s="129" t="e">
        <f t="array" ref="AQ316">_xlfn.IFS(Saisie!AG316="OUI",1,Saisie!AG316="NON",0)</f>
        <v>#N/A</v>
      </c>
      <c r="AR316" s="129" t="e">
        <f t="array" ref="AR316">_xlfn.IFS(Saisie!AH316="OUI",1,Saisie!AH316="NON",0)</f>
        <v>#N/A</v>
      </c>
      <c r="AS316" s="171">
        <f>Saisie!AI316</f>
        <v>0</v>
      </c>
      <c r="AT316" s="263" t="e">
        <f t="array" ref="AT316">_xlfn.IFS(Saisie!AJ316="OUI",1,Saisie!AJ316="NON",0)</f>
        <v>#N/A</v>
      </c>
      <c r="AU316" s="173">
        <f>Saisie!AK316</f>
        <v>0</v>
      </c>
      <c r="AV316" s="263" t="e">
        <f t="array" ref="AV316">_xlfn.IFS(Saisie!AL316="OUI",1,Saisie!AL316="NON",0)</f>
        <v>#N/A</v>
      </c>
      <c r="AW316" s="171">
        <f>Saisie!AM316</f>
        <v>0</v>
      </c>
      <c r="AX316" s="68">
        <f>Saisie!AN316</f>
        <v>0</v>
      </c>
      <c r="AY316" s="20">
        <f>Saisie!AO316</f>
        <v>0</v>
      </c>
      <c r="AZ316" s="21">
        <f>Saisie!AP316</f>
        <v>0</v>
      </c>
      <c r="BA316" s="298">
        <f>Saisie!AQ316</f>
        <v>0</v>
      </c>
      <c r="BB316" s="170">
        <f>Saisie!AR316</f>
        <v>0</v>
      </c>
      <c r="BC316" s="174">
        <f>Saisie!AS316</f>
        <v>0</v>
      </c>
      <c r="BD316" s="61">
        <f>Saisie!AT316</f>
        <v>0</v>
      </c>
      <c r="BE316" s="175" t="e">
        <f t="array" ref="BE316">_xlfn.IFS(Saisie!AU316="OUI",1,Saisie!AU316="NON",0)</f>
        <v>#N/A</v>
      </c>
      <c r="BF316" s="267">
        <f>Saisie!AV316</f>
        <v>0</v>
      </c>
      <c r="BG316" s="55">
        <f>Saisie!AW316</f>
        <v>0</v>
      </c>
      <c r="BH316" s="55" t="e">
        <f t="array" ref="BH316">_xlfn.IFS(Saisie!AX316="OUI",1,Saisie!AX316="NON",0)</f>
        <v>#N/A</v>
      </c>
      <c r="BI316" s="62">
        <f>Saisie!AY316</f>
        <v>0</v>
      </c>
      <c r="BJ316" s="55" t="e">
        <f t="array" ref="BJ316">_xlfn.IFS(Saisie!AZ316="OUI",1,Saisie!AZ316="NON",0)</f>
        <v>#N/A</v>
      </c>
      <c r="BK316" s="55" t="e">
        <f t="array" ref="BK316">_xlfn.IFS(Saisie!BA316="OUI",1,Saisie!BA316="NON",0)</f>
        <v>#N/A</v>
      </c>
      <c r="BL316" s="55">
        <f>Saisie!BB316</f>
        <v>0</v>
      </c>
      <c r="BM316" s="49" t="e">
        <f>Saisie!BC316</f>
        <v>#REF!</v>
      </c>
      <c r="BN316" s="175"/>
    </row>
    <row r="317" spans="1:66" s="176" customFormat="1" x14ac:dyDescent="0.45">
      <c r="A317" s="13">
        <v>311</v>
      </c>
      <c r="B317" s="150">
        <f>Saisie!B317</f>
        <v>0</v>
      </c>
      <c r="C317" s="150">
        <f>Saisie!C317</f>
        <v>0</v>
      </c>
      <c r="D317" s="150">
        <f>Saisie!D317</f>
        <v>0</v>
      </c>
      <c r="E317" s="150">
        <f>Saisie!E317</f>
        <v>0</v>
      </c>
      <c r="F317" s="150">
        <f>Saisie!F317</f>
        <v>0</v>
      </c>
      <c r="G317" s="150">
        <f>Saisie!G317</f>
        <v>0</v>
      </c>
      <c r="H317" s="150">
        <f>Saisie!I317</f>
        <v>0</v>
      </c>
      <c r="I317" s="150">
        <f>Saisie!J317</f>
        <v>0</v>
      </c>
      <c r="J317" s="150">
        <f>Saisie!K317</f>
        <v>0</v>
      </c>
      <c r="K317" s="150">
        <f>Saisie!L317</f>
        <v>0</v>
      </c>
      <c r="L317" s="150" t="e">
        <f>Saisie!#REF!</f>
        <v>#REF!</v>
      </c>
      <c r="M317" s="55" t="e">
        <f t="array" ref="M317">_xlfn.IFS(Saisie!M317="OUI",1,Saisie!M317="NON",0)</f>
        <v>#N/A</v>
      </c>
      <c r="N317" s="64" t="e">
        <f>Saisie!#REF!</f>
        <v>#REF!</v>
      </c>
      <c r="O317" s="63" t="e">
        <f>Saisie!#REF!</f>
        <v>#REF!</v>
      </c>
      <c r="P317" s="63">
        <f>Saisie!N317</f>
        <v>0</v>
      </c>
      <c r="Q317" s="63" t="e">
        <f t="array" ref="Q317">_xlfn.IFS(Saisie!#REF!="OUI",1,Saisie!#REF!="NON",0)</f>
        <v>#REF!</v>
      </c>
      <c r="R317" s="63" t="e">
        <f>Saisie!#REF!</f>
        <v>#REF!</v>
      </c>
      <c r="S317" s="65" t="e">
        <f>Saisie!#REF!</f>
        <v>#REF!</v>
      </c>
      <c r="T317" s="63" t="e">
        <f>Saisie!#REF!</f>
        <v>#REF!</v>
      </c>
      <c r="U317" s="63" t="e">
        <f>Saisie!#REF!</f>
        <v>#REF!</v>
      </c>
      <c r="V317" s="63" t="e">
        <f t="array" ref="V317">_xlfn.IFS(Saisie!#REF!="OUI",1,Saisie!#REF!="NON",0)</f>
        <v>#REF!</v>
      </c>
      <c r="W317" s="63" t="e">
        <f t="array" ref="W317">_xlfn.IFS(Saisie!O317="OUI",1,Saisie!O317="NON",0)</f>
        <v>#N/A</v>
      </c>
      <c r="X317" s="63">
        <f>Saisie!P317</f>
        <v>0</v>
      </c>
      <c r="Y317" s="299">
        <f>Saisie!H317</f>
        <v>0</v>
      </c>
      <c r="Z317" s="58" t="e">
        <f>Saisie!#REF!</f>
        <v>#REF!</v>
      </c>
      <c r="AA317" s="299">
        <f>Saisie!Q317</f>
        <v>0</v>
      </c>
      <c r="AB317" s="63" t="e">
        <f t="array" ref="AB317">_xlfn.IFS(Saisie!R317="OUI",1,Saisie!R317="NON",0)</f>
        <v>#N/A</v>
      </c>
      <c r="AC317" s="63">
        <f>Saisie!S317</f>
        <v>0</v>
      </c>
      <c r="AD317" s="63" t="e">
        <f t="array" ref="AD317">_xlfn.IFS(Saisie!T317="OUI",1,Saisie!T317="NON",0)</f>
        <v>#N/A</v>
      </c>
      <c r="AE317" s="171">
        <f>Saisie!U317</f>
        <v>0</v>
      </c>
      <c r="AF317" s="262">
        <v>3</v>
      </c>
      <c r="AG317" s="129">
        <f>Saisie!W317</f>
        <v>0</v>
      </c>
      <c r="AH317" s="20">
        <f>Saisie!X317</f>
        <v>0</v>
      </c>
      <c r="AI317" s="21">
        <f>Saisie!Y317</f>
        <v>0</v>
      </c>
      <c r="AJ317" s="59">
        <f>Saisie!Z317</f>
        <v>0</v>
      </c>
      <c r="AK317" s="20">
        <f>Saisie!AA317</f>
        <v>0</v>
      </c>
      <c r="AL317" s="21">
        <f>Saisie!AB317</f>
        <v>0</v>
      </c>
      <c r="AM317" s="59">
        <f>Saisie!AC317</f>
        <v>0</v>
      </c>
      <c r="AN317" s="20">
        <f>Saisie!AD317</f>
        <v>0</v>
      </c>
      <c r="AO317" s="21">
        <f>Saisie!AE317</f>
        <v>0</v>
      </c>
      <c r="AP317" s="59">
        <f>Saisie!AF317</f>
        <v>0</v>
      </c>
      <c r="AQ317" s="129" t="e">
        <f t="array" ref="AQ317">_xlfn.IFS(Saisie!AG317="OUI",1,Saisie!AG317="NON",0)</f>
        <v>#N/A</v>
      </c>
      <c r="AR317" s="129" t="e">
        <f t="array" ref="AR317">_xlfn.IFS(Saisie!AH317="OUI",1,Saisie!AH317="NON",0)</f>
        <v>#N/A</v>
      </c>
      <c r="AS317" s="171">
        <f>Saisie!AI317</f>
        <v>0</v>
      </c>
      <c r="AT317" s="263" t="e">
        <f t="array" ref="AT317">_xlfn.IFS(Saisie!AJ317="OUI",1,Saisie!AJ317="NON",0)</f>
        <v>#N/A</v>
      </c>
      <c r="AU317" s="173">
        <f>Saisie!AK317</f>
        <v>0</v>
      </c>
      <c r="AV317" s="263" t="e">
        <f t="array" ref="AV317">_xlfn.IFS(Saisie!AL317="OUI",1,Saisie!AL317="NON",0)</f>
        <v>#N/A</v>
      </c>
      <c r="AW317" s="171">
        <f>Saisie!AM317</f>
        <v>0</v>
      </c>
      <c r="AX317" s="68">
        <f>Saisie!AN317</f>
        <v>0</v>
      </c>
      <c r="AY317" s="20">
        <f>Saisie!AO317</f>
        <v>0</v>
      </c>
      <c r="AZ317" s="21">
        <f>Saisie!AP317</f>
        <v>0</v>
      </c>
      <c r="BA317" s="298">
        <f>Saisie!AQ317</f>
        <v>0</v>
      </c>
      <c r="BB317" s="170">
        <f>Saisie!AR317</f>
        <v>0</v>
      </c>
      <c r="BC317" s="174">
        <f>Saisie!AS317</f>
        <v>0</v>
      </c>
      <c r="BD317" s="61">
        <f>Saisie!AT317</f>
        <v>0</v>
      </c>
      <c r="BE317" s="175" t="e">
        <f t="array" ref="BE317">_xlfn.IFS(Saisie!AU317="OUI",1,Saisie!AU317="NON",0)</f>
        <v>#N/A</v>
      </c>
      <c r="BF317" s="267">
        <f>Saisie!AV317</f>
        <v>0</v>
      </c>
      <c r="BG317" s="55">
        <f>Saisie!AW317</f>
        <v>0</v>
      </c>
      <c r="BH317" s="55" t="e">
        <f t="array" ref="BH317">_xlfn.IFS(Saisie!AX317="OUI",1,Saisie!AX317="NON",0)</f>
        <v>#N/A</v>
      </c>
      <c r="BI317" s="62">
        <f>Saisie!AY317</f>
        <v>0</v>
      </c>
      <c r="BJ317" s="55" t="e">
        <f t="array" ref="BJ317">_xlfn.IFS(Saisie!AZ317="OUI",1,Saisie!AZ317="NON",0)</f>
        <v>#N/A</v>
      </c>
      <c r="BK317" s="55" t="e">
        <f t="array" ref="BK317">_xlfn.IFS(Saisie!BA317="OUI",1,Saisie!BA317="NON",0)</f>
        <v>#N/A</v>
      </c>
      <c r="BL317" s="55">
        <f>Saisie!BB317</f>
        <v>0</v>
      </c>
      <c r="BM317" s="49" t="e">
        <f>Saisie!BC317</f>
        <v>#REF!</v>
      </c>
      <c r="BN317" s="175"/>
    </row>
    <row r="318" spans="1:66" s="176" customFormat="1" x14ac:dyDescent="0.45">
      <c r="A318" s="13">
        <v>312</v>
      </c>
      <c r="B318" s="150">
        <f>Saisie!B318</f>
        <v>0</v>
      </c>
      <c r="C318" s="150">
        <f>Saisie!C318</f>
        <v>0</v>
      </c>
      <c r="D318" s="150">
        <f>Saisie!D318</f>
        <v>0</v>
      </c>
      <c r="E318" s="150">
        <f>Saisie!E318</f>
        <v>0</v>
      </c>
      <c r="F318" s="150">
        <f>Saisie!F318</f>
        <v>0</v>
      </c>
      <c r="G318" s="150">
        <f>Saisie!G318</f>
        <v>0</v>
      </c>
      <c r="H318" s="150">
        <f>Saisie!I318</f>
        <v>0</v>
      </c>
      <c r="I318" s="150">
        <f>Saisie!J318</f>
        <v>0</v>
      </c>
      <c r="J318" s="150">
        <f>Saisie!K318</f>
        <v>0</v>
      </c>
      <c r="K318" s="150">
        <f>Saisie!L318</f>
        <v>0</v>
      </c>
      <c r="L318" s="150" t="e">
        <f>Saisie!#REF!</f>
        <v>#REF!</v>
      </c>
      <c r="M318" s="55" t="e">
        <f t="array" ref="M318">_xlfn.IFS(Saisie!M318="OUI",1,Saisie!M318="NON",0)</f>
        <v>#N/A</v>
      </c>
      <c r="N318" s="64" t="e">
        <f>Saisie!#REF!</f>
        <v>#REF!</v>
      </c>
      <c r="O318" s="63" t="e">
        <f>Saisie!#REF!</f>
        <v>#REF!</v>
      </c>
      <c r="P318" s="63">
        <f>Saisie!N318</f>
        <v>0</v>
      </c>
      <c r="Q318" s="63" t="e">
        <f t="array" ref="Q318">_xlfn.IFS(Saisie!#REF!="OUI",1,Saisie!#REF!="NON",0)</f>
        <v>#REF!</v>
      </c>
      <c r="R318" s="63" t="e">
        <f>Saisie!#REF!</f>
        <v>#REF!</v>
      </c>
      <c r="S318" s="65" t="e">
        <f>Saisie!#REF!</f>
        <v>#REF!</v>
      </c>
      <c r="T318" s="63" t="e">
        <f>Saisie!#REF!</f>
        <v>#REF!</v>
      </c>
      <c r="U318" s="63" t="e">
        <f>Saisie!#REF!</f>
        <v>#REF!</v>
      </c>
      <c r="V318" s="63" t="e">
        <f t="array" ref="V318">_xlfn.IFS(Saisie!#REF!="OUI",1,Saisie!#REF!="NON",0)</f>
        <v>#REF!</v>
      </c>
      <c r="W318" s="63" t="e">
        <f t="array" ref="W318">_xlfn.IFS(Saisie!O318="OUI",1,Saisie!O318="NON",0)</f>
        <v>#N/A</v>
      </c>
      <c r="X318" s="63">
        <f>Saisie!P318</f>
        <v>0</v>
      </c>
      <c r="Y318" s="299">
        <f>Saisie!H318</f>
        <v>0</v>
      </c>
      <c r="Z318" s="58" t="e">
        <f>Saisie!#REF!</f>
        <v>#REF!</v>
      </c>
      <c r="AA318" s="299">
        <f>Saisie!Q318</f>
        <v>0</v>
      </c>
      <c r="AB318" s="63" t="e">
        <f t="array" ref="AB318">_xlfn.IFS(Saisie!R318="OUI",1,Saisie!R318="NON",0)</f>
        <v>#N/A</v>
      </c>
      <c r="AC318" s="63">
        <f>Saisie!S318</f>
        <v>0</v>
      </c>
      <c r="AD318" s="63" t="e">
        <f t="array" ref="AD318">_xlfn.IFS(Saisie!T318="OUI",1,Saisie!T318="NON",0)</f>
        <v>#N/A</v>
      </c>
      <c r="AE318" s="171">
        <f>Saisie!U318</f>
        <v>0</v>
      </c>
      <c r="AF318" s="262">
        <v>3</v>
      </c>
      <c r="AG318" s="129">
        <f>Saisie!W318</f>
        <v>0</v>
      </c>
      <c r="AH318" s="20">
        <f>Saisie!X318</f>
        <v>0</v>
      </c>
      <c r="AI318" s="21">
        <f>Saisie!Y318</f>
        <v>0</v>
      </c>
      <c r="AJ318" s="59">
        <f>Saisie!Z318</f>
        <v>0</v>
      </c>
      <c r="AK318" s="20">
        <f>Saisie!AA318</f>
        <v>0</v>
      </c>
      <c r="AL318" s="21">
        <f>Saisie!AB318</f>
        <v>0</v>
      </c>
      <c r="AM318" s="59">
        <f>Saisie!AC318</f>
        <v>0</v>
      </c>
      <c r="AN318" s="20">
        <f>Saisie!AD318</f>
        <v>0</v>
      </c>
      <c r="AO318" s="21">
        <f>Saisie!AE318</f>
        <v>0</v>
      </c>
      <c r="AP318" s="59">
        <f>Saisie!AF318</f>
        <v>0</v>
      </c>
      <c r="AQ318" s="129" t="e">
        <f t="array" ref="AQ318">_xlfn.IFS(Saisie!AG318="OUI",1,Saisie!AG318="NON",0)</f>
        <v>#N/A</v>
      </c>
      <c r="AR318" s="129" t="e">
        <f t="array" ref="AR318">_xlfn.IFS(Saisie!AH318="OUI",1,Saisie!AH318="NON",0)</f>
        <v>#N/A</v>
      </c>
      <c r="AS318" s="171">
        <f>Saisie!AI318</f>
        <v>0</v>
      </c>
      <c r="AT318" s="263" t="e">
        <f t="array" ref="AT318">_xlfn.IFS(Saisie!AJ318="OUI",1,Saisie!AJ318="NON",0)</f>
        <v>#N/A</v>
      </c>
      <c r="AU318" s="173">
        <f>Saisie!AK318</f>
        <v>0</v>
      </c>
      <c r="AV318" s="263" t="e">
        <f t="array" ref="AV318">_xlfn.IFS(Saisie!AL318="OUI",1,Saisie!AL318="NON",0)</f>
        <v>#N/A</v>
      </c>
      <c r="AW318" s="171">
        <f>Saisie!AM318</f>
        <v>0</v>
      </c>
      <c r="AX318" s="68">
        <f>Saisie!AN318</f>
        <v>0</v>
      </c>
      <c r="AY318" s="20">
        <f>Saisie!AO318</f>
        <v>0</v>
      </c>
      <c r="AZ318" s="21">
        <f>Saisie!AP318</f>
        <v>0</v>
      </c>
      <c r="BA318" s="298">
        <f>Saisie!AQ318</f>
        <v>0</v>
      </c>
      <c r="BB318" s="170">
        <f>Saisie!AR318</f>
        <v>0</v>
      </c>
      <c r="BC318" s="174">
        <f>Saisie!AS318</f>
        <v>0</v>
      </c>
      <c r="BD318" s="61">
        <f>Saisie!AT318</f>
        <v>0</v>
      </c>
      <c r="BE318" s="175" t="e">
        <f t="array" ref="BE318">_xlfn.IFS(Saisie!AU318="OUI",1,Saisie!AU318="NON",0)</f>
        <v>#N/A</v>
      </c>
      <c r="BF318" s="267">
        <f>Saisie!AV318</f>
        <v>0</v>
      </c>
      <c r="BG318" s="55">
        <f>Saisie!AW318</f>
        <v>0</v>
      </c>
      <c r="BH318" s="55" t="e">
        <f t="array" ref="BH318">_xlfn.IFS(Saisie!AX318="OUI",1,Saisie!AX318="NON",0)</f>
        <v>#N/A</v>
      </c>
      <c r="BI318" s="62">
        <f>Saisie!AY318</f>
        <v>0</v>
      </c>
      <c r="BJ318" s="55" t="e">
        <f t="array" ref="BJ318">_xlfn.IFS(Saisie!AZ318="OUI",1,Saisie!AZ318="NON",0)</f>
        <v>#N/A</v>
      </c>
      <c r="BK318" s="55" t="e">
        <f t="array" ref="BK318">_xlfn.IFS(Saisie!BA318="OUI",1,Saisie!BA318="NON",0)</f>
        <v>#N/A</v>
      </c>
      <c r="BL318" s="55">
        <f>Saisie!BB318</f>
        <v>0</v>
      </c>
      <c r="BM318" s="49" t="e">
        <f>Saisie!BC318</f>
        <v>#REF!</v>
      </c>
      <c r="BN318" s="175"/>
    </row>
    <row r="319" spans="1:66" s="176" customFormat="1" x14ac:dyDescent="0.45">
      <c r="A319" s="12">
        <v>313</v>
      </c>
      <c r="B319" s="150">
        <f>Saisie!B319</f>
        <v>0</v>
      </c>
      <c r="C319" s="150">
        <f>Saisie!C319</f>
        <v>0</v>
      </c>
      <c r="D319" s="150">
        <f>Saisie!D319</f>
        <v>0</v>
      </c>
      <c r="E319" s="150">
        <f>Saisie!E319</f>
        <v>0</v>
      </c>
      <c r="F319" s="150">
        <f>Saisie!F319</f>
        <v>0</v>
      </c>
      <c r="G319" s="150">
        <f>Saisie!G319</f>
        <v>0</v>
      </c>
      <c r="H319" s="150">
        <f>Saisie!I319</f>
        <v>0</v>
      </c>
      <c r="I319" s="150">
        <f>Saisie!J319</f>
        <v>0</v>
      </c>
      <c r="J319" s="150">
        <f>Saisie!K319</f>
        <v>0</v>
      </c>
      <c r="K319" s="150">
        <f>Saisie!L319</f>
        <v>0</v>
      </c>
      <c r="L319" s="150" t="e">
        <f>Saisie!#REF!</f>
        <v>#REF!</v>
      </c>
      <c r="M319" s="55" t="e">
        <f t="array" ref="M319">_xlfn.IFS(Saisie!M319="OUI",1,Saisie!M319="NON",0)</f>
        <v>#N/A</v>
      </c>
      <c r="N319" s="64" t="e">
        <f>Saisie!#REF!</f>
        <v>#REF!</v>
      </c>
      <c r="O319" s="63" t="e">
        <f>Saisie!#REF!</f>
        <v>#REF!</v>
      </c>
      <c r="P319" s="63">
        <f>Saisie!N319</f>
        <v>0</v>
      </c>
      <c r="Q319" s="63" t="e">
        <f t="array" ref="Q319">_xlfn.IFS(Saisie!#REF!="OUI",1,Saisie!#REF!="NON",0)</f>
        <v>#REF!</v>
      </c>
      <c r="R319" s="63" t="e">
        <f>Saisie!#REF!</f>
        <v>#REF!</v>
      </c>
      <c r="S319" s="65" t="e">
        <f>Saisie!#REF!</f>
        <v>#REF!</v>
      </c>
      <c r="T319" s="63" t="e">
        <f>Saisie!#REF!</f>
        <v>#REF!</v>
      </c>
      <c r="U319" s="63" t="e">
        <f>Saisie!#REF!</f>
        <v>#REF!</v>
      </c>
      <c r="V319" s="63" t="e">
        <f t="array" ref="V319">_xlfn.IFS(Saisie!#REF!="OUI",1,Saisie!#REF!="NON",0)</f>
        <v>#REF!</v>
      </c>
      <c r="W319" s="63" t="e">
        <f t="array" ref="W319">_xlfn.IFS(Saisie!O319="OUI",1,Saisie!O319="NON",0)</f>
        <v>#N/A</v>
      </c>
      <c r="X319" s="63">
        <f>Saisie!P319</f>
        <v>0</v>
      </c>
      <c r="Y319" s="299">
        <f>Saisie!H319</f>
        <v>0</v>
      </c>
      <c r="Z319" s="58" t="e">
        <f>Saisie!#REF!</f>
        <v>#REF!</v>
      </c>
      <c r="AA319" s="299">
        <f>Saisie!Q319</f>
        <v>0</v>
      </c>
      <c r="AB319" s="63" t="e">
        <f t="array" ref="AB319">_xlfn.IFS(Saisie!R319="OUI",1,Saisie!R319="NON",0)</f>
        <v>#N/A</v>
      </c>
      <c r="AC319" s="63">
        <f>Saisie!S319</f>
        <v>0</v>
      </c>
      <c r="AD319" s="63" t="e">
        <f t="array" ref="AD319">_xlfn.IFS(Saisie!T319="OUI",1,Saisie!T319="NON",0)</f>
        <v>#N/A</v>
      </c>
      <c r="AE319" s="171">
        <f>Saisie!U319</f>
        <v>0</v>
      </c>
      <c r="AF319" s="262">
        <v>3</v>
      </c>
      <c r="AG319" s="129">
        <f>Saisie!W319</f>
        <v>0</v>
      </c>
      <c r="AH319" s="20">
        <f>Saisie!X319</f>
        <v>0</v>
      </c>
      <c r="AI319" s="21">
        <f>Saisie!Y319</f>
        <v>0</v>
      </c>
      <c r="AJ319" s="59">
        <f>Saisie!Z319</f>
        <v>0</v>
      </c>
      <c r="AK319" s="20">
        <f>Saisie!AA319</f>
        <v>0</v>
      </c>
      <c r="AL319" s="21">
        <f>Saisie!AB319</f>
        <v>0</v>
      </c>
      <c r="AM319" s="59">
        <f>Saisie!AC319</f>
        <v>0</v>
      </c>
      <c r="AN319" s="20">
        <f>Saisie!AD319</f>
        <v>0</v>
      </c>
      <c r="AO319" s="21">
        <f>Saisie!AE319</f>
        <v>0</v>
      </c>
      <c r="AP319" s="59">
        <f>Saisie!AF319</f>
        <v>0</v>
      </c>
      <c r="AQ319" s="129" t="e">
        <f t="array" ref="AQ319">_xlfn.IFS(Saisie!AG319="OUI",1,Saisie!AG319="NON",0)</f>
        <v>#N/A</v>
      </c>
      <c r="AR319" s="129" t="e">
        <f t="array" ref="AR319">_xlfn.IFS(Saisie!AH319="OUI",1,Saisie!AH319="NON",0)</f>
        <v>#N/A</v>
      </c>
      <c r="AS319" s="171">
        <f>Saisie!AI319</f>
        <v>0</v>
      </c>
      <c r="AT319" s="263" t="e">
        <f t="array" ref="AT319">_xlfn.IFS(Saisie!AJ319="OUI",1,Saisie!AJ319="NON",0)</f>
        <v>#N/A</v>
      </c>
      <c r="AU319" s="173">
        <f>Saisie!AK319</f>
        <v>0</v>
      </c>
      <c r="AV319" s="263" t="e">
        <f t="array" ref="AV319">_xlfn.IFS(Saisie!AL319="OUI",1,Saisie!AL319="NON",0)</f>
        <v>#N/A</v>
      </c>
      <c r="AW319" s="171">
        <f>Saisie!AM319</f>
        <v>0</v>
      </c>
      <c r="AX319" s="68">
        <f>Saisie!AN319</f>
        <v>0</v>
      </c>
      <c r="AY319" s="20">
        <f>Saisie!AO319</f>
        <v>0</v>
      </c>
      <c r="AZ319" s="21">
        <f>Saisie!AP319</f>
        <v>0</v>
      </c>
      <c r="BA319" s="298">
        <f>Saisie!AQ319</f>
        <v>0</v>
      </c>
      <c r="BB319" s="170">
        <f>Saisie!AR319</f>
        <v>0</v>
      </c>
      <c r="BC319" s="174">
        <f>Saisie!AS319</f>
        <v>0</v>
      </c>
      <c r="BD319" s="61">
        <f>Saisie!AT319</f>
        <v>0</v>
      </c>
      <c r="BE319" s="175" t="e">
        <f t="array" ref="BE319">_xlfn.IFS(Saisie!AU319="OUI",1,Saisie!AU319="NON",0)</f>
        <v>#N/A</v>
      </c>
      <c r="BF319" s="267">
        <f>Saisie!AV319</f>
        <v>0</v>
      </c>
      <c r="BG319" s="55">
        <f>Saisie!AW319</f>
        <v>0</v>
      </c>
      <c r="BH319" s="55" t="e">
        <f t="array" ref="BH319">_xlfn.IFS(Saisie!AX319="OUI",1,Saisie!AX319="NON",0)</f>
        <v>#N/A</v>
      </c>
      <c r="BI319" s="62">
        <f>Saisie!AY319</f>
        <v>0</v>
      </c>
      <c r="BJ319" s="55" t="e">
        <f t="array" ref="BJ319">_xlfn.IFS(Saisie!AZ319="OUI",1,Saisie!AZ319="NON",0)</f>
        <v>#N/A</v>
      </c>
      <c r="BK319" s="55" t="e">
        <f t="array" ref="BK319">_xlfn.IFS(Saisie!BA319="OUI",1,Saisie!BA319="NON",0)</f>
        <v>#N/A</v>
      </c>
      <c r="BL319" s="55">
        <f>Saisie!BB319</f>
        <v>0</v>
      </c>
      <c r="BM319" s="49" t="e">
        <f>Saisie!BC319</f>
        <v>#REF!</v>
      </c>
      <c r="BN319" s="175"/>
    </row>
    <row r="320" spans="1:66" s="176" customFormat="1" x14ac:dyDescent="0.45">
      <c r="A320" s="13">
        <v>314</v>
      </c>
      <c r="B320" s="150">
        <f>Saisie!B320</f>
        <v>0</v>
      </c>
      <c r="C320" s="150">
        <f>Saisie!C320</f>
        <v>0</v>
      </c>
      <c r="D320" s="150">
        <f>Saisie!D320</f>
        <v>0</v>
      </c>
      <c r="E320" s="150">
        <f>Saisie!E320</f>
        <v>0</v>
      </c>
      <c r="F320" s="150">
        <f>Saisie!F320</f>
        <v>0</v>
      </c>
      <c r="G320" s="150">
        <f>Saisie!G320</f>
        <v>0</v>
      </c>
      <c r="H320" s="150">
        <f>Saisie!I320</f>
        <v>0</v>
      </c>
      <c r="I320" s="150">
        <f>Saisie!J320</f>
        <v>0</v>
      </c>
      <c r="J320" s="150">
        <f>Saisie!K320</f>
        <v>0</v>
      </c>
      <c r="K320" s="150">
        <f>Saisie!L320</f>
        <v>0</v>
      </c>
      <c r="L320" s="150" t="e">
        <f>Saisie!#REF!</f>
        <v>#REF!</v>
      </c>
      <c r="M320" s="55" t="e">
        <f t="array" ref="M320">_xlfn.IFS(Saisie!M320="OUI",1,Saisie!M320="NON",0)</f>
        <v>#N/A</v>
      </c>
      <c r="N320" s="64" t="e">
        <f>Saisie!#REF!</f>
        <v>#REF!</v>
      </c>
      <c r="O320" s="63" t="e">
        <f>Saisie!#REF!</f>
        <v>#REF!</v>
      </c>
      <c r="P320" s="63">
        <f>Saisie!N320</f>
        <v>0</v>
      </c>
      <c r="Q320" s="63" t="e">
        <f t="array" ref="Q320">_xlfn.IFS(Saisie!#REF!="OUI",1,Saisie!#REF!="NON",0)</f>
        <v>#REF!</v>
      </c>
      <c r="R320" s="63" t="e">
        <f>Saisie!#REF!</f>
        <v>#REF!</v>
      </c>
      <c r="S320" s="65" t="e">
        <f>Saisie!#REF!</f>
        <v>#REF!</v>
      </c>
      <c r="T320" s="63" t="e">
        <f>Saisie!#REF!</f>
        <v>#REF!</v>
      </c>
      <c r="U320" s="63" t="e">
        <f>Saisie!#REF!</f>
        <v>#REF!</v>
      </c>
      <c r="V320" s="63" t="e">
        <f t="array" ref="V320">_xlfn.IFS(Saisie!#REF!="OUI",1,Saisie!#REF!="NON",0)</f>
        <v>#REF!</v>
      </c>
      <c r="W320" s="63" t="e">
        <f t="array" ref="W320">_xlfn.IFS(Saisie!O320="OUI",1,Saisie!O320="NON",0)</f>
        <v>#N/A</v>
      </c>
      <c r="X320" s="63">
        <f>Saisie!P320</f>
        <v>0</v>
      </c>
      <c r="Y320" s="299">
        <f>Saisie!H320</f>
        <v>0</v>
      </c>
      <c r="Z320" s="58" t="e">
        <f>Saisie!#REF!</f>
        <v>#REF!</v>
      </c>
      <c r="AA320" s="299">
        <f>Saisie!Q320</f>
        <v>0</v>
      </c>
      <c r="AB320" s="63" t="e">
        <f t="array" ref="AB320">_xlfn.IFS(Saisie!R320="OUI",1,Saisie!R320="NON",0)</f>
        <v>#N/A</v>
      </c>
      <c r="AC320" s="63">
        <f>Saisie!S320</f>
        <v>0</v>
      </c>
      <c r="AD320" s="63" t="e">
        <f t="array" ref="AD320">_xlfn.IFS(Saisie!T320="OUI",1,Saisie!T320="NON",0)</f>
        <v>#N/A</v>
      </c>
      <c r="AE320" s="171">
        <f>Saisie!U320</f>
        <v>0</v>
      </c>
      <c r="AF320" s="262">
        <v>3</v>
      </c>
      <c r="AG320" s="129">
        <f>Saisie!W320</f>
        <v>0</v>
      </c>
      <c r="AH320" s="20">
        <f>Saisie!X320</f>
        <v>0</v>
      </c>
      <c r="AI320" s="21">
        <f>Saisie!Y320</f>
        <v>0</v>
      </c>
      <c r="AJ320" s="59">
        <f>Saisie!Z320</f>
        <v>0</v>
      </c>
      <c r="AK320" s="20">
        <f>Saisie!AA320</f>
        <v>0</v>
      </c>
      <c r="AL320" s="21">
        <f>Saisie!AB320</f>
        <v>0</v>
      </c>
      <c r="AM320" s="59">
        <f>Saisie!AC320</f>
        <v>0</v>
      </c>
      <c r="AN320" s="20">
        <f>Saisie!AD320</f>
        <v>0</v>
      </c>
      <c r="AO320" s="21">
        <f>Saisie!AE320</f>
        <v>0</v>
      </c>
      <c r="AP320" s="59">
        <f>Saisie!AF320</f>
        <v>0</v>
      </c>
      <c r="AQ320" s="129" t="e">
        <f t="array" ref="AQ320">_xlfn.IFS(Saisie!AG320="OUI",1,Saisie!AG320="NON",0)</f>
        <v>#N/A</v>
      </c>
      <c r="AR320" s="129" t="e">
        <f t="array" ref="AR320">_xlfn.IFS(Saisie!AH320="OUI",1,Saisie!AH320="NON",0)</f>
        <v>#N/A</v>
      </c>
      <c r="AS320" s="171">
        <f>Saisie!AI320</f>
        <v>0</v>
      </c>
      <c r="AT320" s="263" t="e">
        <f t="array" ref="AT320">_xlfn.IFS(Saisie!AJ320="OUI",1,Saisie!AJ320="NON",0)</f>
        <v>#N/A</v>
      </c>
      <c r="AU320" s="173">
        <f>Saisie!AK320</f>
        <v>0</v>
      </c>
      <c r="AV320" s="263" t="e">
        <f t="array" ref="AV320">_xlfn.IFS(Saisie!AL320="OUI",1,Saisie!AL320="NON",0)</f>
        <v>#N/A</v>
      </c>
      <c r="AW320" s="171">
        <f>Saisie!AM320</f>
        <v>0</v>
      </c>
      <c r="AX320" s="68">
        <f>Saisie!AN320</f>
        <v>0</v>
      </c>
      <c r="AY320" s="20">
        <f>Saisie!AO320</f>
        <v>0</v>
      </c>
      <c r="AZ320" s="21">
        <f>Saisie!AP320</f>
        <v>0</v>
      </c>
      <c r="BA320" s="298">
        <f>Saisie!AQ320</f>
        <v>0</v>
      </c>
      <c r="BB320" s="170">
        <f>Saisie!AR320</f>
        <v>0</v>
      </c>
      <c r="BC320" s="174">
        <f>Saisie!AS320</f>
        <v>0</v>
      </c>
      <c r="BD320" s="61">
        <f>Saisie!AT320</f>
        <v>0</v>
      </c>
      <c r="BE320" s="175" t="e">
        <f t="array" ref="BE320">_xlfn.IFS(Saisie!AU320="OUI",1,Saisie!AU320="NON",0)</f>
        <v>#N/A</v>
      </c>
      <c r="BF320" s="267">
        <f>Saisie!AV320</f>
        <v>0</v>
      </c>
      <c r="BG320" s="55">
        <f>Saisie!AW320</f>
        <v>0</v>
      </c>
      <c r="BH320" s="55" t="e">
        <f t="array" ref="BH320">_xlfn.IFS(Saisie!AX320="OUI",1,Saisie!AX320="NON",0)</f>
        <v>#N/A</v>
      </c>
      <c r="BI320" s="62">
        <f>Saisie!AY320</f>
        <v>0</v>
      </c>
      <c r="BJ320" s="55" t="e">
        <f t="array" ref="BJ320">_xlfn.IFS(Saisie!AZ320="OUI",1,Saisie!AZ320="NON",0)</f>
        <v>#N/A</v>
      </c>
      <c r="BK320" s="55" t="e">
        <f t="array" ref="BK320">_xlfn.IFS(Saisie!BA320="OUI",1,Saisie!BA320="NON",0)</f>
        <v>#N/A</v>
      </c>
      <c r="BL320" s="55">
        <f>Saisie!BB320</f>
        <v>0</v>
      </c>
      <c r="BM320" s="49" t="e">
        <f>Saisie!BC320</f>
        <v>#REF!</v>
      </c>
      <c r="BN320" s="175"/>
    </row>
    <row r="321" spans="1:66" s="176" customFormat="1" x14ac:dyDescent="0.45">
      <c r="A321" s="13">
        <v>315</v>
      </c>
      <c r="B321" s="150">
        <f>Saisie!B321</f>
        <v>0</v>
      </c>
      <c r="C321" s="150">
        <f>Saisie!C321</f>
        <v>0</v>
      </c>
      <c r="D321" s="150">
        <f>Saisie!D321</f>
        <v>0</v>
      </c>
      <c r="E321" s="150">
        <f>Saisie!E321</f>
        <v>0</v>
      </c>
      <c r="F321" s="150">
        <f>Saisie!F321</f>
        <v>0</v>
      </c>
      <c r="G321" s="150">
        <f>Saisie!G321</f>
        <v>0</v>
      </c>
      <c r="H321" s="150">
        <f>Saisie!I321</f>
        <v>0</v>
      </c>
      <c r="I321" s="150">
        <f>Saisie!J321</f>
        <v>0</v>
      </c>
      <c r="J321" s="150">
        <f>Saisie!K321</f>
        <v>0</v>
      </c>
      <c r="K321" s="150">
        <f>Saisie!L321</f>
        <v>0</v>
      </c>
      <c r="L321" s="150" t="e">
        <f>Saisie!#REF!</f>
        <v>#REF!</v>
      </c>
      <c r="M321" s="55" t="e">
        <f t="array" ref="M321">_xlfn.IFS(Saisie!M321="OUI",1,Saisie!M321="NON",0)</f>
        <v>#N/A</v>
      </c>
      <c r="N321" s="64" t="e">
        <f>Saisie!#REF!</f>
        <v>#REF!</v>
      </c>
      <c r="O321" s="63" t="e">
        <f>Saisie!#REF!</f>
        <v>#REF!</v>
      </c>
      <c r="P321" s="63">
        <f>Saisie!N321</f>
        <v>0</v>
      </c>
      <c r="Q321" s="63" t="e">
        <f t="array" ref="Q321">_xlfn.IFS(Saisie!#REF!="OUI",1,Saisie!#REF!="NON",0)</f>
        <v>#REF!</v>
      </c>
      <c r="R321" s="63" t="e">
        <f>Saisie!#REF!</f>
        <v>#REF!</v>
      </c>
      <c r="S321" s="65" t="e">
        <f>Saisie!#REF!</f>
        <v>#REF!</v>
      </c>
      <c r="T321" s="63" t="e">
        <f>Saisie!#REF!</f>
        <v>#REF!</v>
      </c>
      <c r="U321" s="63" t="e">
        <f>Saisie!#REF!</f>
        <v>#REF!</v>
      </c>
      <c r="V321" s="63" t="e">
        <f t="array" ref="V321">_xlfn.IFS(Saisie!#REF!="OUI",1,Saisie!#REF!="NON",0)</f>
        <v>#REF!</v>
      </c>
      <c r="W321" s="63" t="e">
        <f t="array" ref="W321">_xlfn.IFS(Saisie!O321="OUI",1,Saisie!O321="NON",0)</f>
        <v>#N/A</v>
      </c>
      <c r="X321" s="63">
        <f>Saisie!P321</f>
        <v>0</v>
      </c>
      <c r="Y321" s="299">
        <f>Saisie!H321</f>
        <v>0</v>
      </c>
      <c r="Z321" s="58" t="e">
        <f>Saisie!#REF!</f>
        <v>#REF!</v>
      </c>
      <c r="AA321" s="299">
        <f>Saisie!Q321</f>
        <v>0</v>
      </c>
      <c r="AB321" s="63" t="e">
        <f t="array" ref="AB321">_xlfn.IFS(Saisie!R321="OUI",1,Saisie!R321="NON",0)</f>
        <v>#N/A</v>
      </c>
      <c r="AC321" s="63">
        <f>Saisie!S321</f>
        <v>0</v>
      </c>
      <c r="AD321" s="63" t="e">
        <f t="array" ref="AD321">_xlfn.IFS(Saisie!T321="OUI",1,Saisie!T321="NON",0)</f>
        <v>#N/A</v>
      </c>
      <c r="AE321" s="171">
        <f>Saisie!U321</f>
        <v>0</v>
      </c>
      <c r="AF321" s="262">
        <v>3</v>
      </c>
      <c r="AG321" s="129">
        <f>Saisie!W321</f>
        <v>0</v>
      </c>
      <c r="AH321" s="20">
        <f>Saisie!X321</f>
        <v>0</v>
      </c>
      <c r="AI321" s="21">
        <f>Saisie!Y321</f>
        <v>0</v>
      </c>
      <c r="AJ321" s="59">
        <f>Saisie!Z321</f>
        <v>0</v>
      </c>
      <c r="AK321" s="20">
        <f>Saisie!AA321</f>
        <v>0</v>
      </c>
      <c r="AL321" s="21">
        <f>Saisie!AB321</f>
        <v>0</v>
      </c>
      <c r="AM321" s="59">
        <f>Saisie!AC321</f>
        <v>0</v>
      </c>
      <c r="AN321" s="20">
        <f>Saisie!AD321</f>
        <v>0</v>
      </c>
      <c r="AO321" s="21">
        <f>Saisie!AE321</f>
        <v>0</v>
      </c>
      <c r="AP321" s="59">
        <f>Saisie!AF321</f>
        <v>0</v>
      </c>
      <c r="AQ321" s="129" t="e">
        <f t="array" ref="AQ321">_xlfn.IFS(Saisie!AG321="OUI",1,Saisie!AG321="NON",0)</f>
        <v>#N/A</v>
      </c>
      <c r="AR321" s="129" t="e">
        <f t="array" ref="AR321">_xlfn.IFS(Saisie!AH321="OUI",1,Saisie!AH321="NON",0)</f>
        <v>#N/A</v>
      </c>
      <c r="AS321" s="171">
        <f>Saisie!AI321</f>
        <v>0</v>
      </c>
      <c r="AT321" s="263" t="e">
        <f t="array" ref="AT321">_xlfn.IFS(Saisie!AJ321="OUI",1,Saisie!AJ321="NON",0)</f>
        <v>#N/A</v>
      </c>
      <c r="AU321" s="173">
        <f>Saisie!AK321</f>
        <v>0</v>
      </c>
      <c r="AV321" s="263" t="e">
        <f t="array" ref="AV321">_xlfn.IFS(Saisie!AL321="OUI",1,Saisie!AL321="NON",0)</f>
        <v>#N/A</v>
      </c>
      <c r="AW321" s="171">
        <f>Saisie!AM321</f>
        <v>0</v>
      </c>
      <c r="AX321" s="68">
        <f>Saisie!AN321</f>
        <v>0</v>
      </c>
      <c r="AY321" s="20">
        <f>Saisie!AO321</f>
        <v>0</v>
      </c>
      <c r="AZ321" s="21">
        <f>Saisie!AP321</f>
        <v>0</v>
      </c>
      <c r="BA321" s="298">
        <f>Saisie!AQ321</f>
        <v>0</v>
      </c>
      <c r="BB321" s="170">
        <f>Saisie!AR321</f>
        <v>0</v>
      </c>
      <c r="BC321" s="174">
        <f>Saisie!AS321</f>
        <v>0</v>
      </c>
      <c r="BD321" s="61">
        <f>Saisie!AT321</f>
        <v>0</v>
      </c>
      <c r="BE321" s="175" t="e">
        <f t="array" ref="BE321">_xlfn.IFS(Saisie!AU321="OUI",1,Saisie!AU321="NON",0)</f>
        <v>#N/A</v>
      </c>
      <c r="BF321" s="267">
        <f>Saisie!AV321</f>
        <v>0</v>
      </c>
      <c r="BG321" s="55">
        <f>Saisie!AW321</f>
        <v>0</v>
      </c>
      <c r="BH321" s="55" t="e">
        <f t="array" ref="BH321">_xlfn.IFS(Saisie!AX321="OUI",1,Saisie!AX321="NON",0)</f>
        <v>#N/A</v>
      </c>
      <c r="BI321" s="62">
        <f>Saisie!AY321</f>
        <v>0</v>
      </c>
      <c r="BJ321" s="55" t="e">
        <f t="array" ref="BJ321">_xlfn.IFS(Saisie!AZ321="OUI",1,Saisie!AZ321="NON",0)</f>
        <v>#N/A</v>
      </c>
      <c r="BK321" s="55" t="e">
        <f t="array" ref="BK321">_xlfn.IFS(Saisie!BA321="OUI",1,Saisie!BA321="NON",0)</f>
        <v>#N/A</v>
      </c>
      <c r="BL321" s="55">
        <f>Saisie!BB321</f>
        <v>0</v>
      </c>
      <c r="BM321" s="49" t="e">
        <f>Saisie!BC321</f>
        <v>#REF!</v>
      </c>
      <c r="BN321" s="175"/>
    </row>
    <row r="322" spans="1:66" s="176" customFormat="1" x14ac:dyDescent="0.45">
      <c r="A322" s="12">
        <v>316</v>
      </c>
      <c r="B322" s="150">
        <f>Saisie!B322</f>
        <v>0</v>
      </c>
      <c r="C322" s="150">
        <f>Saisie!C322</f>
        <v>0</v>
      </c>
      <c r="D322" s="150">
        <f>Saisie!D322</f>
        <v>0</v>
      </c>
      <c r="E322" s="150">
        <f>Saisie!E322</f>
        <v>0</v>
      </c>
      <c r="F322" s="150">
        <f>Saisie!F322</f>
        <v>0</v>
      </c>
      <c r="G322" s="150">
        <f>Saisie!G322</f>
        <v>0</v>
      </c>
      <c r="H322" s="150">
        <f>Saisie!I322</f>
        <v>0</v>
      </c>
      <c r="I322" s="150">
        <f>Saisie!J322</f>
        <v>0</v>
      </c>
      <c r="J322" s="150">
        <f>Saisie!K322</f>
        <v>0</v>
      </c>
      <c r="K322" s="150">
        <f>Saisie!L322</f>
        <v>0</v>
      </c>
      <c r="L322" s="150" t="e">
        <f>Saisie!#REF!</f>
        <v>#REF!</v>
      </c>
      <c r="M322" s="55" t="e">
        <f t="array" ref="M322">_xlfn.IFS(Saisie!M322="OUI",1,Saisie!M322="NON",0)</f>
        <v>#N/A</v>
      </c>
      <c r="N322" s="64" t="e">
        <f>Saisie!#REF!</f>
        <v>#REF!</v>
      </c>
      <c r="O322" s="63" t="e">
        <f>Saisie!#REF!</f>
        <v>#REF!</v>
      </c>
      <c r="P322" s="63">
        <f>Saisie!N322</f>
        <v>0</v>
      </c>
      <c r="Q322" s="63" t="e">
        <f t="array" ref="Q322">_xlfn.IFS(Saisie!#REF!="OUI",1,Saisie!#REF!="NON",0)</f>
        <v>#REF!</v>
      </c>
      <c r="R322" s="63" t="e">
        <f>Saisie!#REF!</f>
        <v>#REF!</v>
      </c>
      <c r="S322" s="65" t="e">
        <f>Saisie!#REF!</f>
        <v>#REF!</v>
      </c>
      <c r="T322" s="63" t="e">
        <f>Saisie!#REF!</f>
        <v>#REF!</v>
      </c>
      <c r="U322" s="63" t="e">
        <f>Saisie!#REF!</f>
        <v>#REF!</v>
      </c>
      <c r="V322" s="63" t="e">
        <f t="array" ref="V322">_xlfn.IFS(Saisie!#REF!="OUI",1,Saisie!#REF!="NON",0)</f>
        <v>#REF!</v>
      </c>
      <c r="W322" s="63" t="e">
        <f t="array" ref="W322">_xlfn.IFS(Saisie!O322="OUI",1,Saisie!O322="NON",0)</f>
        <v>#N/A</v>
      </c>
      <c r="X322" s="63">
        <f>Saisie!P322</f>
        <v>0</v>
      </c>
      <c r="Y322" s="299">
        <f>Saisie!H322</f>
        <v>0</v>
      </c>
      <c r="Z322" s="58" t="e">
        <f>Saisie!#REF!</f>
        <v>#REF!</v>
      </c>
      <c r="AA322" s="299">
        <f>Saisie!Q322</f>
        <v>0</v>
      </c>
      <c r="AB322" s="63" t="e">
        <f t="array" ref="AB322">_xlfn.IFS(Saisie!R322="OUI",1,Saisie!R322="NON",0)</f>
        <v>#N/A</v>
      </c>
      <c r="AC322" s="63">
        <f>Saisie!S322</f>
        <v>0</v>
      </c>
      <c r="AD322" s="63" t="e">
        <f t="array" ref="AD322">_xlfn.IFS(Saisie!T322="OUI",1,Saisie!T322="NON",0)</f>
        <v>#N/A</v>
      </c>
      <c r="AE322" s="171">
        <f>Saisie!U322</f>
        <v>0</v>
      </c>
      <c r="AF322" s="262">
        <v>3</v>
      </c>
      <c r="AG322" s="129">
        <f>Saisie!W322</f>
        <v>0</v>
      </c>
      <c r="AH322" s="20">
        <f>Saisie!X322</f>
        <v>0</v>
      </c>
      <c r="AI322" s="21">
        <f>Saisie!Y322</f>
        <v>0</v>
      </c>
      <c r="AJ322" s="59">
        <f>Saisie!Z322</f>
        <v>0</v>
      </c>
      <c r="AK322" s="20">
        <f>Saisie!AA322</f>
        <v>0</v>
      </c>
      <c r="AL322" s="21">
        <f>Saisie!AB322</f>
        <v>0</v>
      </c>
      <c r="AM322" s="59">
        <f>Saisie!AC322</f>
        <v>0</v>
      </c>
      <c r="AN322" s="20">
        <f>Saisie!AD322</f>
        <v>0</v>
      </c>
      <c r="AO322" s="21">
        <f>Saisie!AE322</f>
        <v>0</v>
      </c>
      <c r="AP322" s="59">
        <f>Saisie!AF322</f>
        <v>0</v>
      </c>
      <c r="AQ322" s="129" t="e">
        <f t="array" ref="AQ322">_xlfn.IFS(Saisie!AG322="OUI",1,Saisie!AG322="NON",0)</f>
        <v>#N/A</v>
      </c>
      <c r="AR322" s="129" t="e">
        <f t="array" ref="AR322">_xlfn.IFS(Saisie!AH322="OUI",1,Saisie!AH322="NON",0)</f>
        <v>#N/A</v>
      </c>
      <c r="AS322" s="171">
        <f>Saisie!AI322</f>
        <v>0</v>
      </c>
      <c r="AT322" s="263" t="e">
        <f t="array" ref="AT322">_xlfn.IFS(Saisie!AJ322="OUI",1,Saisie!AJ322="NON",0)</f>
        <v>#N/A</v>
      </c>
      <c r="AU322" s="173">
        <f>Saisie!AK322</f>
        <v>0</v>
      </c>
      <c r="AV322" s="263" t="e">
        <f t="array" ref="AV322">_xlfn.IFS(Saisie!AL322="OUI",1,Saisie!AL322="NON",0)</f>
        <v>#N/A</v>
      </c>
      <c r="AW322" s="171">
        <f>Saisie!AM322</f>
        <v>0</v>
      </c>
      <c r="AX322" s="68">
        <f>Saisie!AN322</f>
        <v>0</v>
      </c>
      <c r="AY322" s="20">
        <f>Saisie!AO322</f>
        <v>0</v>
      </c>
      <c r="AZ322" s="21">
        <f>Saisie!AP322</f>
        <v>0</v>
      </c>
      <c r="BA322" s="298">
        <f>Saisie!AQ322</f>
        <v>0</v>
      </c>
      <c r="BB322" s="170">
        <f>Saisie!AR322</f>
        <v>0</v>
      </c>
      <c r="BC322" s="174">
        <f>Saisie!AS322</f>
        <v>0</v>
      </c>
      <c r="BD322" s="61">
        <f>Saisie!AT322</f>
        <v>0</v>
      </c>
      <c r="BE322" s="175" t="e">
        <f t="array" ref="BE322">_xlfn.IFS(Saisie!AU322="OUI",1,Saisie!AU322="NON",0)</f>
        <v>#N/A</v>
      </c>
      <c r="BF322" s="267">
        <f>Saisie!AV322</f>
        <v>0</v>
      </c>
      <c r="BG322" s="55">
        <f>Saisie!AW322</f>
        <v>0</v>
      </c>
      <c r="BH322" s="55" t="e">
        <f t="array" ref="BH322">_xlfn.IFS(Saisie!AX322="OUI",1,Saisie!AX322="NON",0)</f>
        <v>#N/A</v>
      </c>
      <c r="BI322" s="62">
        <f>Saisie!AY322</f>
        <v>0</v>
      </c>
      <c r="BJ322" s="55" t="e">
        <f t="array" ref="BJ322">_xlfn.IFS(Saisie!AZ322="OUI",1,Saisie!AZ322="NON",0)</f>
        <v>#N/A</v>
      </c>
      <c r="BK322" s="55" t="e">
        <f t="array" ref="BK322">_xlfn.IFS(Saisie!BA322="OUI",1,Saisie!BA322="NON",0)</f>
        <v>#N/A</v>
      </c>
      <c r="BL322" s="55">
        <f>Saisie!BB322</f>
        <v>0</v>
      </c>
      <c r="BM322" s="49" t="e">
        <f>Saisie!BC322</f>
        <v>#REF!</v>
      </c>
      <c r="BN322" s="175"/>
    </row>
    <row r="323" spans="1:66" s="176" customFormat="1" x14ac:dyDescent="0.45">
      <c r="A323" s="13">
        <v>317</v>
      </c>
      <c r="B323" s="150">
        <f>Saisie!B323</f>
        <v>0</v>
      </c>
      <c r="C323" s="150">
        <f>Saisie!C323</f>
        <v>0</v>
      </c>
      <c r="D323" s="150">
        <f>Saisie!D323</f>
        <v>0</v>
      </c>
      <c r="E323" s="150">
        <f>Saisie!E323</f>
        <v>0</v>
      </c>
      <c r="F323" s="150">
        <f>Saisie!F323</f>
        <v>0</v>
      </c>
      <c r="G323" s="150">
        <f>Saisie!G323</f>
        <v>0</v>
      </c>
      <c r="H323" s="150">
        <f>Saisie!I323</f>
        <v>0</v>
      </c>
      <c r="I323" s="150">
        <f>Saisie!J323</f>
        <v>0</v>
      </c>
      <c r="J323" s="150">
        <f>Saisie!K323</f>
        <v>0</v>
      </c>
      <c r="K323" s="150">
        <f>Saisie!L323</f>
        <v>0</v>
      </c>
      <c r="L323" s="150" t="e">
        <f>Saisie!#REF!</f>
        <v>#REF!</v>
      </c>
      <c r="M323" s="55" t="e">
        <f t="array" ref="M323">_xlfn.IFS(Saisie!M323="OUI",1,Saisie!M323="NON",0)</f>
        <v>#N/A</v>
      </c>
      <c r="N323" s="64" t="e">
        <f>Saisie!#REF!</f>
        <v>#REF!</v>
      </c>
      <c r="O323" s="63" t="e">
        <f>Saisie!#REF!</f>
        <v>#REF!</v>
      </c>
      <c r="P323" s="63">
        <f>Saisie!N323</f>
        <v>0</v>
      </c>
      <c r="Q323" s="63" t="e">
        <f t="array" ref="Q323">_xlfn.IFS(Saisie!#REF!="OUI",1,Saisie!#REF!="NON",0)</f>
        <v>#REF!</v>
      </c>
      <c r="R323" s="63" t="e">
        <f>Saisie!#REF!</f>
        <v>#REF!</v>
      </c>
      <c r="S323" s="65" t="e">
        <f>Saisie!#REF!</f>
        <v>#REF!</v>
      </c>
      <c r="T323" s="63" t="e">
        <f>Saisie!#REF!</f>
        <v>#REF!</v>
      </c>
      <c r="U323" s="63" t="e">
        <f>Saisie!#REF!</f>
        <v>#REF!</v>
      </c>
      <c r="V323" s="63" t="e">
        <f t="array" ref="V323">_xlfn.IFS(Saisie!#REF!="OUI",1,Saisie!#REF!="NON",0)</f>
        <v>#REF!</v>
      </c>
      <c r="W323" s="63" t="e">
        <f t="array" ref="W323">_xlfn.IFS(Saisie!O323="OUI",1,Saisie!O323="NON",0)</f>
        <v>#N/A</v>
      </c>
      <c r="X323" s="63">
        <f>Saisie!P323</f>
        <v>0</v>
      </c>
      <c r="Y323" s="299">
        <f>Saisie!H323</f>
        <v>0</v>
      </c>
      <c r="Z323" s="58" t="e">
        <f>Saisie!#REF!</f>
        <v>#REF!</v>
      </c>
      <c r="AA323" s="299">
        <f>Saisie!Q323</f>
        <v>0</v>
      </c>
      <c r="AB323" s="63" t="e">
        <f t="array" ref="AB323">_xlfn.IFS(Saisie!R323="OUI",1,Saisie!R323="NON",0)</f>
        <v>#N/A</v>
      </c>
      <c r="AC323" s="63">
        <f>Saisie!S323</f>
        <v>0</v>
      </c>
      <c r="AD323" s="63" t="e">
        <f t="array" ref="AD323">_xlfn.IFS(Saisie!T323="OUI",1,Saisie!T323="NON",0)</f>
        <v>#N/A</v>
      </c>
      <c r="AE323" s="171">
        <f>Saisie!U323</f>
        <v>0</v>
      </c>
      <c r="AF323" s="262">
        <v>3</v>
      </c>
      <c r="AG323" s="129">
        <f>Saisie!W323</f>
        <v>0</v>
      </c>
      <c r="AH323" s="20">
        <f>Saisie!X323</f>
        <v>0</v>
      </c>
      <c r="AI323" s="21">
        <f>Saisie!Y323</f>
        <v>0</v>
      </c>
      <c r="AJ323" s="59">
        <f>Saisie!Z323</f>
        <v>0</v>
      </c>
      <c r="AK323" s="20">
        <f>Saisie!AA323</f>
        <v>0</v>
      </c>
      <c r="AL323" s="21">
        <f>Saisie!AB323</f>
        <v>0</v>
      </c>
      <c r="AM323" s="59">
        <f>Saisie!AC323</f>
        <v>0</v>
      </c>
      <c r="AN323" s="20">
        <f>Saisie!AD323</f>
        <v>0</v>
      </c>
      <c r="AO323" s="21">
        <f>Saisie!AE323</f>
        <v>0</v>
      </c>
      <c r="AP323" s="59">
        <f>Saisie!AF323</f>
        <v>0</v>
      </c>
      <c r="AQ323" s="129" t="e">
        <f t="array" ref="AQ323">_xlfn.IFS(Saisie!AG323="OUI",1,Saisie!AG323="NON",0)</f>
        <v>#N/A</v>
      </c>
      <c r="AR323" s="129" t="e">
        <f t="array" ref="AR323">_xlfn.IFS(Saisie!AH323="OUI",1,Saisie!AH323="NON",0)</f>
        <v>#N/A</v>
      </c>
      <c r="AS323" s="171">
        <f>Saisie!AI323</f>
        <v>0</v>
      </c>
      <c r="AT323" s="263" t="e">
        <f t="array" ref="AT323">_xlfn.IFS(Saisie!AJ323="OUI",1,Saisie!AJ323="NON",0)</f>
        <v>#N/A</v>
      </c>
      <c r="AU323" s="173">
        <f>Saisie!AK323</f>
        <v>0</v>
      </c>
      <c r="AV323" s="263" t="e">
        <f t="array" ref="AV323">_xlfn.IFS(Saisie!AL323="OUI",1,Saisie!AL323="NON",0)</f>
        <v>#N/A</v>
      </c>
      <c r="AW323" s="171">
        <f>Saisie!AM323</f>
        <v>0</v>
      </c>
      <c r="AX323" s="68">
        <f>Saisie!AN323</f>
        <v>0</v>
      </c>
      <c r="AY323" s="20">
        <f>Saisie!AO323</f>
        <v>0</v>
      </c>
      <c r="AZ323" s="21">
        <f>Saisie!AP323</f>
        <v>0</v>
      </c>
      <c r="BA323" s="298">
        <f>Saisie!AQ323</f>
        <v>0</v>
      </c>
      <c r="BB323" s="170">
        <f>Saisie!AR323</f>
        <v>0</v>
      </c>
      <c r="BC323" s="174">
        <f>Saisie!AS323</f>
        <v>0</v>
      </c>
      <c r="BD323" s="61">
        <f>Saisie!AT323</f>
        <v>0</v>
      </c>
      <c r="BE323" s="175" t="e">
        <f t="array" ref="BE323">_xlfn.IFS(Saisie!AU323="OUI",1,Saisie!AU323="NON",0)</f>
        <v>#N/A</v>
      </c>
      <c r="BF323" s="267">
        <f>Saisie!AV323</f>
        <v>0</v>
      </c>
      <c r="BG323" s="55">
        <f>Saisie!AW323</f>
        <v>0</v>
      </c>
      <c r="BH323" s="55" t="e">
        <f t="array" ref="BH323">_xlfn.IFS(Saisie!AX323="OUI",1,Saisie!AX323="NON",0)</f>
        <v>#N/A</v>
      </c>
      <c r="BI323" s="62">
        <f>Saisie!AY323</f>
        <v>0</v>
      </c>
      <c r="BJ323" s="55" t="e">
        <f t="array" ref="BJ323">_xlfn.IFS(Saisie!AZ323="OUI",1,Saisie!AZ323="NON",0)</f>
        <v>#N/A</v>
      </c>
      <c r="BK323" s="55" t="e">
        <f t="array" ref="BK323">_xlfn.IFS(Saisie!BA323="OUI",1,Saisie!BA323="NON",0)</f>
        <v>#N/A</v>
      </c>
      <c r="BL323" s="55">
        <f>Saisie!BB323</f>
        <v>0</v>
      </c>
      <c r="BM323" s="49" t="e">
        <f>Saisie!BC323</f>
        <v>#REF!</v>
      </c>
      <c r="BN323" s="175"/>
    </row>
    <row r="324" spans="1:66" s="176" customFormat="1" x14ac:dyDescent="0.45">
      <c r="A324" s="13">
        <v>318</v>
      </c>
      <c r="B324" s="150">
        <f>Saisie!B324</f>
        <v>0</v>
      </c>
      <c r="C324" s="150">
        <f>Saisie!C324</f>
        <v>0</v>
      </c>
      <c r="D324" s="150">
        <f>Saisie!D324</f>
        <v>0</v>
      </c>
      <c r="E324" s="150">
        <f>Saisie!E324</f>
        <v>0</v>
      </c>
      <c r="F324" s="150">
        <f>Saisie!F324</f>
        <v>0</v>
      </c>
      <c r="G324" s="150">
        <f>Saisie!G324</f>
        <v>0</v>
      </c>
      <c r="H324" s="150">
        <f>Saisie!I324</f>
        <v>0</v>
      </c>
      <c r="I324" s="150">
        <f>Saisie!J324</f>
        <v>0</v>
      </c>
      <c r="J324" s="150">
        <f>Saisie!K324</f>
        <v>0</v>
      </c>
      <c r="K324" s="150">
        <f>Saisie!L324</f>
        <v>0</v>
      </c>
      <c r="L324" s="150" t="e">
        <f>Saisie!#REF!</f>
        <v>#REF!</v>
      </c>
      <c r="M324" s="55" t="e">
        <f t="array" ref="M324">_xlfn.IFS(Saisie!M324="OUI",1,Saisie!M324="NON",0)</f>
        <v>#N/A</v>
      </c>
      <c r="N324" s="64" t="e">
        <f>Saisie!#REF!</f>
        <v>#REF!</v>
      </c>
      <c r="O324" s="63" t="e">
        <f>Saisie!#REF!</f>
        <v>#REF!</v>
      </c>
      <c r="P324" s="63">
        <f>Saisie!N324</f>
        <v>0</v>
      </c>
      <c r="Q324" s="63" t="e">
        <f t="array" ref="Q324">_xlfn.IFS(Saisie!#REF!="OUI",1,Saisie!#REF!="NON",0)</f>
        <v>#REF!</v>
      </c>
      <c r="R324" s="63" t="e">
        <f>Saisie!#REF!</f>
        <v>#REF!</v>
      </c>
      <c r="S324" s="65" t="e">
        <f>Saisie!#REF!</f>
        <v>#REF!</v>
      </c>
      <c r="T324" s="63" t="e">
        <f>Saisie!#REF!</f>
        <v>#REF!</v>
      </c>
      <c r="U324" s="63" t="e">
        <f>Saisie!#REF!</f>
        <v>#REF!</v>
      </c>
      <c r="V324" s="63" t="e">
        <f t="array" ref="V324">_xlfn.IFS(Saisie!#REF!="OUI",1,Saisie!#REF!="NON",0)</f>
        <v>#REF!</v>
      </c>
      <c r="W324" s="63" t="e">
        <f t="array" ref="W324">_xlfn.IFS(Saisie!O324="OUI",1,Saisie!O324="NON",0)</f>
        <v>#N/A</v>
      </c>
      <c r="X324" s="63">
        <f>Saisie!P324</f>
        <v>0</v>
      </c>
      <c r="Y324" s="299">
        <f>Saisie!H324</f>
        <v>0</v>
      </c>
      <c r="Z324" s="58" t="e">
        <f>Saisie!#REF!</f>
        <v>#REF!</v>
      </c>
      <c r="AA324" s="299">
        <f>Saisie!Q324</f>
        <v>0</v>
      </c>
      <c r="AB324" s="63" t="e">
        <f t="array" ref="AB324">_xlfn.IFS(Saisie!R324="OUI",1,Saisie!R324="NON",0)</f>
        <v>#N/A</v>
      </c>
      <c r="AC324" s="63">
        <f>Saisie!S324</f>
        <v>0</v>
      </c>
      <c r="AD324" s="63" t="e">
        <f t="array" ref="AD324">_xlfn.IFS(Saisie!T324="OUI",1,Saisie!T324="NON",0)</f>
        <v>#N/A</v>
      </c>
      <c r="AE324" s="171">
        <f>Saisie!U324</f>
        <v>0</v>
      </c>
      <c r="AF324" s="262">
        <v>3</v>
      </c>
      <c r="AG324" s="129">
        <f>Saisie!W324</f>
        <v>0</v>
      </c>
      <c r="AH324" s="20">
        <f>Saisie!X324</f>
        <v>0</v>
      </c>
      <c r="AI324" s="21">
        <f>Saisie!Y324</f>
        <v>0</v>
      </c>
      <c r="AJ324" s="59">
        <f>Saisie!Z324</f>
        <v>0</v>
      </c>
      <c r="AK324" s="20">
        <f>Saisie!AA324</f>
        <v>0</v>
      </c>
      <c r="AL324" s="21">
        <f>Saisie!AB324</f>
        <v>0</v>
      </c>
      <c r="AM324" s="59">
        <f>Saisie!AC324</f>
        <v>0</v>
      </c>
      <c r="AN324" s="20">
        <f>Saisie!AD324</f>
        <v>0</v>
      </c>
      <c r="AO324" s="21">
        <f>Saisie!AE324</f>
        <v>0</v>
      </c>
      <c r="AP324" s="59">
        <f>Saisie!AF324</f>
        <v>0</v>
      </c>
      <c r="AQ324" s="129" t="e">
        <f t="array" ref="AQ324">_xlfn.IFS(Saisie!AG324="OUI",1,Saisie!AG324="NON",0)</f>
        <v>#N/A</v>
      </c>
      <c r="AR324" s="129" t="e">
        <f t="array" ref="AR324">_xlfn.IFS(Saisie!AH324="OUI",1,Saisie!AH324="NON",0)</f>
        <v>#N/A</v>
      </c>
      <c r="AS324" s="171">
        <f>Saisie!AI324</f>
        <v>0</v>
      </c>
      <c r="AT324" s="263" t="e">
        <f t="array" ref="AT324">_xlfn.IFS(Saisie!AJ324="OUI",1,Saisie!AJ324="NON",0)</f>
        <v>#N/A</v>
      </c>
      <c r="AU324" s="173">
        <f>Saisie!AK324</f>
        <v>0</v>
      </c>
      <c r="AV324" s="263" t="e">
        <f t="array" ref="AV324">_xlfn.IFS(Saisie!AL324="OUI",1,Saisie!AL324="NON",0)</f>
        <v>#N/A</v>
      </c>
      <c r="AW324" s="171">
        <f>Saisie!AM324</f>
        <v>0</v>
      </c>
      <c r="AX324" s="68">
        <f>Saisie!AN324</f>
        <v>0</v>
      </c>
      <c r="AY324" s="20">
        <f>Saisie!AO324</f>
        <v>0</v>
      </c>
      <c r="AZ324" s="21">
        <f>Saisie!AP324</f>
        <v>0</v>
      </c>
      <c r="BA324" s="298">
        <f>Saisie!AQ324</f>
        <v>0</v>
      </c>
      <c r="BB324" s="170">
        <f>Saisie!AR324</f>
        <v>0</v>
      </c>
      <c r="BC324" s="174">
        <f>Saisie!AS324</f>
        <v>0</v>
      </c>
      <c r="BD324" s="61">
        <f>Saisie!AT324</f>
        <v>0</v>
      </c>
      <c r="BE324" s="175" t="e">
        <f t="array" ref="BE324">_xlfn.IFS(Saisie!AU324="OUI",1,Saisie!AU324="NON",0)</f>
        <v>#N/A</v>
      </c>
      <c r="BF324" s="267">
        <f>Saisie!AV324</f>
        <v>0</v>
      </c>
      <c r="BG324" s="55">
        <f>Saisie!AW324</f>
        <v>0</v>
      </c>
      <c r="BH324" s="55" t="e">
        <f t="array" ref="BH324">_xlfn.IFS(Saisie!AX324="OUI",1,Saisie!AX324="NON",0)</f>
        <v>#N/A</v>
      </c>
      <c r="BI324" s="62">
        <f>Saisie!AY324</f>
        <v>0</v>
      </c>
      <c r="BJ324" s="55" t="e">
        <f t="array" ref="BJ324">_xlfn.IFS(Saisie!AZ324="OUI",1,Saisie!AZ324="NON",0)</f>
        <v>#N/A</v>
      </c>
      <c r="BK324" s="55" t="e">
        <f t="array" ref="BK324">_xlfn.IFS(Saisie!BA324="OUI",1,Saisie!BA324="NON",0)</f>
        <v>#N/A</v>
      </c>
      <c r="BL324" s="55">
        <f>Saisie!BB324</f>
        <v>0</v>
      </c>
      <c r="BM324" s="49" t="e">
        <f>Saisie!BC324</f>
        <v>#REF!</v>
      </c>
      <c r="BN324" s="175"/>
    </row>
    <row r="325" spans="1:66" s="176" customFormat="1" x14ac:dyDescent="0.45">
      <c r="A325" s="13">
        <v>320</v>
      </c>
      <c r="B325" s="150">
        <f>Saisie!B325</f>
        <v>0</v>
      </c>
      <c r="C325" s="150">
        <f>Saisie!C325</f>
        <v>0</v>
      </c>
      <c r="D325" s="150">
        <f>Saisie!D325</f>
        <v>0</v>
      </c>
      <c r="E325" s="150">
        <f>Saisie!E325</f>
        <v>0</v>
      </c>
      <c r="F325" s="150">
        <f>Saisie!F325</f>
        <v>0</v>
      </c>
      <c r="G325" s="150">
        <f>Saisie!G325</f>
        <v>0</v>
      </c>
      <c r="H325" s="150">
        <f>Saisie!I325</f>
        <v>0</v>
      </c>
      <c r="I325" s="150">
        <f>Saisie!J325</f>
        <v>0</v>
      </c>
      <c r="J325" s="150">
        <f>Saisie!K325</f>
        <v>0</v>
      </c>
      <c r="K325" s="150">
        <f>Saisie!L325</f>
        <v>0</v>
      </c>
      <c r="L325" s="150" t="e">
        <f>Saisie!#REF!</f>
        <v>#REF!</v>
      </c>
      <c r="M325" s="55" t="e">
        <f t="array" ref="M325">_xlfn.IFS(Saisie!M325="OUI",1,Saisie!M325="NON",0)</f>
        <v>#N/A</v>
      </c>
      <c r="N325" s="64" t="e">
        <f>Saisie!#REF!</f>
        <v>#REF!</v>
      </c>
      <c r="O325" s="63" t="e">
        <f>Saisie!#REF!</f>
        <v>#REF!</v>
      </c>
      <c r="P325" s="63">
        <f>Saisie!N325</f>
        <v>0</v>
      </c>
      <c r="Q325" s="63" t="e">
        <f t="array" ref="Q325">_xlfn.IFS(Saisie!#REF!="OUI",1,Saisie!#REF!="NON",0)</f>
        <v>#REF!</v>
      </c>
      <c r="R325" s="63" t="e">
        <f>Saisie!#REF!</f>
        <v>#REF!</v>
      </c>
      <c r="S325" s="65" t="e">
        <f>Saisie!#REF!</f>
        <v>#REF!</v>
      </c>
      <c r="T325" s="63" t="e">
        <f>Saisie!#REF!</f>
        <v>#REF!</v>
      </c>
      <c r="U325" s="63" t="e">
        <f>Saisie!#REF!</f>
        <v>#REF!</v>
      </c>
      <c r="V325" s="63" t="e">
        <f t="array" ref="V325">_xlfn.IFS(Saisie!#REF!="OUI",1,Saisie!#REF!="NON",0)</f>
        <v>#REF!</v>
      </c>
      <c r="W325" s="63" t="e">
        <f t="array" ref="W325">_xlfn.IFS(Saisie!O325="OUI",1,Saisie!O325="NON",0)</f>
        <v>#N/A</v>
      </c>
      <c r="X325" s="63">
        <f>Saisie!P325</f>
        <v>0</v>
      </c>
      <c r="Y325" s="299">
        <f>Saisie!H325</f>
        <v>0</v>
      </c>
      <c r="Z325" s="58" t="e">
        <f>Saisie!#REF!</f>
        <v>#REF!</v>
      </c>
      <c r="AA325" s="299">
        <f>Saisie!Q325</f>
        <v>0</v>
      </c>
      <c r="AB325" s="63" t="e">
        <f t="array" ref="AB325">_xlfn.IFS(Saisie!R325="OUI",1,Saisie!R325="NON",0)</f>
        <v>#N/A</v>
      </c>
      <c r="AC325" s="63">
        <f>Saisie!S325</f>
        <v>0</v>
      </c>
      <c r="AD325" s="63" t="e">
        <f t="array" ref="AD325">_xlfn.IFS(Saisie!T325="OUI",1,Saisie!T325="NON",0)</f>
        <v>#N/A</v>
      </c>
      <c r="AE325" s="171">
        <f>Saisie!U325</f>
        <v>0</v>
      </c>
      <c r="AF325" s="262">
        <v>2</v>
      </c>
      <c r="AG325" s="129">
        <f>Saisie!W325</f>
        <v>0</v>
      </c>
      <c r="AH325" s="20">
        <f>Saisie!X325</f>
        <v>0</v>
      </c>
      <c r="AI325" s="21">
        <f>Saisie!Y325</f>
        <v>0</v>
      </c>
      <c r="AJ325" s="59">
        <f>Saisie!Z325</f>
        <v>0</v>
      </c>
      <c r="AK325" s="20">
        <f>Saisie!AA325</f>
        <v>0</v>
      </c>
      <c r="AL325" s="21">
        <f>Saisie!AB325</f>
        <v>0</v>
      </c>
      <c r="AM325" s="59">
        <f>Saisie!AC325</f>
        <v>0</v>
      </c>
      <c r="AN325" s="20">
        <f>Saisie!AD325</f>
        <v>0</v>
      </c>
      <c r="AO325" s="21">
        <f>Saisie!AE325</f>
        <v>0</v>
      </c>
      <c r="AP325" s="59">
        <f>Saisie!AF325</f>
        <v>0</v>
      </c>
      <c r="AQ325" s="129" t="e">
        <f t="array" ref="AQ325">_xlfn.IFS(Saisie!AG325="OUI",1,Saisie!AG325="NON",0)</f>
        <v>#N/A</v>
      </c>
      <c r="AR325" s="129" t="e">
        <f t="array" ref="AR325">_xlfn.IFS(Saisie!AH325="OUI",1,Saisie!AH325="NON",0)</f>
        <v>#N/A</v>
      </c>
      <c r="AS325" s="171">
        <f>Saisie!AI325</f>
        <v>0</v>
      </c>
      <c r="AT325" s="263" t="e">
        <f t="array" ref="AT325">_xlfn.IFS(Saisie!AJ325="OUI",1,Saisie!AJ325="NON",0)</f>
        <v>#N/A</v>
      </c>
      <c r="AU325" s="173">
        <f>Saisie!AK325</f>
        <v>0</v>
      </c>
      <c r="AV325" s="263" t="e">
        <f t="array" ref="AV325">_xlfn.IFS(Saisie!AL325="OUI",1,Saisie!AL325="NON",0)</f>
        <v>#N/A</v>
      </c>
      <c r="AW325" s="171">
        <f>Saisie!AM325</f>
        <v>0</v>
      </c>
      <c r="AX325" s="68">
        <f>Saisie!AN325</f>
        <v>0</v>
      </c>
      <c r="AY325" s="20">
        <f>Saisie!AO325</f>
        <v>0</v>
      </c>
      <c r="AZ325" s="21">
        <f>Saisie!AP325</f>
        <v>0</v>
      </c>
      <c r="BA325" s="298">
        <f>Saisie!AQ325</f>
        <v>0</v>
      </c>
      <c r="BB325" s="170">
        <f>Saisie!AR325</f>
        <v>0</v>
      </c>
      <c r="BC325" s="174">
        <f>Saisie!AS325</f>
        <v>0</v>
      </c>
      <c r="BD325" s="61">
        <f>Saisie!AT325</f>
        <v>0</v>
      </c>
      <c r="BE325" s="175" t="e">
        <f t="array" ref="BE325">_xlfn.IFS(Saisie!AU325="OUI",1,Saisie!AU325="NON",0)</f>
        <v>#N/A</v>
      </c>
      <c r="BF325" s="267">
        <f>Saisie!AV325</f>
        <v>0</v>
      </c>
      <c r="BG325" s="55">
        <f>Saisie!AW325</f>
        <v>0</v>
      </c>
      <c r="BH325" s="55" t="e">
        <f t="array" ref="BH325">_xlfn.IFS(Saisie!AX325="OUI",1,Saisie!AX325="NON",0)</f>
        <v>#N/A</v>
      </c>
      <c r="BI325" s="62">
        <f>Saisie!AY325</f>
        <v>0</v>
      </c>
      <c r="BJ325" s="55" t="e">
        <f t="array" ref="BJ325">_xlfn.IFS(Saisie!AZ325="OUI",1,Saisie!AZ325="NON",0)</f>
        <v>#N/A</v>
      </c>
      <c r="BK325" s="55" t="e">
        <f t="array" ref="BK325">_xlfn.IFS(Saisie!BA325="OUI",1,Saisie!BA325="NON",0)</f>
        <v>#N/A</v>
      </c>
      <c r="BL325" s="55">
        <f>Saisie!BB325</f>
        <v>0</v>
      </c>
      <c r="BM325" s="49" t="e">
        <f>Saisie!BC325</f>
        <v>#REF!</v>
      </c>
      <c r="BN325" s="175"/>
    </row>
    <row r="326" spans="1:66" s="176" customFormat="1" x14ac:dyDescent="0.45">
      <c r="A326" s="13">
        <v>321</v>
      </c>
      <c r="B326" s="150">
        <f>Saisie!B326</f>
        <v>0</v>
      </c>
      <c r="C326" s="150">
        <f>Saisie!C326</f>
        <v>0</v>
      </c>
      <c r="D326" s="150">
        <f>Saisie!D326</f>
        <v>0</v>
      </c>
      <c r="E326" s="150">
        <f>Saisie!E326</f>
        <v>0</v>
      </c>
      <c r="F326" s="150">
        <f>Saisie!F326</f>
        <v>0</v>
      </c>
      <c r="G326" s="150">
        <f>Saisie!G326</f>
        <v>0</v>
      </c>
      <c r="H326" s="150">
        <f>Saisie!I326</f>
        <v>0</v>
      </c>
      <c r="I326" s="150">
        <f>Saisie!J326</f>
        <v>0</v>
      </c>
      <c r="J326" s="150">
        <f>Saisie!K326</f>
        <v>0</v>
      </c>
      <c r="K326" s="150">
        <f>Saisie!L326</f>
        <v>0</v>
      </c>
      <c r="L326" s="150" t="e">
        <f>Saisie!#REF!</f>
        <v>#REF!</v>
      </c>
      <c r="M326" s="55" t="e">
        <f t="array" ref="M326">_xlfn.IFS(Saisie!M326="OUI",1,Saisie!M326="NON",0)</f>
        <v>#N/A</v>
      </c>
      <c r="N326" s="64" t="e">
        <f>Saisie!#REF!</f>
        <v>#REF!</v>
      </c>
      <c r="O326" s="63" t="e">
        <f>Saisie!#REF!</f>
        <v>#REF!</v>
      </c>
      <c r="P326" s="63">
        <f>Saisie!N326</f>
        <v>0</v>
      </c>
      <c r="Q326" s="63" t="e">
        <f t="array" ref="Q326">_xlfn.IFS(Saisie!#REF!="OUI",1,Saisie!#REF!="NON",0)</f>
        <v>#REF!</v>
      </c>
      <c r="R326" s="63" t="e">
        <f>Saisie!#REF!</f>
        <v>#REF!</v>
      </c>
      <c r="S326" s="65" t="e">
        <f>Saisie!#REF!</f>
        <v>#REF!</v>
      </c>
      <c r="T326" s="63" t="e">
        <f>Saisie!#REF!</f>
        <v>#REF!</v>
      </c>
      <c r="U326" s="63" t="e">
        <f>Saisie!#REF!</f>
        <v>#REF!</v>
      </c>
      <c r="V326" s="63" t="e">
        <f t="array" ref="V326">_xlfn.IFS(Saisie!#REF!="OUI",1,Saisie!#REF!="NON",0)</f>
        <v>#REF!</v>
      </c>
      <c r="W326" s="63" t="e">
        <f t="array" ref="W326">_xlfn.IFS(Saisie!O326="OUI",1,Saisie!O326="NON",0)</f>
        <v>#N/A</v>
      </c>
      <c r="X326" s="63">
        <f>Saisie!P326</f>
        <v>0</v>
      </c>
      <c r="Y326" s="299">
        <f>Saisie!H326</f>
        <v>0</v>
      </c>
      <c r="Z326" s="58" t="e">
        <f>Saisie!#REF!</f>
        <v>#REF!</v>
      </c>
      <c r="AA326" s="299">
        <f>Saisie!Q326</f>
        <v>0</v>
      </c>
      <c r="AB326" s="63" t="e">
        <f t="array" ref="AB326">_xlfn.IFS(Saisie!R326="OUI",1,Saisie!R326="NON",0)</f>
        <v>#N/A</v>
      </c>
      <c r="AC326" s="63">
        <f>Saisie!S326</f>
        <v>0</v>
      </c>
      <c r="AD326" s="63" t="e">
        <f t="array" ref="AD326">_xlfn.IFS(Saisie!T326="OUI",1,Saisie!T326="NON",0)</f>
        <v>#N/A</v>
      </c>
      <c r="AE326" s="171">
        <f>Saisie!U326</f>
        <v>0</v>
      </c>
      <c r="AF326" s="262">
        <v>3</v>
      </c>
      <c r="AG326" s="129">
        <f>Saisie!W326</f>
        <v>0</v>
      </c>
      <c r="AH326" s="20">
        <f>Saisie!X326</f>
        <v>0</v>
      </c>
      <c r="AI326" s="21">
        <f>Saisie!Y326</f>
        <v>0</v>
      </c>
      <c r="AJ326" s="59">
        <f>Saisie!Z326</f>
        <v>0</v>
      </c>
      <c r="AK326" s="20">
        <f>Saisie!AA326</f>
        <v>0</v>
      </c>
      <c r="AL326" s="21">
        <f>Saisie!AB326</f>
        <v>0</v>
      </c>
      <c r="AM326" s="59">
        <f>Saisie!AC326</f>
        <v>0</v>
      </c>
      <c r="AN326" s="20">
        <f>Saisie!AD326</f>
        <v>0</v>
      </c>
      <c r="AO326" s="21">
        <f>Saisie!AE326</f>
        <v>0</v>
      </c>
      <c r="AP326" s="59">
        <f>Saisie!AF326</f>
        <v>0</v>
      </c>
      <c r="AQ326" s="129" t="e">
        <f t="array" ref="AQ326">_xlfn.IFS(Saisie!AG326="OUI",1,Saisie!AG326="NON",0)</f>
        <v>#N/A</v>
      </c>
      <c r="AR326" s="129" t="e">
        <f t="array" ref="AR326">_xlfn.IFS(Saisie!AH326="OUI",1,Saisie!AH326="NON",0)</f>
        <v>#N/A</v>
      </c>
      <c r="AS326" s="171">
        <f>Saisie!AI326</f>
        <v>0</v>
      </c>
      <c r="AT326" s="263" t="e">
        <f t="array" ref="AT326">_xlfn.IFS(Saisie!AJ326="OUI",1,Saisie!AJ326="NON",0)</f>
        <v>#N/A</v>
      </c>
      <c r="AU326" s="173">
        <f>Saisie!AK326</f>
        <v>0</v>
      </c>
      <c r="AV326" s="263" t="e">
        <f t="array" ref="AV326">_xlfn.IFS(Saisie!AL326="OUI",1,Saisie!AL326="NON",0)</f>
        <v>#N/A</v>
      </c>
      <c r="AW326" s="171">
        <f>Saisie!AM326</f>
        <v>0</v>
      </c>
      <c r="AX326" s="68">
        <f>Saisie!AN326</f>
        <v>0</v>
      </c>
      <c r="AY326" s="20">
        <f>Saisie!AO326</f>
        <v>0</v>
      </c>
      <c r="AZ326" s="21">
        <f>Saisie!AP326</f>
        <v>0</v>
      </c>
      <c r="BA326" s="298">
        <f>Saisie!AQ326</f>
        <v>0</v>
      </c>
      <c r="BB326" s="170">
        <f>Saisie!AR326</f>
        <v>0</v>
      </c>
      <c r="BC326" s="174">
        <f>Saisie!AS326</f>
        <v>0</v>
      </c>
      <c r="BD326" s="61">
        <f>Saisie!AT326</f>
        <v>0</v>
      </c>
      <c r="BE326" s="175" t="e">
        <f t="array" ref="BE326">_xlfn.IFS(Saisie!AU326="OUI",1,Saisie!AU326="NON",0)</f>
        <v>#N/A</v>
      </c>
      <c r="BF326" s="267">
        <f>Saisie!AV326</f>
        <v>0</v>
      </c>
      <c r="BG326" s="55">
        <f>Saisie!AW326</f>
        <v>0</v>
      </c>
      <c r="BH326" s="55" t="e">
        <f t="array" ref="BH326">_xlfn.IFS(Saisie!AX326="OUI",1,Saisie!AX326="NON",0)</f>
        <v>#N/A</v>
      </c>
      <c r="BI326" s="62">
        <f>Saisie!AY326</f>
        <v>0</v>
      </c>
      <c r="BJ326" s="55" t="e">
        <f t="array" ref="BJ326">_xlfn.IFS(Saisie!AZ326="OUI",1,Saisie!AZ326="NON",0)</f>
        <v>#N/A</v>
      </c>
      <c r="BK326" s="55" t="e">
        <f t="array" ref="BK326">_xlfn.IFS(Saisie!BA326="OUI",1,Saisie!BA326="NON",0)</f>
        <v>#N/A</v>
      </c>
      <c r="BL326" s="55">
        <f>Saisie!BB326</f>
        <v>0</v>
      </c>
      <c r="BM326" s="49" t="e">
        <f>Saisie!BC326</f>
        <v>#REF!</v>
      </c>
      <c r="BN326" s="175"/>
    </row>
    <row r="327" spans="1:66" s="176" customFormat="1" x14ac:dyDescent="0.45">
      <c r="A327" s="12">
        <v>322</v>
      </c>
      <c r="B327" s="150">
        <f>Saisie!B327</f>
        <v>0</v>
      </c>
      <c r="C327" s="150">
        <f>Saisie!C327</f>
        <v>0</v>
      </c>
      <c r="D327" s="150">
        <f>Saisie!D327</f>
        <v>0</v>
      </c>
      <c r="E327" s="150">
        <f>Saisie!E327</f>
        <v>0</v>
      </c>
      <c r="F327" s="150">
        <f>Saisie!F327</f>
        <v>0</v>
      </c>
      <c r="G327" s="150">
        <f>Saisie!G327</f>
        <v>0</v>
      </c>
      <c r="H327" s="150">
        <f>Saisie!I327</f>
        <v>0</v>
      </c>
      <c r="I327" s="150">
        <f>Saisie!J327</f>
        <v>0</v>
      </c>
      <c r="J327" s="150">
        <f>Saisie!K327</f>
        <v>0</v>
      </c>
      <c r="K327" s="150">
        <f>Saisie!L327</f>
        <v>0</v>
      </c>
      <c r="L327" s="150" t="e">
        <f>Saisie!#REF!</f>
        <v>#REF!</v>
      </c>
      <c r="M327" s="55" t="e">
        <f t="array" ref="M327">_xlfn.IFS(Saisie!M327="OUI",1,Saisie!M327="NON",0)</f>
        <v>#N/A</v>
      </c>
      <c r="N327" s="64" t="e">
        <f>Saisie!#REF!</f>
        <v>#REF!</v>
      </c>
      <c r="O327" s="63" t="e">
        <f>Saisie!#REF!</f>
        <v>#REF!</v>
      </c>
      <c r="P327" s="63">
        <f>Saisie!N327</f>
        <v>0</v>
      </c>
      <c r="Q327" s="63" t="e">
        <f t="array" ref="Q327">_xlfn.IFS(Saisie!#REF!="OUI",1,Saisie!#REF!="NON",0)</f>
        <v>#REF!</v>
      </c>
      <c r="R327" s="63" t="e">
        <f>Saisie!#REF!</f>
        <v>#REF!</v>
      </c>
      <c r="S327" s="65" t="e">
        <f>Saisie!#REF!</f>
        <v>#REF!</v>
      </c>
      <c r="T327" s="63" t="e">
        <f>Saisie!#REF!</f>
        <v>#REF!</v>
      </c>
      <c r="U327" s="63" t="e">
        <f>Saisie!#REF!</f>
        <v>#REF!</v>
      </c>
      <c r="V327" s="63" t="e">
        <f t="array" ref="V327">_xlfn.IFS(Saisie!#REF!="OUI",1,Saisie!#REF!="NON",0)</f>
        <v>#REF!</v>
      </c>
      <c r="W327" s="63" t="e">
        <f t="array" ref="W327">_xlfn.IFS(Saisie!O327="OUI",1,Saisie!O327="NON",0)</f>
        <v>#N/A</v>
      </c>
      <c r="X327" s="63">
        <f>Saisie!P327</f>
        <v>0</v>
      </c>
      <c r="Y327" s="299">
        <f>Saisie!H327</f>
        <v>0</v>
      </c>
      <c r="Z327" s="58" t="e">
        <f>Saisie!#REF!</f>
        <v>#REF!</v>
      </c>
      <c r="AA327" s="299">
        <f>Saisie!Q327</f>
        <v>0</v>
      </c>
      <c r="AB327" s="63" t="e">
        <f t="array" ref="AB327">_xlfn.IFS(Saisie!R327="OUI",1,Saisie!R327="NON",0)</f>
        <v>#N/A</v>
      </c>
      <c r="AC327" s="63">
        <f>Saisie!S327</f>
        <v>0</v>
      </c>
      <c r="AD327" s="63" t="e">
        <f t="array" ref="AD327">_xlfn.IFS(Saisie!T327="OUI",1,Saisie!T327="NON",0)</f>
        <v>#N/A</v>
      </c>
      <c r="AE327" s="171">
        <f>Saisie!U327</f>
        <v>0</v>
      </c>
      <c r="AF327" s="262">
        <v>3</v>
      </c>
      <c r="AG327" s="129">
        <f>Saisie!W327</f>
        <v>0</v>
      </c>
      <c r="AH327" s="20">
        <f>Saisie!X327</f>
        <v>0</v>
      </c>
      <c r="AI327" s="21">
        <f>Saisie!Y327</f>
        <v>0</v>
      </c>
      <c r="AJ327" s="59">
        <f>Saisie!Z327</f>
        <v>0</v>
      </c>
      <c r="AK327" s="20">
        <f>Saisie!AA327</f>
        <v>0</v>
      </c>
      <c r="AL327" s="21">
        <f>Saisie!AB327</f>
        <v>0</v>
      </c>
      <c r="AM327" s="59">
        <f>Saisie!AC327</f>
        <v>0</v>
      </c>
      <c r="AN327" s="20">
        <f>Saisie!AD327</f>
        <v>0</v>
      </c>
      <c r="AO327" s="21">
        <f>Saisie!AE327</f>
        <v>0</v>
      </c>
      <c r="AP327" s="59">
        <f>Saisie!AF327</f>
        <v>0</v>
      </c>
      <c r="AQ327" s="129" t="e">
        <f t="array" ref="AQ327">_xlfn.IFS(Saisie!AG327="OUI",1,Saisie!AG327="NON",0)</f>
        <v>#N/A</v>
      </c>
      <c r="AR327" s="129" t="e">
        <f t="array" ref="AR327">_xlfn.IFS(Saisie!AH327="OUI",1,Saisie!AH327="NON",0)</f>
        <v>#N/A</v>
      </c>
      <c r="AS327" s="171">
        <f>Saisie!AI327</f>
        <v>0</v>
      </c>
      <c r="AT327" s="263" t="e">
        <f t="array" ref="AT327">_xlfn.IFS(Saisie!AJ327="OUI",1,Saisie!AJ327="NON",0)</f>
        <v>#N/A</v>
      </c>
      <c r="AU327" s="173">
        <f>Saisie!AK327</f>
        <v>0</v>
      </c>
      <c r="AV327" s="263" t="e">
        <f t="array" ref="AV327">_xlfn.IFS(Saisie!AL327="OUI",1,Saisie!AL327="NON",0)</f>
        <v>#N/A</v>
      </c>
      <c r="AW327" s="171">
        <f>Saisie!AM327</f>
        <v>0</v>
      </c>
      <c r="AX327" s="68">
        <f>Saisie!AN327</f>
        <v>0</v>
      </c>
      <c r="AY327" s="20">
        <f>Saisie!AO327</f>
        <v>0</v>
      </c>
      <c r="AZ327" s="21">
        <f>Saisie!AP327</f>
        <v>0</v>
      </c>
      <c r="BA327" s="298">
        <f>Saisie!AQ327</f>
        <v>0</v>
      </c>
      <c r="BB327" s="170">
        <f>Saisie!AR327</f>
        <v>0</v>
      </c>
      <c r="BC327" s="174">
        <f>Saisie!AS327</f>
        <v>0</v>
      </c>
      <c r="BD327" s="61">
        <f>Saisie!AT327</f>
        <v>0</v>
      </c>
      <c r="BE327" s="175" t="e">
        <f t="array" ref="BE327">_xlfn.IFS(Saisie!AU327="OUI",1,Saisie!AU327="NON",0)</f>
        <v>#N/A</v>
      </c>
      <c r="BF327" s="267">
        <f>Saisie!AV327</f>
        <v>0</v>
      </c>
      <c r="BG327" s="55">
        <f>Saisie!AW327</f>
        <v>0</v>
      </c>
      <c r="BH327" s="55" t="e">
        <f t="array" ref="BH327">_xlfn.IFS(Saisie!AX327="OUI",1,Saisie!AX327="NON",0)</f>
        <v>#N/A</v>
      </c>
      <c r="BI327" s="62">
        <f>Saisie!AY327</f>
        <v>0</v>
      </c>
      <c r="BJ327" s="55" t="e">
        <f t="array" ref="BJ327">_xlfn.IFS(Saisie!AZ327="OUI",1,Saisie!AZ327="NON",0)</f>
        <v>#N/A</v>
      </c>
      <c r="BK327" s="55" t="e">
        <f t="array" ref="BK327">_xlfn.IFS(Saisie!BA327="OUI",1,Saisie!BA327="NON",0)</f>
        <v>#N/A</v>
      </c>
      <c r="BL327" s="55">
        <f>Saisie!BB327</f>
        <v>0</v>
      </c>
      <c r="BM327" s="49" t="e">
        <f>Saisie!BC327</f>
        <v>#REF!</v>
      </c>
      <c r="BN327" s="175"/>
    </row>
    <row r="328" spans="1:66" s="176" customFormat="1" x14ac:dyDescent="0.45">
      <c r="A328" s="13">
        <v>323</v>
      </c>
      <c r="B328" s="150">
        <f>Saisie!B328</f>
        <v>0</v>
      </c>
      <c r="C328" s="150">
        <f>Saisie!C328</f>
        <v>0</v>
      </c>
      <c r="D328" s="150">
        <f>Saisie!D328</f>
        <v>0</v>
      </c>
      <c r="E328" s="150">
        <f>Saisie!E328</f>
        <v>0</v>
      </c>
      <c r="F328" s="150">
        <f>Saisie!F328</f>
        <v>0</v>
      </c>
      <c r="G328" s="150">
        <f>Saisie!G328</f>
        <v>0</v>
      </c>
      <c r="H328" s="150">
        <f>Saisie!I328</f>
        <v>0</v>
      </c>
      <c r="I328" s="150">
        <f>Saisie!J328</f>
        <v>0</v>
      </c>
      <c r="J328" s="150">
        <f>Saisie!K328</f>
        <v>0</v>
      </c>
      <c r="K328" s="150">
        <f>Saisie!L328</f>
        <v>0</v>
      </c>
      <c r="L328" s="150" t="e">
        <f>Saisie!#REF!</f>
        <v>#REF!</v>
      </c>
      <c r="M328" s="55" t="e">
        <f t="array" ref="M328">_xlfn.IFS(Saisie!M328="OUI",1,Saisie!M328="NON",0)</f>
        <v>#N/A</v>
      </c>
      <c r="N328" s="64" t="e">
        <f>Saisie!#REF!</f>
        <v>#REF!</v>
      </c>
      <c r="O328" s="63" t="e">
        <f>Saisie!#REF!</f>
        <v>#REF!</v>
      </c>
      <c r="P328" s="63">
        <f>Saisie!N328</f>
        <v>0</v>
      </c>
      <c r="Q328" s="63" t="e">
        <f t="array" ref="Q328">_xlfn.IFS(Saisie!#REF!="OUI",1,Saisie!#REF!="NON",0)</f>
        <v>#REF!</v>
      </c>
      <c r="R328" s="63" t="e">
        <f>Saisie!#REF!</f>
        <v>#REF!</v>
      </c>
      <c r="S328" s="65" t="e">
        <f>Saisie!#REF!</f>
        <v>#REF!</v>
      </c>
      <c r="T328" s="63" t="e">
        <f>Saisie!#REF!</f>
        <v>#REF!</v>
      </c>
      <c r="U328" s="63" t="e">
        <f>Saisie!#REF!</f>
        <v>#REF!</v>
      </c>
      <c r="V328" s="63" t="e">
        <f t="array" ref="V328">_xlfn.IFS(Saisie!#REF!="OUI",1,Saisie!#REF!="NON",0)</f>
        <v>#REF!</v>
      </c>
      <c r="W328" s="63" t="e">
        <f t="array" ref="W328">_xlfn.IFS(Saisie!O328="OUI",1,Saisie!O328="NON",0)</f>
        <v>#N/A</v>
      </c>
      <c r="X328" s="63">
        <f>Saisie!P328</f>
        <v>0</v>
      </c>
      <c r="Y328" s="299">
        <f>Saisie!H328</f>
        <v>0</v>
      </c>
      <c r="Z328" s="58" t="e">
        <f>Saisie!#REF!</f>
        <v>#REF!</v>
      </c>
      <c r="AA328" s="299">
        <f>Saisie!Q328</f>
        <v>0</v>
      </c>
      <c r="AB328" s="63" t="e">
        <f t="array" ref="AB328">_xlfn.IFS(Saisie!R328="OUI",1,Saisie!R328="NON",0)</f>
        <v>#N/A</v>
      </c>
      <c r="AC328" s="63">
        <f>Saisie!S328</f>
        <v>0</v>
      </c>
      <c r="AD328" s="63" t="e">
        <f t="array" ref="AD328">_xlfn.IFS(Saisie!T328="OUI",1,Saisie!T328="NON",0)</f>
        <v>#N/A</v>
      </c>
      <c r="AE328" s="171">
        <f>Saisie!U328</f>
        <v>0</v>
      </c>
      <c r="AF328" s="262">
        <v>3</v>
      </c>
      <c r="AG328" s="129">
        <f>Saisie!W328</f>
        <v>0</v>
      </c>
      <c r="AH328" s="20">
        <f>Saisie!X328</f>
        <v>0</v>
      </c>
      <c r="AI328" s="21">
        <f>Saisie!Y328</f>
        <v>0</v>
      </c>
      <c r="AJ328" s="59">
        <f>Saisie!Z328</f>
        <v>0</v>
      </c>
      <c r="AK328" s="20">
        <f>Saisie!AA328</f>
        <v>0</v>
      </c>
      <c r="AL328" s="21">
        <f>Saisie!AB328</f>
        <v>0</v>
      </c>
      <c r="AM328" s="59">
        <f>Saisie!AC328</f>
        <v>0</v>
      </c>
      <c r="AN328" s="20">
        <f>Saisie!AD328</f>
        <v>0</v>
      </c>
      <c r="AO328" s="21">
        <f>Saisie!AE328</f>
        <v>0</v>
      </c>
      <c r="AP328" s="59">
        <f>Saisie!AF328</f>
        <v>0</v>
      </c>
      <c r="AQ328" s="129" t="e">
        <f t="array" ref="AQ328">_xlfn.IFS(Saisie!AG328="OUI",1,Saisie!AG328="NON",0)</f>
        <v>#N/A</v>
      </c>
      <c r="AR328" s="129" t="e">
        <f t="array" ref="AR328">_xlfn.IFS(Saisie!AH328="OUI",1,Saisie!AH328="NON",0)</f>
        <v>#N/A</v>
      </c>
      <c r="AS328" s="171">
        <f>Saisie!AI328</f>
        <v>0</v>
      </c>
      <c r="AT328" s="263" t="e">
        <f t="array" ref="AT328">_xlfn.IFS(Saisie!AJ328="OUI",1,Saisie!AJ328="NON",0)</f>
        <v>#N/A</v>
      </c>
      <c r="AU328" s="173">
        <f>Saisie!AK328</f>
        <v>0</v>
      </c>
      <c r="AV328" s="263" t="e">
        <f t="array" ref="AV328">_xlfn.IFS(Saisie!AL328="OUI",1,Saisie!AL328="NON",0)</f>
        <v>#N/A</v>
      </c>
      <c r="AW328" s="171">
        <f>Saisie!AM328</f>
        <v>0</v>
      </c>
      <c r="AX328" s="68">
        <f>Saisie!AN328</f>
        <v>0</v>
      </c>
      <c r="AY328" s="20">
        <f>Saisie!AO328</f>
        <v>0</v>
      </c>
      <c r="AZ328" s="21">
        <f>Saisie!AP328</f>
        <v>0</v>
      </c>
      <c r="BA328" s="298">
        <f>Saisie!AQ328</f>
        <v>0</v>
      </c>
      <c r="BB328" s="170">
        <f>Saisie!AR328</f>
        <v>0</v>
      </c>
      <c r="BC328" s="174">
        <f>Saisie!AS328</f>
        <v>0</v>
      </c>
      <c r="BD328" s="61">
        <f>Saisie!AT328</f>
        <v>0</v>
      </c>
      <c r="BE328" s="175" t="e">
        <f t="array" ref="BE328">_xlfn.IFS(Saisie!AU328="OUI",1,Saisie!AU328="NON",0)</f>
        <v>#N/A</v>
      </c>
      <c r="BF328" s="267">
        <f>Saisie!AV328</f>
        <v>0</v>
      </c>
      <c r="BG328" s="55">
        <f>Saisie!AW328</f>
        <v>0</v>
      </c>
      <c r="BH328" s="55" t="e">
        <f t="array" ref="BH328">_xlfn.IFS(Saisie!AX328="OUI",1,Saisie!AX328="NON",0)</f>
        <v>#N/A</v>
      </c>
      <c r="BI328" s="62">
        <f>Saisie!AY328</f>
        <v>0</v>
      </c>
      <c r="BJ328" s="55" t="e">
        <f t="array" ref="BJ328">_xlfn.IFS(Saisie!AZ328="OUI",1,Saisie!AZ328="NON",0)</f>
        <v>#N/A</v>
      </c>
      <c r="BK328" s="55" t="e">
        <f t="array" ref="BK328">_xlfn.IFS(Saisie!BA328="OUI",1,Saisie!BA328="NON",0)</f>
        <v>#N/A</v>
      </c>
      <c r="BL328" s="55">
        <f>Saisie!BB328</f>
        <v>0</v>
      </c>
      <c r="BM328" s="49" t="e">
        <f>Saisie!BC328</f>
        <v>#REF!</v>
      </c>
      <c r="BN328" s="175"/>
    </row>
    <row r="329" spans="1:66" s="176" customFormat="1" x14ac:dyDescent="0.45">
      <c r="A329" s="13">
        <v>324</v>
      </c>
      <c r="B329" s="150">
        <f>Saisie!B329</f>
        <v>0</v>
      </c>
      <c r="C329" s="150">
        <f>Saisie!C329</f>
        <v>0</v>
      </c>
      <c r="D329" s="150">
        <f>Saisie!D329</f>
        <v>0</v>
      </c>
      <c r="E329" s="150">
        <f>Saisie!E329</f>
        <v>0</v>
      </c>
      <c r="F329" s="150">
        <f>Saisie!F329</f>
        <v>0</v>
      </c>
      <c r="G329" s="150">
        <f>Saisie!G329</f>
        <v>0</v>
      </c>
      <c r="H329" s="150">
        <f>Saisie!I329</f>
        <v>0</v>
      </c>
      <c r="I329" s="150">
        <f>Saisie!J329</f>
        <v>0</v>
      </c>
      <c r="J329" s="150">
        <f>Saisie!K329</f>
        <v>0</v>
      </c>
      <c r="K329" s="150">
        <f>Saisie!L329</f>
        <v>0</v>
      </c>
      <c r="L329" s="150" t="e">
        <f>Saisie!#REF!</f>
        <v>#REF!</v>
      </c>
      <c r="M329" s="55" t="e">
        <f t="array" ref="M329">_xlfn.IFS(Saisie!M329="OUI",1,Saisie!M329="NON",0)</f>
        <v>#N/A</v>
      </c>
      <c r="N329" s="64" t="e">
        <f>Saisie!#REF!</f>
        <v>#REF!</v>
      </c>
      <c r="O329" s="63" t="e">
        <f>Saisie!#REF!</f>
        <v>#REF!</v>
      </c>
      <c r="P329" s="63">
        <f>Saisie!N329</f>
        <v>0</v>
      </c>
      <c r="Q329" s="63" t="e">
        <f t="array" ref="Q329">_xlfn.IFS(Saisie!#REF!="OUI",1,Saisie!#REF!="NON",0)</f>
        <v>#REF!</v>
      </c>
      <c r="R329" s="63" t="e">
        <f>Saisie!#REF!</f>
        <v>#REF!</v>
      </c>
      <c r="S329" s="65" t="e">
        <f>Saisie!#REF!</f>
        <v>#REF!</v>
      </c>
      <c r="T329" s="63" t="e">
        <f>Saisie!#REF!</f>
        <v>#REF!</v>
      </c>
      <c r="U329" s="63" t="e">
        <f>Saisie!#REF!</f>
        <v>#REF!</v>
      </c>
      <c r="V329" s="63" t="e">
        <f t="array" ref="V329">_xlfn.IFS(Saisie!#REF!="OUI",1,Saisie!#REF!="NON",0)</f>
        <v>#REF!</v>
      </c>
      <c r="W329" s="63" t="e">
        <f t="array" ref="W329">_xlfn.IFS(Saisie!O329="OUI",1,Saisie!O329="NON",0)</f>
        <v>#N/A</v>
      </c>
      <c r="X329" s="63">
        <f>Saisie!P329</f>
        <v>0</v>
      </c>
      <c r="Y329" s="299">
        <f>Saisie!H329</f>
        <v>0</v>
      </c>
      <c r="Z329" s="58" t="e">
        <f>Saisie!#REF!</f>
        <v>#REF!</v>
      </c>
      <c r="AA329" s="299">
        <f>Saisie!Q329</f>
        <v>0</v>
      </c>
      <c r="AB329" s="63" t="e">
        <f t="array" ref="AB329">_xlfn.IFS(Saisie!R329="OUI",1,Saisie!R329="NON",0)</f>
        <v>#N/A</v>
      </c>
      <c r="AC329" s="63">
        <f>Saisie!S329</f>
        <v>0</v>
      </c>
      <c r="AD329" s="63" t="e">
        <f t="array" ref="AD329">_xlfn.IFS(Saisie!T329="OUI",1,Saisie!T329="NON",0)</f>
        <v>#N/A</v>
      </c>
      <c r="AE329" s="171">
        <f>Saisie!U329</f>
        <v>0</v>
      </c>
      <c r="AF329" s="262">
        <v>3</v>
      </c>
      <c r="AG329" s="129">
        <f>Saisie!W329</f>
        <v>0</v>
      </c>
      <c r="AH329" s="20">
        <f>Saisie!X329</f>
        <v>0</v>
      </c>
      <c r="AI329" s="21">
        <f>Saisie!Y329</f>
        <v>0</v>
      </c>
      <c r="AJ329" s="59">
        <f>Saisie!Z329</f>
        <v>0</v>
      </c>
      <c r="AK329" s="20">
        <f>Saisie!AA329</f>
        <v>0</v>
      </c>
      <c r="AL329" s="21">
        <f>Saisie!AB329</f>
        <v>0</v>
      </c>
      <c r="AM329" s="59">
        <f>Saisie!AC329</f>
        <v>0</v>
      </c>
      <c r="AN329" s="20">
        <f>Saisie!AD329</f>
        <v>0</v>
      </c>
      <c r="AO329" s="21">
        <f>Saisie!AE329</f>
        <v>0</v>
      </c>
      <c r="AP329" s="59">
        <f>Saisie!AF329</f>
        <v>0</v>
      </c>
      <c r="AQ329" s="129" t="e">
        <f t="array" ref="AQ329">_xlfn.IFS(Saisie!AG329="OUI",1,Saisie!AG329="NON",0)</f>
        <v>#N/A</v>
      </c>
      <c r="AR329" s="129" t="e">
        <f t="array" ref="AR329">_xlfn.IFS(Saisie!AH329="OUI",1,Saisie!AH329="NON",0)</f>
        <v>#N/A</v>
      </c>
      <c r="AS329" s="171">
        <f>Saisie!AI329</f>
        <v>0</v>
      </c>
      <c r="AT329" s="263" t="e">
        <f t="array" ref="AT329">_xlfn.IFS(Saisie!AJ329="OUI",1,Saisie!AJ329="NON",0)</f>
        <v>#N/A</v>
      </c>
      <c r="AU329" s="173">
        <f>Saisie!AK329</f>
        <v>0</v>
      </c>
      <c r="AV329" s="263" t="e">
        <f t="array" ref="AV329">_xlfn.IFS(Saisie!AL329="OUI",1,Saisie!AL329="NON",0)</f>
        <v>#N/A</v>
      </c>
      <c r="AW329" s="171">
        <f>Saisie!AM329</f>
        <v>0</v>
      </c>
      <c r="AX329" s="68">
        <f>Saisie!AN329</f>
        <v>0</v>
      </c>
      <c r="AY329" s="20">
        <f>Saisie!AO329</f>
        <v>0</v>
      </c>
      <c r="AZ329" s="21">
        <f>Saisie!AP329</f>
        <v>0</v>
      </c>
      <c r="BA329" s="298">
        <f>Saisie!AQ329</f>
        <v>0</v>
      </c>
      <c r="BB329" s="170">
        <f>Saisie!AR329</f>
        <v>0</v>
      </c>
      <c r="BC329" s="174">
        <f>Saisie!AS329</f>
        <v>0</v>
      </c>
      <c r="BD329" s="61">
        <f>Saisie!AT329</f>
        <v>0</v>
      </c>
      <c r="BE329" s="175" t="e">
        <f t="array" ref="BE329">_xlfn.IFS(Saisie!AU329="OUI",1,Saisie!AU329="NON",0)</f>
        <v>#N/A</v>
      </c>
      <c r="BF329" s="267">
        <f>Saisie!AV329</f>
        <v>0</v>
      </c>
      <c r="BG329" s="55">
        <f>Saisie!AW329</f>
        <v>0</v>
      </c>
      <c r="BH329" s="55" t="e">
        <f t="array" ref="BH329">_xlfn.IFS(Saisie!AX329="OUI",1,Saisie!AX329="NON",0)</f>
        <v>#N/A</v>
      </c>
      <c r="BI329" s="62">
        <f>Saisie!AY329</f>
        <v>0</v>
      </c>
      <c r="BJ329" s="55" t="e">
        <f t="array" ref="BJ329">_xlfn.IFS(Saisie!AZ329="OUI",1,Saisie!AZ329="NON",0)</f>
        <v>#N/A</v>
      </c>
      <c r="BK329" s="55" t="e">
        <f t="array" ref="BK329">_xlfn.IFS(Saisie!BA329="OUI",1,Saisie!BA329="NON",0)</f>
        <v>#N/A</v>
      </c>
      <c r="BL329" s="55">
        <f>Saisie!BB329</f>
        <v>0</v>
      </c>
      <c r="BM329" s="49" t="e">
        <f>Saisie!BC329</f>
        <v>#REF!</v>
      </c>
      <c r="BN329" s="175"/>
    </row>
    <row r="330" spans="1:66" s="176" customFormat="1" x14ac:dyDescent="0.45">
      <c r="A330" s="12">
        <v>325</v>
      </c>
      <c r="B330" s="150">
        <f>Saisie!B330</f>
        <v>0</v>
      </c>
      <c r="C330" s="150">
        <f>Saisie!C330</f>
        <v>0</v>
      </c>
      <c r="D330" s="150">
        <f>Saisie!D330</f>
        <v>0</v>
      </c>
      <c r="E330" s="150">
        <f>Saisie!E330</f>
        <v>0</v>
      </c>
      <c r="F330" s="150">
        <f>Saisie!F330</f>
        <v>0</v>
      </c>
      <c r="G330" s="150">
        <f>Saisie!G330</f>
        <v>0</v>
      </c>
      <c r="H330" s="150">
        <f>Saisie!I330</f>
        <v>0</v>
      </c>
      <c r="I330" s="150">
        <f>Saisie!J330</f>
        <v>0</v>
      </c>
      <c r="J330" s="150">
        <f>Saisie!K330</f>
        <v>0</v>
      </c>
      <c r="K330" s="150">
        <f>Saisie!L330</f>
        <v>0</v>
      </c>
      <c r="L330" s="150" t="e">
        <f>Saisie!#REF!</f>
        <v>#REF!</v>
      </c>
      <c r="M330" s="55" t="e">
        <f t="array" ref="M330">_xlfn.IFS(Saisie!M330="OUI",1,Saisie!M330="NON",0)</f>
        <v>#N/A</v>
      </c>
      <c r="N330" s="64" t="e">
        <f>Saisie!#REF!</f>
        <v>#REF!</v>
      </c>
      <c r="O330" s="63" t="e">
        <f>Saisie!#REF!</f>
        <v>#REF!</v>
      </c>
      <c r="P330" s="63">
        <f>Saisie!N330</f>
        <v>0</v>
      </c>
      <c r="Q330" s="63" t="e">
        <f t="array" ref="Q330">_xlfn.IFS(Saisie!#REF!="OUI",1,Saisie!#REF!="NON",0)</f>
        <v>#REF!</v>
      </c>
      <c r="R330" s="63" t="e">
        <f>Saisie!#REF!</f>
        <v>#REF!</v>
      </c>
      <c r="S330" s="65" t="e">
        <f>Saisie!#REF!</f>
        <v>#REF!</v>
      </c>
      <c r="T330" s="63" t="e">
        <f>Saisie!#REF!</f>
        <v>#REF!</v>
      </c>
      <c r="U330" s="63" t="e">
        <f>Saisie!#REF!</f>
        <v>#REF!</v>
      </c>
      <c r="V330" s="63" t="e">
        <f t="array" ref="V330">_xlfn.IFS(Saisie!#REF!="OUI",1,Saisie!#REF!="NON",0)</f>
        <v>#REF!</v>
      </c>
      <c r="W330" s="63" t="e">
        <f t="array" ref="W330">_xlfn.IFS(Saisie!O330="OUI",1,Saisie!O330="NON",0)</f>
        <v>#N/A</v>
      </c>
      <c r="X330" s="63">
        <f>Saisie!P330</f>
        <v>0</v>
      </c>
      <c r="Y330" s="299">
        <f>Saisie!H330</f>
        <v>0</v>
      </c>
      <c r="Z330" s="58" t="e">
        <f>Saisie!#REF!</f>
        <v>#REF!</v>
      </c>
      <c r="AA330" s="299">
        <f>Saisie!Q330</f>
        <v>0</v>
      </c>
      <c r="AB330" s="63" t="e">
        <f t="array" ref="AB330">_xlfn.IFS(Saisie!R330="OUI",1,Saisie!R330="NON",0)</f>
        <v>#N/A</v>
      </c>
      <c r="AC330" s="63">
        <f>Saisie!S330</f>
        <v>0</v>
      </c>
      <c r="AD330" s="63" t="e">
        <f t="array" ref="AD330">_xlfn.IFS(Saisie!T330="OUI",1,Saisie!T330="NON",0)</f>
        <v>#N/A</v>
      </c>
      <c r="AE330" s="171">
        <f>Saisie!U330</f>
        <v>0</v>
      </c>
      <c r="AF330" s="262">
        <v>3</v>
      </c>
      <c r="AG330" s="129">
        <f>Saisie!W330</f>
        <v>0</v>
      </c>
      <c r="AH330" s="20">
        <f>Saisie!X330</f>
        <v>0</v>
      </c>
      <c r="AI330" s="21">
        <f>Saisie!Y330</f>
        <v>0</v>
      </c>
      <c r="AJ330" s="59">
        <f>Saisie!Z330</f>
        <v>0</v>
      </c>
      <c r="AK330" s="20">
        <f>Saisie!AA330</f>
        <v>0</v>
      </c>
      <c r="AL330" s="21">
        <f>Saisie!AB330</f>
        <v>0</v>
      </c>
      <c r="AM330" s="59">
        <f>Saisie!AC330</f>
        <v>0</v>
      </c>
      <c r="AN330" s="20">
        <f>Saisie!AD330</f>
        <v>0</v>
      </c>
      <c r="AO330" s="21">
        <f>Saisie!AE330</f>
        <v>0</v>
      </c>
      <c r="AP330" s="59">
        <f>Saisie!AF330</f>
        <v>0</v>
      </c>
      <c r="AQ330" s="129" t="e">
        <f t="array" ref="AQ330">_xlfn.IFS(Saisie!AG330="OUI",1,Saisie!AG330="NON",0)</f>
        <v>#N/A</v>
      </c>
      <c r="AR330" s="129" t="e">
        <f t="array" ref="AR330">_xlfn.IFS(Saisie!AH330="OUI",1,Saisie!AH330="NON",0)</f>
        <v>#N/A</v>
      </c>
      <c r="AS330" s="171">
        <f>Saisie!AI330</f>
        <v>0</v>
      </c>
      <c r="AT330" s="263" t="e">
        <f t="array" ref="AT330">_xlfn.IFS(Saisie!AJ330="OUI",1,Saisie!AJ330="NON",0)</f>
        <v>#N/A</v>
      </c>
      <c r="AU330" s="173">
        <f>Saisie!AK330</f>
        <v>0</v>
      </c>
      <c r="AV330" s="263" t="e">
        <f t="array" ref="AV330">_xlfn.IFS(Saisie!AL330="OUI",1,Saisie!AL330="NON",0)</f>
        <v>#N/A</v>
      </c>
      <c r="AW330" s="171">
        <f>Saisie!AM330</f>
        <v>0</v>
      </c>
      <c r="AX330" s="68">
        <f>Saisie!AN330</f>
        <v>0</v>
      </c>
      <c r="AY330" s="20">
        <f>Saisie!AO330</f>
        <v>0</v>
      </c>
      <c r="AZ330" s="21">
        <f>Saisie!AP330</f>
        <v>0</v>
      </c>
      <c r="BA330" s="298">
        <f>Saisie!AQ330</f>
        <v>0</v>
      </c>
      <c r="BB330" s="170">
        <f>Saisie!AR330</f>
        <v>0</v>
      </c>
      <c r="BC330" s="174">
        <f>Saisie!AS330</f>
        <v>0</v>
      </c>
      <c r="BD330" s="61">
        <f>Saisie!AT330</f>
        <v>0</v>
      </c>
      <c r="BE330" s="175" t="e">
        <f t="array" ref="BE330">_xlfn.IFS(Saisie!AU330="OUI",1,Saisie!AU330="NON",0)</f>
        <v>#N/A</v>
      </c>
      <c r="BF330" s="267">
        <f>Saisie!AV330</f>
        <v>0</v>
      </c>
      <c r="BG330" s="55">
        <f>Saisie!AW330</f>
        <v>0</v>
      </c>
      <c r="BH330" s="55" t="e">
        <f t="array" ref="BH330">_xlfn.IFS(Saisie!AX330="OUI",1,Saisie!AX330="NON",0)</f>
        <v>#N/A</v>
      </c>
      <c r="BI330" s="62">
        <f>Saisie!AY330</f>
        <v>0</v>
      </c>
      <c r="BJ330" s="55" t="e">
        <f t="array" ref="BJ330">_xlfn.IFS(Saisie!AZ330="OUI",1,Saisie!AZ330="NON",0)</f>
        <v>#N/A</v>
      </c>
      <c r="BK330" s="55" t="e">
        <f t="array" ref="BK330">_xlfn.IFS(Saisie!BA330="OUI",1,Saisie!BA330="NON",0)</f>
        <v>#N/A</v>
      </c>
      <c r="BL330" s="55">
        <f>Saisie!BB330</f>
        <v>0</v>
      </c>
      <c r="BM330" s="49" t="e">
        <f>Saisie!BC330</f>
        <v>#REF!</v>
      </c>
      <c r="BN330" s="175"/>
    </row>
    <row r="331" spans="1:66" s="176" customFormat="1" x14ac:dyDescent="0.45">
      <c r="A331" s="13">
        <v>326</v>
      </c>
      <c r="B331" s="150">
        <f>Saisie!B331</f>
        <v>0</v>
      </c>
      <c r="C331" s="150">
        <f>Saisie!C331</f>
        <v>0</v>
      </c>
      <c r="D331" s="150">
        <f>Saisie!D331</f>
        <v>0</v>
      </c>
      <c r="E331" s="150">
        <f>Saisie!E331</f>
        <v>0</v>
      </c>
      <c r="F331" s="150">
        <f>Saisie!F331</f>
        <v>0</v>
      </c>
      <c r="G331" s="150">
        <f>Saisie!G331</f>
        <v>0</v>
      </c>
      <c r="H331" s="150">
        <f>Saisie!I331</f>
        <v>0</v>
      </c>
      <c r="I331" s="150">
        <f>Saisie!J331</f>
        <v>0</v>
      </c>
      <c r="J331" s="150">
        <f>Saisie!K331</f>
        <v>0</v>
      </c>
      <c r="K331" s="150">
        <f>Saisie!L331</f>
        <v>0</v>
      </c>
      <c r="L331" s="150" t="e">
        <f>Saisie!#REF!</f>
        <v>#REF!</v>
      </c>
      <c r="M331" s="55" t="e">
        <f t="array" ref="M331">_xlfn.IFS(Saisie!M331="OUI",1,Saisie!M331="NON",0)</f>
        <v>#N/A</v>
      </c>
      <c r="N331" s="64" t="e">
        <f>Saisie!#REF!</f>
        <v>#REF!</v>
      </c>
      <c r="O331" s="63" t="e">
        <f>Saisie!#REF!</f>
        <v>#REF!</v>
      </c>
      <c r="P331" s="63">
        <f>Saisie!N331</f>
        <v>0</v>
      </c>
      <c r="Q331" s="63" t="e">
        <f t="array" ref="Q331">_xlfn.IFS(Saisie!#REF!="OUI",1,Saisie!#REF!="NON",0)</f>
        <v>#REF!</v>
      </c>
      <c r="R331" s="63" t="e">
        <f>Saisie!#REF!</f>
        <v>#REF!</v>
      </c>
      <c r="S331" s="65" t="e">
        <f>Saisie!#REF!</f>
        <v>#REF!</v>
      </c>
      <c r="T331" s="63" t="e">
        <f>Saisie!#REF!</f>
        <v>#REF!</v>
      </c>
      <c r="U331" s="63" t="e">
        <f>Saisie!#REF!</f>
        <v>#REF!</v>
      </c>
      <c r="V331" s="63" t="e">
        <f t="array" ref="V331">_xlfn.IFS(Saisie!#REF!="OUI",1,Saisie!#REF!="NON",0)</f>
        <v>#REF!</v>
      </c>
      <c r="W331" s="63" t="e">
        <f t="array" ref="W331">_xlfn.IFS(Saisie!O331="OUI",1,Saisie!O331="NON",0)</f>
        <v>#N/A</v>
      </c>
      <c r="X331" s="63">
        <f>Saisie!P331</f>
        <v>0</v>
      </c>
      <c r="Y331" s="299">
        <f>Saisie!H331</f>
        <v>0</v>
      </c>
      <c r="Z331" s="58" t="e">
        <f>Saisie!#REF!</f>
        <v>#REF!</v>
      </c>
      <c r="AA331" s="299">
        <f>Saisie!Q331</f>
        <v>0</v>
      </c>
      <c r="AB331" s="63" t="e">
        <f t="array" ref="AB331">_xlfn.IFS(Saisie!R331="OUI",1,Saisie!R331="NON",0)</f>
        <v>#N/A</v>
      </c>
      <c r="AC331" s="63">
        <f>Saisie!S331</f>
        <v>0</v>
      </c>
      <c r="AD331" s="63" t="e">
        <f t="array" ref="AD331">_xlfn.IFS(Saisie!T331="OUI",1,Saisie!T331="NON",0)</f>
        <v>#N/A</v>
      </c>
      <c r="AE331" s="171">
        <f>Saisie!U331</f>
        <v>0</v>
      </c>
      <c r="AF331" s="262">
        <v>3</v>
      </c>
      <c r="AG331" s="129">
        <f>Saisie!W331</f>
        <v>0</v>
      </c>
      <c r="AH331" s="20">
        <f>Saisie!X331</f>
        <v>0</v>
      </c>
      <c r="AI331" s="21">
        <f>Saisie!Y331</f>
        <v>0</v>
      </c>
      <c r="AJ331" s="59">
        <f>Saisie!Z331</f>
        <v>0</v>
      </c>
      <c r="AK331" s="20">
        <f>Saisie!AA331</f>
        <v>0</v>
      </c>
      <c r="AL331" s="21">
        <f>Saisie!AB331</f>
        <v>0</v>
      </c>
      <c r="AM331" s="59">
        <f>Saisie!AC331</f>
        <v>0</v>
      </c>
      <c r="AN331" s="20">
        <f>Saisie!AD331</f>
        <v>0</v>
      </c>
      <c r="AO331" s="21">
        <f>Saisie!AE331</f>
        <v>0</v>
      </c>
      <c r="AP331" s="59">
        <f>Saisie!AF331</f>
        <v>0</v>
      </c>
      <c r="AQ331" s="129" t="e">
        <f t="array" ref="AQ331">_xlfn.IFS(Saisie!AG331="OUI",1,Saisie!AG331="NON",0)</f>
        <v>#N/A</v>
      </c>
      <c r="AR331" s="129" t="e">
        <f t="array" ref="AR331">_xlfn.IFS(Saisie!AH331="OUI",1,Saisie!AH331="NON",0)</f>
        <v>#N/A</v>
      </c>
      <c r="AS331" s="171">
        <f>Saisie!AI331</f>
        <v>0</v>
      </c>
      <c r="AT331" s="263" t="e">
        <f t="array" ref="AT331">_xlfn.IFS(Saisie!AJ331="OUI",1,Saisie!AJ331="NON",0)</f>
        <v>#N/A</v>
      </c>
      <c r="AU331" s="173">
        <f>Saisie!AK331</f>
        <v>0</v>
      </c>
      <c r="AV331" s="263" t="e">
        <f t="array" ref="AV331">_xlfn.IFS(Saisie!AL331="OUI",1,Saisie!AL331="NON",0)</f>
        <v>#N/A</v>
      </c>
      <c r="AW331" s="171">
        <f>Saisie!AM331</f>
        <v>0</v>
      </c>
      <c r="AX331" s="68">
        <f>Saisie!AN331</f>
        <v>0</v>
      </c>
      <c r="AY331" s="20">
        <f>Saisie!AO331</f>
        <v>0</v>
      </c>
      <c r="AZ331" s="21">
        <f>Saisie!AP331</f>
        <v>0</v>
      </c>
      <c r="BA331" s="298">
        <f>Saisie!AQ331</f>
        <v>0</v>
      </c>
      <c r="BB331" s="170">
        <f>Saisie!AR331</f>
        <v>0</v>
      </c>
      <c r="BC331" s="174">
        <f>Saisie!AS331</f>
        <v>0</v>
      </c>
      <c r="BD331" s="61">
        <f>Saisie!AT331</f>
        <v>0</v>
      </c>
      <c r="BE331" s="175" t="e">
        <f t="array" ref="BE331">_xlfn.IFS(Saisie!AU331="OUI",1,Saisie!AU331="NON",0)</f>
        <v>#N/A</v>
      </c>
      <c r="BF331" s="267">
        <f>Saisie!AV331</f>
        <v>0</v>
      </c>
      <c r="BG331" s="55">
        <f>Saisie!AW331</f>
        <v>0</v>
      </c>
      <c r="BH331" s="55" t="e">
        <f t="array" ref="BH331">_xlfn.IFS(Saisie!AX331="OUI",1,Saisie!AX331="NON",0)</f>
        <v>#N/A</v>
      </c>
      <c r="BI331" s="62">
        <f>Saisie!AY331</f>
        <v>0</v>
      </c>
      <c r="BJ331" s="55" t="e">
        <f t="array" ref="BJ331">_xlfn.IFS(Saisie!AZ331="OUI",1,Saisie!AZ331="NON",0)</f>
        <v>#N/A</v>
      </c>
      <c r="BK331" s="55" t="e">
        <f t="array" ref="BK331">_xlfn.IFS(Saisie!BA331="OUI",1,Saisie!BA331="NON",0)</f>
        <v>#N/A</v>
      </c>
      <c r="BL331" s="55">
        <f>Saisie!BB331</f>
        <v>0</v>
      </c>
      <c r="BM331" s="49" t="e">
        <f>Saisie!BC331</f>
        <v>#REF!</v>
      </c>
      <c r="BN331" s="175"/>
    </row>
    <row r="332" spans="1:66" s="176" customFormat="1" x14ac:dyDescent="0.45">
      <c r="A332" s="13">
        <v>327</v>
      </c>
      <c r="B332" s="150">
        <f>Saisie!B332</f>
        <v>0</v>
      </c>
      <c r="C332" s="150">
        <f>Saisie!C332</f>
        <v>0</v>
      </c>
      <c r="D332" s="150">
        <f>Saisie!D332</f>
        <v>0</v>
      </c>
      <c r="E332" s="150">
        <f>Saisie!E332</f>
        <v>0</v>
      </c>
      <c r="F332" s="150">
        <f>Saisie!F332</f>
        <v>0</v>
      </c>
      <c r="G332" s="150">
        <f>Saisie!G332</f>
        <v>0</v>
      </c>
      <c r="H332" s="150">
        <f>Saisie!I332</f>
        <v>0</v>
      </c>
      <c r="I332" s="150">
        <f>Saisie!J332</f>
        <v>0</v>
      </c>
      <c r="J332" s="150">
        <f>Saisie!K332</f>
        <v>0</v>
      </c>
      <c r="K332" s="150">
        <f>Saisie!L332</f>
        <v>0</v>
      </c>
      <c r="L332" s="150" t="e">
        <f>Saisie!#REF!</f>
        <v>#REF!</v>
      </c>
      <c r="M332" s="55" t="e">
        <f t="array" ref="M332">_xlfn.IFS(Saisie!M332="OUI",1,Saisie!M332="NON",0)</f>
        <v>#N/A</v>
      </c>
      <c r="N332" s="64" t="e">
        <f>Saisie!#REF!</f>
        <v>#REF!</v>
      </c>
      <c r="O332" s="63" t="e">
        <f>Saisie!#REF!</f>
        <v>#REF!</v>
      </c>
      <c r="P332" s="63">
        <f>Saisie!N332</f>
        <v>0</v>
      </c>
      <c r="Q332" s="63" t="e">
        <f t="array" ref="Q332">_xlfn.IFS(Saisie!#REF!="OUI",1,Saisie!#REF!="NON",0)</f>
        <v>#REF!</v>
      </c>
      <c r="R332" s="63" t="e">
        <f>Saisie!#REF!</f>
        <v>#REF!</v>
      </c>
      <c r="S332" s="65" t="e">
        <f>Saisie!#REF!</f>
        <v>#REF!</v>
      </c>
      <c r="T332" s="63" t="e">
        <f>Saisie!#REF!</f>
        <v>#REF!</v>
      </c>
      <c r="U332" s="63" t="e">
        <f>Saisie!#REF!</f>
        <v>#REF!</v>
      </c>
      <c r="V332" s="63" t="e">
        <f t="array" ref="V332">_xlfn.IFS(Saisie!#REF!="OUI",1,Saisie!#REF!="NON",0)</f>
        <v>#REF!</v>
      </c>
      <c r="W332" s="63" t="e">
        <f t="array" ref="W332">_xlfn.IFS(Saisie!O332="OUI",1,Saisie!O332="NON",0)</f>
        <v>#N/A</v>
      </c>
      <c r="X332" s="63">
        <f>Saisie!P332</f>
        <v>0</v>
      </c>
      <c r="Y332" s="299">
        <f>Saisie!H332</f>
        <v>0</v>
      </c>
      <c r="Z332" s="58" t="e">
        <f>Saisie!#REF!</f>
        <v>#REF!</v>
      </c>
      <c r="AA332" s="299">
        <f>Saisie!Q332</f>
        <v>0</v>
      </c>
      <c r="AB332" s="63" t="e">
        <f t="array" ref="AB332">_xlfn.IFS(Saisie!R332="OUI",1,Saisie!R332="NON",0)</f>
        <v>#N/A</v>
      </c>
      <c r="AC332" s="63">
        <f>Saisie!S332</f>
        <v>0</v>
      </c>
      <c r="AD332" s="63" t="e">
        <f t="array" ref="AD332">_xlfn.IFS(Saisie!T332="OUI",1,Saisie!T332="NON",0)</f>
        <v>#N/A</v>
      </c>
      <c r="AE332" s="171">
        <f>Saisie!U332</f>
        <v>0</v>
      </c>
      <c r="AF332" s="262">
        <v>3</v>
      </c>
      <c r="AG332" s="129">
        <f>Saisie!W332</f>
        <v>0</v>
      </c>
      <c r="AH332" s="20">
        <f>Saisie!X332</f>
        <v>0</v>
      </c>
      <c r="AI332" s="21">
        <f>Saisie!Y332</f>
        <v>0</v>
      </c>
      <c r="AJ332" s="59">
        <f>Saisie!Z332</f>
        <v>0</v>
      </c>
      <c r="AK332" s="20">
        <f>Saisie!AA332</f>
        <v>0</v>
      </c>
      <c r="AL332" s="21">
        <f>Saisie!AB332</f>
        <v>0</v>
      </c>
      <c r="AM332" s="59">
        <f>Saisie!AC332</f>
        <v>0</v>
      </c>
      <c r="AN332" s="20">
        <f>Saisie!AD332</f>
        <v>0</v>
      </c>
      <c r="AO332" s="21">
        <f>Saisie!AE332</f>
        <v>0</v>
      </c>
      <c r="AP332" s="59">
        <f>Saisie!AF332</f>
        <v>0</v>
      </c>
      <c r="AQ332" s="129" t="e">
        <f t="array" ref="AQ332">_xlfn.IFS(Saisie!AG332="OUI",1,Saisie!AG332="NON",0)</f>
        <v>#N/A</v>
      </c>
      <c r="AR332" s="129" t="e">
        <f t="array" ref="AR332">_xlfn.IFS(Saisie!AH332="OUI",1,Saisie!AH332="NON",0)</f>
        <v>#N/A</v>
      </c>
      <c r="AS332" s="171">
        <f>Saisie!AI332</f>
        <v>0</v>
      </c>
      <c r="AT332" s="263" t="e">
        <f t="array" ref="AT332">_xlfn.IFS(Saisie!AJ332="OUI",1,Saisie!AJ332="NON",0)</f>
        <v>#N/A</v>
      </c>
      <c r="AU332" s="173">
        <f>Saisie!AK332</f>
        <v>0</v>
      </c>
      <c r="AV332" s="263" t="e">
        <f t="array" ref="AV332">_xlfn.IFS(Saisie!AL332="OUI",1,Saisie!AL332="NON",0)</f>
        <v>#N/A</v>
      </c>
      <c r="AW332" s="171">
        <f>Saisie!AM332</f>
        <v>0</v>
      </c>
      <c r="AX332" s="68">
        <f>Saisie!AN332</f>
        <v>0</v>
      </c>
      <c r="AY332" s="20">
        <f>Saisie!AO332</f>
        <v>0</v>
      </c>
      <c r="AZ332" s="21">
        <f>Saisie!AP332</f>
        <v>0</v>
      </c>
      <c r="BA332" s="298">
        <f>Saisie!AQ332</f>
        <v>0</v>
      </c>
      <c r="BB332" s="170">
        <f>Saisie!AR332</f>
        <v>0</v>
      </c>
      <c r="BC332" s="174">
        <f>Saisie!AS332</f>
        <v>0</v>
      </c>
      <c r="BD332" s="61">
        <f>Saisie!AT332</f>
        <v>0</v>
      </c>
      <c r="BE332" s="175" t="e">
        <f t="array" ref="BE332">_xlfn.IFS(Saisie!AU332="OUI",1,Saisie!AU332="NON",0)</f>
        <v>#N/A</v>
      </c>
      <c r="BF332" s="267">
        <f>Saisie!AV332</f>
        <v>0</v>
      </c>
      <c r="BG332" s="55">
        <f>Saisie!AW332</f>
        <v>0</v>
      </c>
      <c r="BH332" s="55" t="e">
        <f t="array" ref="BH332">_xlfn.IFS(Saisie!AX332="OUI",1,Saisie!AX332="NON",0)</f>
        <v>#N/A</v>
      </c>
      <c r="BI332" s="62">
        <f>Saisie!AY332</f>
        <v>0</v>
      </c>
      <c r="BJ332" s="55" t="e">
        <f t="array" ref="BJ332">_xlfn.IFS(Saisie!AZ332="OUI",1,Saisie!AZ332="NON",0)</f>
        <v>#N/A</v>
      </c>
      <c r="BK332" s="55" t="e">
        <f t="array" ref="BK332">_xlfn.IFS(Saisie!BA332="OUI",1,Saisie!BA332="NON",0)</f>
        <v>#N/A</v>
      </c>
      <c r="BL332" s="55">
        <f>Saisie!BB332</f>
        <v>0</v>
      </c>
      <c r="BM332" s="49" t="e">
        <f>Saisie!BC332</f>
        <v>#REF!</v>
      </c>
      <c r="BN332" s="175"/>
    </row>
    <row r="333" spans="1:66" s="176" customFormat="1" x14ac:dyDescent="0.45">
      <c r="A333" s="12">
        <v>328</v>
      </c>
      <c r="B333" s="150">
        <f>Saisie!B333</f>
        <v>0</v>
      </c>
      <c r="C333" s="150">
        <f>Saisie!C333</f>
        <v>0</v>
      </c>
      <c r="D333" s="150">
        <f>Saisie!D333</f>
        <v>0</v>
      </c>
      <c r="E333" s="150">
        <f>Saisie!E333</f>
        <v>0</v>
      </c>
      <c r="F333" s="150">
        <f>Saisie!F333</f>
        <v>0</v>
      </c>
      <c r="G333" s="150">
        <f>Saisie!G333</f>
        <v>0</v>
      </c>
      <c r="H333" s="150">
        <f>Saisie!I333</f>
        <v>0</v>
      </c>
      <c r="I333" s="150">
        <f>Saisie!J333</f>
        <v>0</v>
      </c>
      <c r="J333" s="150">
        <f>Saisie!K333</f>
        <v>0</v>
      </c>
      <c r="K333" s="150">
        <f>Saisie!L333</f>
        <v>0</v>
      </c>
      <c r="L333" s="150" t="e">
        <f>Saisie!#REF!</f>
        <v>#REF!</v>
      </c>
      <c r="M333" s="55" t="e">
        <f t="array" ref="M333">_xlfn.IFS(Saisie!M333="OUI",1,Saisie!M333="NON",0)</f>
        <v>#N/A</v>
      </c>
      <c r="N333" s="64" t="e">
        <f>Saisie!#REF!</f>
        <v>#REF!</v>
      </c>
      <c r="O333" s="63" t="e">
        <f>Saisie!#REF!</f>
        <v>#REF!</v>
      </c>
      <c r="P333" s="63">
        <f>Saisie!N333</f>
        <v>0</v>
      </c>
      <c r="Q333" s="63" t="e">
        <f t="array" ref="Q333">_xlfn.IFS(Saisie!#REF!="OUI",1,Saisie!#REF!="NON",0)</f>
        <v>#REF!</v>
      </c>
      <c r="R333" s="63" t="e">
        <f>Saisie!#REF!</f>
        <v>#REF!</v>
      </c>
      <c r="S333" s="65" t="e">
        <f>Saisie!#REF!</f>
        <v>#REF!</v>
      </c>
      <c r="T333" s="63" t="e">
        <f>Saisie!#REF!</f>
        <v>#REF!</v>
      </c>
      <c r="U333" s="63" t="e">
        <f>Saisie!#REF!</f>
        <v>#REF!</v>
      </c>
      <c r="V333" s="63" t="e">
        <f t="array" ref="V333">_xlfn.IFS(Saisie!#REF!="OUI",1,Saisie!#REF!="NON",0)</f>
        <v>#REF!</v>
      </c>
      <c r="W333" s="63" t="e">
        <f t="array" ref="W333">_xlfn.IFS(Saisie!O333="OUI",1,Saisie!O333="NON",0)</f>
        <v>#N/A</v>
      </c>
      <c r="X333" s="63">
        <f>Saisie!P333</f>
        <v>0</v>
      </c>
      <c r="Y333" s="299">
        <f>Saisie!H333</f>
        <v>0</v>
      </c>
      <c r="Z333" s="58" t="e">
        <f>Saisie!#REF!</f>
        <v>#REF!</v>
      </c>
      <c r="AA333" s="299">
        <f>Saisie!Q333</f>
        <v>0</v>
      </c>
      <c r="AB333" s="63" t="e">
        <f t="array" ref="AB333">_xlfn.IFS(Saisie!R333="OUI",1,Saisie!R333="NON",0)</f>
        <v>#N/A</v>
      </c>
      <c r="AC333" s="63">
        <f>Saisie!S333</f>
        <v>0</v>
      </c>
      <c r="AD333" s="63" t="e">
        <f t="array" ref="AD333">_xlfn.IFS(Saisie!T333="OUI",1,Saisie!T333="NON",0)</f>
        <v>#N/A</v>
      </c>
      <c r="AE333" s="171">
        <f>Saisie!U333</f>
        <v>0</v>
      </c>
      <c r="AF333" s="262">
        <v>3</v>
      </c>
      <c r="AG333" s="129">
        <f>Saisie!W333</f>
        <v>0</v>
      </c>
      <c r="AH333" s="20">
        <f>Saisie!X333</f>
        <v>0</v>
      </c>
      <c r="AI333" s="21">
        <f>Saisie!Y333</f>
        <v>0</v>
      </c>
      <c r="AJ333" s="59">
        <f>Saisie!Z333</f>
        <v>0</v>
      </c>
      <c r="AK333" s="20">
        <f>Saisie!AA333</f>
        <v>0</v>
      </c>
      <c r="AL333" s="21">
        <f>Saisie!AB333</f>
        <v>0</v>
      </c>
      <c r="AM333" s="59">
        <f>Saisie!AC333</f>
        <v>0</v>
      </c>
      <c r="AN333" s="20">
        <f>Saisie!AD333</f>
        <v>0</v>
      </c>
      <c r="AO333" s="21">
        <f>Saisie!AE333</f>
        <v>0</v>
      </c>
      <c r="AP333" s="59">
        <f>Saisie!AF333</f>
        <v>0</v>
      </c>
      <c r="AQ333" s="129" t="e">
        <f t="array" ref="AQ333">_xlfn.IFS(Saisie!AG333="OUI",1,Saisie!AG333="NON",0)</f>
        <v>#N/A</v>
      </c>
      <c r="AR333" s="129" t="e">
        <f t="array" ref="AR333">_xlfn.IFS(Saisie!AH333="OUI",1,Saisie!AH333="NON",0)</f>
        <v>#N/A</v>
      </c>
      <c r="AS333" s="171">
        <f>Saisie!AI333</f>
        <v>0</v>
      </c>
      <c r="AT333" s="263" t="e">
        <f t="array" ref="AT333">_xlfn.IFS(Saisie!AJ333="OUI",1,Saisie!AJ333="NON",0)</f>
        <v>#N/A</v>
      </c>
      <c r="AU333" s="173">
        <f>Saisie!AK333</f>
        <v>0</v>
      </c>
      <c r="AV333" s="263" t="e">
        <f t="array" ref="AV333">_xlfn.IFS(Saisie!AL333="OUI",1,Saisie!AL333="NON",0)</f>
        <v>#N/A</v>
      </c>
      <c r="AW333" s="171">
        <f>Saisie!AM333</f>
        <v>0</v>
      </c>
      <c r="AX333" s="68">
        <f>Saisie!AN333</f>
        <v>0</v>
      </c>
      <c r="AY333" s="20">
        <f>Saisie!AO333</f>
        <v>0</v>
      </c>
      <c r="AZ333" s="21">
        <f>Saisie!AP333</f>
        <v>0</v>
      </c>
      <c r="BA333" s="298">
        <f>Saisie!AQ333</f>
        <v>0</v>
      </c>
      <c r="BB333" s="170">
        <f>Saisie!AR333</f>
        <v>0</v>
      </c>
      <c r="BC333" s="174">
        <f>Saisie!AS333</f>
        <v>0</v>
      </c>
      <c r="BD333" s="61">
        <f>Saisie!AT333</f>
        <v>0</v>
      </c>
      <c r="BE333" s="175" t="e">
        <f t="array" ref="BE333">_xlfn.IFS(Saisie!AU333="OUI",1,Saisie!AU333="NON",0)</f>
        <v>#N/A</v>
      </c>
      <c r="BF333" s="267">
        <f>Saisie!AV333</f>
        <v>0</v>
      </c>
      <c r="BG333" s="55">
        <f>Saisie!AW333</f>
        <v>0</v>
      </c>
      <c r="BH333" s="55" t="e">
        <f t="array" ref="BH333">_xlfn.IFS(Saisie!AX333="OUI",1,Saisie!AX333="NON",0)</f>
        <v>#N/A</v>
      </c>
      <c r="BI333" s="62">
        <f>Saisie!AY333</f>
        <v>0</v>
      </c>
      <c r="BJ333" s="55" t="e">
        <f t="array" ref="BJ333">_xlfn.IFS(Saisie!AZ333="OUI",1,Saisie!AZ333="NON",0)</f>
        <v>#N/A</v>
      </c>
      <c r="BK333" s="55" t="e">
        <f t="array" ref="BK333">_xlfn.IFS(Saisie!BA333="OUI",1,Saisie!BA333="NON",0)</f>
        <v>#N/A</v>
      </c>
      <c r="BL333" s="55">
        <f>Saisie!BB333</f>
        <v>0</v>
      </c>
      <c r="BM333" s="49" t="e">
        <f>Saisie!BC333</f>
        <v>#REF!</v>
      </c>
      <c r="BN333" s="175"/>
    </row>
    <row r="334" spans="1:66" s="176" customFormat="1" x14ac:dyDescent="0.45">
      <c r="A334" s="13">
        <v>329</v>
      </c>
      <c r="B334" s="150">
        <f>Saisie!B334</f>
        <v>0</v>
      </c>
      <c r="C334" s="150">
        <f>Saisie!C334</f>
        <v>0</v>
      </c>
      <c r="D334" s="150">
        <f>Saisie!D334</f>
        <v>0</v>
      </c>
      <c r="E334" s="150">
        <f>Saisie!E334</f>
        <v>0</v>
      </c>
      <c r="F334" s="150">
        <f>Saisie!F334</f>
        <v>0</v>
      </c>
      <c r="G334" s="150">
        <f>Saisie!G334</f>
        <v>0</v>
      </c>
      <c r="H334" s="150">
        <f>Saisie!I334</f>
        <v>0</v>
      </c>
      <c r="I334" s="150">
        <f>Saisie!J334</f>
        <v>0</v>
      </c>
      <c r="J334" s="150">
        <f>Saisie!K334</f>
        <v>0</v>
      </c>
      <c r="K334" s="150">
        <f>Saisie!L334</f>
        <v>0</v>
      </c>
      <c r="L334" s="150" t="e">
        <f>Saisie!#REF!</f>
        <v>#REF!</v>
      </c>
      <c r="M334" s="55" t="e">
        <f t="array" ref="M334">_xlfn.IFS(Saisie!M334="OUI",1,Saisie!M334="NON",0)</f>
        <v>#N/A</v>
      </c>
      <c r="N334" s="64" t="e">
        <f>Saisie!#REF!</f>
        <v>#REF!</v>
      </c>
      <c r="O334" s="63" t="e">
        <f>Saisie!#REF!</f>
        <v>#REF!</v>
      </c>
      <c r="P334" s="63">
        <f>Saisie!N334</f>
        <v>0</v>
      </c>
      <c r="Q334" s="63" t="e">
        <f t="array" ref="Q334">_xlfn.IFS(Saisie!#REF!="OUI",1,Saisie!#REF!="NON",0)</f>
        <v>#REF!</v>
      </c>
      <c r="R334" s="63" t="e">
        <f>Saisie!#REF!</f>
        <v>#REF!</v>
      </c>
      <c r="S334" s="65" t="e">
        <f>Saisie!#REF!</f>
        <v>#REF!</v>
      </c>
      <c r="T334" s="63" t="e">
        <f>Saisie!#REF!</f>
        <v>#REF!</v>
      </c>
      <c r="U334" s="63" t="e">
        <f>Saisie!#REF!</f>
        <v>#REF!</v>
      </c>
      <c r="V334" s="63" t="e">
        <f t="array" ref="V334">_xlfn.IFS(Saisie!#REF!="OUI",1,Saisie!#REF!="NON",0)</f>
        <v>#REF!</v>
      </c>
      <c r="W334" s="63" t="e">
        <f t="array" ref="W334">_xlfn.IFS(Saisie!O334="OUI",1,Saisie!O334="NON",0)</f>
        <v>#N/A</v>
      </c>
      <c r="X334" s="63">
        <f>Saisie!P334</f>
        <v>0</v>
      </c>
      <c r="Y334" s="299">
        <f>Saisie!H334</f>
        <v>0</v>
      </c>
      <c r="Z334" s="58" t="e">
        <f>Saisie!#REF!</f>
        <v>#REF!</v>
      </c>
      <c r="AA334" s="299">
        <f>Saisie!Q334</f>
        <v>0</v>
      </c>
      <c r="AB334" s="63" t="e">
        <f t="array" ref="AB334">_xlfn.IFS(Saisie!R334="OUI",1,Saisie!R334="NON",0)</f>
        <v>#N/A</v>
      </c>
      <c r="AC334" s="63">
        <f>Saisie!S334</f>
        <v>0</v>
      </c>
      <c r="AD334" s="63" t="e">
        <f t="array" ref="AD334">_xlfn.IFS(Saisie!T334="OUI",1,Saisie!T334="NON",0)</f>
        <v>#N/A</v>
      </c>
      <c r="AE334" s="171">
        <f>Saisie!U334</f>
        <v>0</v>
      </c>
      <c r="AF334" s="262">
        <v>2</v>
      </c>
      <c r="AG334" s="129">
        <f>Saisie!W334</f>
        <v>0</v>
      </c>
      <c r="AH334" s="20">
        <f>Saisie!X334</f>
        <v>0</v>
      </c>
      <c r="AI334" s="21">
        <f>Saisie!Y334</f>
        <v>0</v>
      </c>
      <c r="AJ334" s="59">
        <f>Saisie!Z334</f>
        <v>0</v>
      </c>
      <c r="AK334" s="20">
        <f>Saisie!AA334</f>
        <v>0</v>
      </c>
      <c r="AL334" s="21">
        <f>Saisie!AB334</f>
        <v>0</v>
      </c>
      <c r="AM334" s="59">
        <f>Saisie!AC334</f>
        <v>0</v>
      </c>
      <c r="AN334" s="20">
        <f>Saisie!AD334</f>
        <v>0</v>
      </c>
      <c r="AO334" s="21">
        <f>Saisie!AE334</f>
        <v>0</v>
      </c>
      <c r="AP334" s="59">
        <f>Saisie!AF334</f>
        <v>0</v>
      </c>
      <c r="AQ334" s="129" t="e">
        <f t="array" ref="AQ334">_xlfn.IFS(Saisie!AG334="OUI",1,Saisie!AG334="NON",0)</f>
        <v>#N/A</v>
      </c>
      <c r="AR334" s="129" t="e">
        <f t="array" ref="AR334">_xlfn.IFS(Saisie!AH334="OUI",1,Saisie!AH334="NON",0)</f>
        <v>#N/A</v>
      </c>
      <c r="AS334" s="171">
        <f>Saisie!AI334</f>
        <v>0</v>
      </c>
      <c r="AT334" s="263" t="e">
        <f t="array" ref="AT334">_xlfn.IFS(Saisie!AJ334="OUI",1,Saisie!AJ334="NON",0)</f>
        <v>#N/A</v>
      </c>
      <c r="AU334" s="173">
        <f>Saisie!AK334</f>
        <v>0</v>
      </c>
      <c r="AV334" s="263" t="e">
        <f t="array" ref="AV334">_xlfn.IFS(Saisie!AL334="OUI",1,Saisie!AL334="NON",0)</f>
        <v>#N/A</v>
      </c>
      <c r="AW334" s="171">
        <f>Saisie!AM334</f>
        <v>0</v>
      </c>
      <c r="AX334" s="68">
        <f>Saisie!AN334</f>
        <v>0</v>
      </c>
      <c r="AY334" s="20">
        <f>Saisie!AO334</f>
        <v>0</v>
      </c>
      <c r="AZ334" s="21">
        <f>Saisie!AP334</f>
        <v>0</v>
      </c>
      <c r="BA334" s="298">
        <f>Saisie!AQ334</f>
        <v>0</v>
      </c>
      <c r="BB334" s="170">
        <f>Saisie!AR334</f>
        <v>0</v>
      </c>
      <c r="BC334" s="174">
        <f>Saisie!AS334</f>
        <v>0</v>
      </c>
      <c r="BD334" s="61">
        <f>Saisie!AT334</f>
        <v>0</v>
      </c>
      <c r="BE334" s="175" t="e">
        <f t="array" ref="BE334">_xlfn.IFS(Saisie!AU334="OUI",1,Saisie!AU334="NON",0)</f>
        <v>#N/A</v>
      </c>
      <c r="BF334" s="267">
        <f>Saisie!AV334</f>
        <v>0</v>
      </c>
      <c r="BG334" s="55">
        <f>Saisie!AW334</f>
        <v>0</v>
      </c>
      <c r="BH334" s="55" t="e">
        <f t="array" ref="BH334">_xlfn.IFS(Saisie!AX334="OUI",1,Saisie!AX334="NON",0)</f>
        <v>#N/A</v>
      </c>
      <c r="BI334" s="62">
        <f>Saisie!AY334</f>
        <v>0</v>
      </c>
      <c r="BJ334" s="55" t="e">
        <f t="array" ref="BJ334">_xlfn.IFS(Saisie!AZ334="OUI",1,Saisie!AZ334="NON",0)</f>
        <v>#N/A</v>
      </c>
      <c r="BK334" s="55" t="e">
        <f t="array" ref="BK334">_xlfn.IFS(Saisie!BA334="OUI",1,Saisie!BA334="NON",0)</f>
        <v>#N/A</v>
      </c>
      <c r="BL334" s="55">
        <f>Saisie!BB334</f>
        <v>0</v>
      </c>
      <c r="BM334" s="49" t="e">
        <f>Saisie!BC334</f>
        <v>#REF!</v>
      </c>
      <c r="BN334" s="175"/>
    </row>
    <row r="335" spans="1:66" s="176" customFormat="1" x14ac:dyDescent="0.45">
      <c r="A335" s="13">
        <v>330</v>
      </c>
      <c r="B335" s="150">
        <f>Saisie!B335</f>
        <v>0</v>
      </c>
      <c r="C335" s="150">
        <f>Saisie!C335</f>
        <v>0</v>
      </c>
      <c r="D335" s="150">
        <f>Saisie!D335</f>
        <v>0</v>
      </c>
      <c r="E335" s="150">
        <f>Saisie!E335</f>
        <v>0</v>
      </c>
      <c r="F335" s="150">
        <f>Saisie!F335</f>
        <v>0</v>
      </c>
      <c r="G335" s="150">
        <f>Saisie!G335</f>
        <v>0</v>
      </c>
      <c r="H335" s="150">
        <f>Saisie!I335</f>
        <v>0</v>
      </c>
      <c r="I335" s="150">
        <f>Saisie!J335</f>
        <v>0</v>
      </c>
      <c r="J335" s="150">
        <f>Saisie!K335</f>
        <v>0</v>
      </c>
      <c r="K335" s="150">
        <f>Saisie!L335</f>
        <v>0</v>
      </c>
      <c r="L335" s="150" t="e">
        <f>Saisie!#REF!</f>
        <v>#REF!</v>
      </c>
      <c r="M335" s="55" t="e">
        <f t="array" ref="M335">_xlfn.IFS(Saisie!M335="OUI",1,Saisie!M335="NON",0)</f>
        <v>#N/A</v>
      </c>
      <c r="N335" s="64" t="e">
        <f>Saisie!#REF!</f>
        <v>#REF!</v>
      </c>
      <c r="O335" s="63" t="e">
        <f>Saisie!#REF!</f>
        <v>#REF!</v>
      </c>
      <c r="P335" s="63">
        <f>Saisie!N335</f>
        <v>0</v>
      </c>
      <c r="Q335" s="63" t="e">
        <f t="array" ref="Q335">_xlfn.IFS(Saisie!#REF!="OUI",1,Saisie!#REF!="NON",0)</f>
        <v>#REF!</v>
      </c>
      <c r="R335" s="63" t="e">
        <f>Saisie!#REF!</f>
        <v>#REF!</v>
      </c>
      <c r="S335" s="65" t="e">
        <f>Saisie!#REF!</f>
        <v>#REF!</v>
      </c>
      <c r="T335" s="63" t="e">
        <f>Saisie!#REF!</f>
        <v>#REF!</v>
      </c>
      <c r="U335" s="63" t="e">
        <f>Saisie!#REF!</f>
        <v>#REF!</v>
      </c>
      <c r="V335" s="63" t="e">
        <f t="array" ref="V335">_xlfn.IFS(Saisie!#REF!="OUI",1,Saisie!#REF!="NON",0)</f>
        <v>#REF!</v>
      </c>
      <c r="W335" s="63" t="e">
        <f t="array" ref="W335">_xlfn.IFS(Saisie!O335="OUI",1,Saisie!O335="NON",0)</f>
        <v>#N/A</v>
      </c>
      <c r="X335" s="63">
        <f>Saisie!P335</f>
        <v>0</v>
      </c>
      <c r="Y335" s="299">
        <f>Saisie!H335</f>
        <v>0</v>
      </c>
      <c r="Z335" s="58" t="e">
        <f>Saisie!#REF!</f>
        <v>#REF!</v>
      </c>
      <c r="AA335" s="299">
        <f>Saisie!Q335</f>
        <v>0</v>
      </c>
      <c r="AB335" s="63" t="e">
        <f t="array" ref="AB335">_xlfn.IFS(Saisie!R335="OUI",1,Saisie!R335="NON",0)</f>
        <v>#N/A</v>
      </c>
      <c r="AC335" s="63">
        <f>Saisie!S335</f>
        <v>0</v>
      </c>
      <c r="AD335" s="63" t="e">
        <f t="array" ref="AD335">_xlfn.IFS(Saisie!T335="OUI",1,Saisie!T335="NON",0)</f>
        <v>#N/A</v>
      </c>
      <c r="AE335" s="171">
        <f>Saisie!U335</f>
        <v>0</v>
      </c>
      <c r="AF335" s="262">
        <v>2</v>
      </c>
      <c r="AG335" s="129">
        <f>Saisie!W335</f>
        <v>0</v>
      </c>
      <c r="AH335" s="20">
        <f>Saisie!X335</f>
        <v>0</v>
      </c>
      <c r="AI335" s="21">
        <f>Saisie!Y335</f>
        <v>0</v>
      </c>
      <c r="AJ335" s="59">
        <f>Saisie!Z335</f>
        <v>0</v>
      </c>
      <c r="AK335" s="20">
        <f>Saisie!AA335</f>
        <v>0</v>
      </c>
      <c r="AL335" s="21">
        <f>Saisie!AB335</f>
        <v>0</v>
      </c>
      <c r="AM335" s="59">
        <f>Saisie!AC335</f>
        <v>0</v>
      </c>
      <c r="AN335" s="20">
        <f>Saisie!AD335</f>
        <v>0</v>
      </c>
      <c r="AO335" s="21">
        <f>Saisie!AE335</f>
        <v>0</v>
      </c>
      <c r="AP335" s="59">
        <f>Saisie!AF335</f>
        <v>0</v>
      </c>
      <c r="AQ335" s="129" t="e">
        <f t="array" ref="AQ335">_xlfn.IFS(Saisie!AG335="OUI",1,Saisie!AG335="NON",0)</f>
        <v>#N/A</v>
      </c>
      <c r="AR335" s="129" t="e">
        <f t="array" ref="AR335">_xlfn.IFS(Saisie!AH335="OUI",1,Saisie!AH335="NON",0)</f>
        <v>#N/A</v>
      </c>
      <c r="AS335" s="171">
        <f>Saisie!AI335</f>
        <v>0</v>
      </c>
      <c r="AT335" s="263" t="e">
        <f t="array" ref="AT335">_xlfn.IFS(Saisie!AJ335="OUI",1,Saisie!AJ335="NON",0)</f>
        <v>#N/A</v>
      </c>
      <c r="AU335" s="173">
        <f>Saisie!AK335</f>
        <v>0</v>
      </c>
      <c r="AV335" s="263" t="e">
        <f t="array" ref="AV335">_xlfn.IFS(Saisie!AL335="OUI",1,Saisie!AL335="NON",0)</f>
        <v>#N/A</v>
      </c>
      <c r="AW335" s="171">
        <f>Saisie!AM335</f>
        <v>0</v>
      </c>
      <c r="AX335" s="68">
        <f>Saisie!AN335</f>
        <v>0</v>
      </c>
      <c r="AY335" s="20">
        <f>Saisie!AO335</f>
        <v>0</v>
      </c>
      <c r="AZ335" s="21">
        <f>Saisie!AP335</f>
        <v>0</v>
      </c>
      <c r="BA335" s="298">
        <f>Saisie!AQ335</f>
        <v>0</v>
      </c>
      <c r="BB335" s="170">
        <f>Saisie!AR335</f>
        <v>0</v>
      </c>
      <c r="BC335" s="174">
        <f>Saisie!AS335</f>
        <v>0</v>
      </c>
      <c r="BD335" s="61">
        <f>Saisie!AT335</f>
        <v>0</v>
      </c>
      <c r="BE335" s="175" t="e">
        <f t="array" ref="BE335">_xlfn.IFS(Saisie!AU335="OUI",1,Saisie!AU335="NON",0)</f>
        <v>#N/A</v>
      </c>
      <c r="BF335" s="267">
        <f>Saisie!AV335</f>
        <v>0</v>
      </c>
      <c r="BG335" s="55">
        <f>Saisie!AW335</f>
        <v>0</v>
      </c>
      <c r="BH335" s="55" t="e">
        <f t="array" ref="BH335">_xlfn.IFS(Saisie!AX335="OUI",1,Saisie!AX335="NON",0)</f>
        <v>#N/A</v>
      </c>
      <c r="BI335" s="62">
        <f>Saisie!AY335</f>
        <v>0</v>
      </c>
      <c r="BJ335" s="55" t="e">
        <f t="array" ref="BJ335">_xlfn.IFS(Saisie!AZ335="OUI",1,Saisie!AZ335="NON",0)</f>
        <v>#N/A</v>
      </c>
      <c r="BK335" s="55" t="e">
        <f t="array" ref="BK335">_xlfn.IFS(Saisie!BA335="OUI",1,Saisie!BA335="NON",0)</f>
        <v>#N/A</v>
      </c>
      <c r="BL335" s="55">
        <f>Saisie!BB335</f>
        <v>0</v>
      </c>
      <c r="BM335" s="49" t="e">
        <f>Saisie!BC335</f>
        <v>#REF!</v>
      </c>
      <c r="BN335" s="175"/>
    </row>
    <row r="336" spans="1:66" s="176" customFormat="1" x14ac:dyDescent="0.45">
      <c r="A336" s="12">
        <v>331</v>
      </c>
      <c r="B336" s="150">
        <f>Saisie!B336</f>
        <v>0</v>
      </c>
      <c r="C336" s="150">
        <f>Saisie!C336</f>
        <v>0</v>
      </c>
      <c r="D336" s="150">
        <f>Saisie!D336</f>
        <v>0</v>
      </c>
      <c r="E336" s="150">
        <f>Saisie!E336</f>
        <v>0</v>
      </c>
      <c r="F336" s="150">
        <f>Saisie!F336</f>
        <v>0</v>
      </c>
      <c r="G336" s="150">
        <f>Saisie!G336</f>
        <v>0</v>
      </c>
      <c r="H336" s="150">
        <f>Saisie!I336</f>
        <v>0</v>
      </c>
      <c r="I336" s="150">
        <f>Saisie!J336</f>
        <v>0</v>
      </c>
      <c r="J336" s="150">
        <f>Saisie!K336</f>
        <v>0</v>
      </c>
      <c r="K336" s="150">
        <f>Saisie!L336</f>
        <v>0</v>
      </c>
      <c r="L336" s="150" t="e">
        <f>Saisie!#REF!</f>
        <v>#REF!</v>
      </c>
      <c r="M336" s="55" t="e">
        <f t="array" ref="M336">_xlfn.IFS(Saisie!M336="OUI",1,Saisie!M336="NON",0)</f>
        <v>#N/A</v>
      </c>
      <c r="N336" s="64" t="e">
        <f>Saisie!#REF!</f>
        <v>#REF!</v>
      </c>
      <c r="O336" s="63" t="e">
        <f>Saisie!#REF!</f>
        <v>#REF!</v>
      </c>
      <c r="P336" s="63">
        <f>Saisie!N336</f>
        <v>0</v>
      </c>
      <c r="Q336" s="63" t="e">
        <f t="array" ref="Q336">_xlfn.IFS(Saisie!#REF!="OUI",1,Saisie!#REF!="NON",0)</f>
        <v>#REF!</v>
      </c>
      <c r="R336" s="63" t="e">
        <f>Saisie!#REF!</f>
        <v>#REF!</v>
      </c>
      <c r="S336" s="65" t="e">
        <f>Saisie!#REF!</f>
        <v>#REF!</v>
      </c>
      <c r="T336" s="63" t="e">
        <f>Saisie!#REF!</f>
        <v>#REF!</v>
      </c>
      <c r="U336" s="63" t="e">
        <f>Saisie!#REF!</f>
        <v>#REF!</v>
      </c>
      <c r="V336" s="63" t="e">
        <f t="array" ref="V336">_xlfn.IFS(Saisie!#REF!="OUI",1,Saisie!#REF!="NON",0)</f>
        <v>#REF!</v>
      </c>
      <c r="W336" s="63" t="e">
        <f t="array" ref="W336">_xlfn.IFS(Saisie!O336="OUI",1,Saisie!O336="NON",0)</f>
        <v>#N/A</v>
      </c>
      <c r="X336" s="63">
        <f>Saisie!P336</f>
        <v>0</v>
      </c>
      <c r="Y336" s="299">
        <f>Saisie!H336</f>
        <v>0</v>
      </c>
      <c r="Z336" s="58" t="e">
        <f>Saisie!#REF!</f>
        <v>#REF!</v>
      </c>
      <c r="AA336" s="299">
        <f>Saisie!Q336</f>
        <v>0</v>
      </c>
      <c r="AB336" s="63" t="e">
        <f t="array" ref="AB336">_xlfn.IFS(Saisie!R336="OUI",1,Saisie!R336="NON",0)</f>
        <v>#N/A</v>
      </c>
      <c r="AC336" s="63">
        <f>Saisie!S336</f>
        <v>0</v>
      </c>
      <c r="AD336" s="63" t="e">
        <f t="array" ref="AD336">_xlfn.IFS(Saisie!T336="OUI",1,Saisie!T336="NON",0)</f>
        <v>#N/A</v>
      </c>
      <c r="AE336" s="171">
        <f>Saisie!U336</f>
        <v>0</v>
      </c>
      <c r="AF336" s="262">
        <v>2</v>
      </c>
      <c r="AG336" s="129">
        <f>Saisie!W336</f>
        <v>0</v>
      </c>
      <c r="AH336" s="20">
        <f>Saisie!X336</f>
        <v>0</v>
      </c>
      <c r="AI336" s="21">
        <f>Saisie!Y336</f>
        <v>0</v>
      </c>
      <c r="AJ336" s="59">
        <f>Saisie!Z336</f>
        <v>0</v>
      </c>
      <c r="AK336" s="20">
        <f>Saisie!AA336</f>
        <v>0</v>
      </c>
      <c r="AL336" s="21">
        <f>Saisie!AB336</f>
        <v>0</v>
      </c>
      <c r="AM336" s="59">
        <f>Saisie!AC336</f>
        <v>0</v>
      </c>
      <c r="AN336" s="20">
        <f>Saisie!AD336</f>
        <v>0</v>
      </c>
      <c r="AO336" s="21">
        <f>Saisie!AE336</f>
        <v>0</v>
      </c>
      <c r="AP336" s="59">
        <f>Saisie!AF336</f>
        <v>0</v>
      </c>
      <c r="AQ336" s="129" t="e">
        <f t="array" ref="AQ336">_xlfn.IFS(Saisie!AG336="OUI",1,Saisie!AG336="NON",0)</f>
        <v>#N/A</v>
      </c>
      <c r="AR336" s="129" t="e">
        <f t="array" ref="AR336">_xlfn.IFS(Saisie!AH336="OUI",1,Saisie!AH336="NON",0)</f>
        <v>#N/A</v>
      </c>
      <c r="AS336" s="171">
        <f>Saisie!AI336</f>
        <v>0</v>
      </c>
      <c r="AT336" s="263" t="e">
        <f t="array" ref="AT336">_xlfn.IFS(Saisie!AJ336="OUI",1,Saisie!AJ336="NON",0)</f>
        <v>#N/A</v>
      </c>
      <c r="AU336" s="173">
        <f>Saisie!AK336</f>
        <v>0</v>
      </c>
      <c r="AV336" s="263" t="e">
        <f t="array" ref="AV336">_xlfn.IFS(Saisie!AL336="OUI",1,Saisie!AL336="NON",0)</f>
        <v>#N/A</v>
      </c>
      <c r="AW336" s="171">
        <f>Saisie!AM336</f>
        <v>0</v>
      </c>
      <c r="AX336" s="68">
        <f>Saisie!AN336</f>
        <v>0</v>
      </c>
      <c r="AY336" s="20">
        <f>Saisie!AO336</f>
        <v>0</v>
      </c>
      <c r="AZ336" s="21">
        <f>Saisie!AP336</f>
        <v>0</v>
      </c>
      <c r="BA336" s="298">
        <f>Saisie!AQ336</f>
        <v>0</v>
      </c>
      <c r="BB336" s="170">
        <f>Saisie!AR336</f>
        <v>0</v>
      </c>
      <c r="BC336" s="174">
        <f>Saisie!AS336</f>
        <v>0</v>
      </c>
      <c r="BD336" s="61">
        <f>Saisie!AT336</f>
        <v>0</v>
      </c>
      <c r="BE336" s="175" t="e">
        <f t="array" ref="BE336">_xlfn.IFS(Saisie!AU336="OUI",1,Saisie!AU336="NON",0)</f>
        <v>#N/A</v>
      </c>
      <c r="BF336" s="267">
        <f>Saisie!AV336</f>
        <v>0</v>
      </c>
      <c r="BG336" s="55">
        <f>Saisie!AW336</f>
        <v>0</v>
      </c>
      <c r="BH336" s="55" t="e">
        <f t="array" ref="BH336">_xlfn.IFS(Saisie!AX336="OUI",1,Saisie!AX336="NON",0)</f>
        <v>#N/A</v>
      </c>
      <c r="BI336" s="62">
        <f>Saisie!AY336</f>
        <v>0</v>
      </c>
      <c r="BJ336" s="55" t="e">
        <f t="array" ref="BJ336">_xlfn.IFS(Saisie!AZ336="OUI",1,Saisie!AZ336="NON",0)</f>
        <v>#N/A</v>
      </c>
      <c r="BK336" s="55" t="e">
        <f t="array" ref="BK336">_xlfn.IFS(Saisie!BA336="OUI",1,Saisie!BA336="NON",0)</f>
        <v>#N/A</v>
      </c>
      <c r="BL336" s="55">
        <f>Saisie!BB336</f>
        <v>0</v>
      </c>
      <c r="BM336" s="49" t="e">
        <f>Saisie!BC336</f>
        <v>#REF!</v>
      </c>
      <c r="BN336" s="175"/>
    </row>
    <row r="337" spans="1:66" s="176" customFormat="1" x14ac:dyDescent="0.45">
      <c r="A337" s="13">
        <v>332</v>
      </c>
      <c r="B337" s="150">
        <f>Saisie!B337</f>
        <v>0</v>
      </c>
      <c r="C337" s="150">
        <f>Saisie!C337</f>
        <v>0</v>
      </c>
      <c r="D337" s="150">
        <f>Saisie!D337</f>
        <v>0</v>
      </c>
      <c r="E337" s="150">
        <f>Saisie!E337</f>
        <v>0</v>
      </c>
      <c r="F337" s="150">
        <f>Saisie!F337</f>
        <v>0</v>
      </c>
      <c r="G337" s="150">
        <f>Saisie!G337</f>
        <v>0</v>
      </c>
      <c r="H337" s="150">
        <f>Saisie!I337</f>
        <v>0</v>
      </c>
      <c r="I337" s="150">
        <f>Saisie!J337</f>
        <v>0</v>
      </c>
      <c r="J337" s="150">
        <f>Saisie!K337</f>
        <v>0</v>
      </c>
      <c r="K337" s="150">
        <f>Saisie!L337</f>
        <v>0</v>
      </c>
      <c r="L337" s="150" t="e">
        <f>Saisie!#REF!</f>
        <v>#REF!</v>
      </c>
      <c r="M337" s="55" t="e">
        <f t="array" ref="M337">_xlfn.IFS(Saisie!M337="OUI",1,Saisie!M337="NON",0)</f>
        <v>#N/A</v>
      </c>
      <c r="N337" s="64" t="e">
        <f>Saisie!#REF!</f>
        <v>#REF!</v>
      </c>
      <c r="O337" s="63" t="e">
        <f>Saisie!#REF!</f>
        <v>#REF!</v>
      </c>
      <c r="P337" s="63">
        <f>Saisie!N337</f>
        <v>0</v>
      </c>
      <c r="Q337" s="63" t="e">
        <f t="array" ref="Q337">_xlfn.IFS(Saisie!#REF!="OUI",1,Saisie!#REF!="NON",0)</f>
        <v>#REF!</v>
      </c>
      <c r="R337" s="63" t="e">
        <f>Saisie!#REF!</f>
        <v>#REF!</v>
      </c>
      <c r="S337" s="65" t="e">
        <f>Saisie!#REF!</f>
        <v>#REF!</v>
      </c>
      <c r="T337" s="63" t="e">
        <f>Saisie!#REF!</f>
        <v>#REF!</v>
      </c>
      <c r="U337" s="63" t="e">
        <f>Saisie!#REF!</f>
        <v>#REF!</v>
      </c>
      <c r="V337" s="63" t="e">
        <f t="array" ref="V337">_xlfn.IFS(Saisie!#REF!="OUI",1,Saisie!#REF!="NON",0)</f>
        <v>#REF!</v>
      </c>
      <c r="W337" s="63" t="e">
        <f t="array" ref="W337">_xlfn.IFS(Saisie!O337="OUI",1,Saisie!O337="NON",0)</f>
        <v>#N/A</v>
      </c>
      <c r="X337" s="63">
        <f>Saisie!P337</f>
        <v>0</v>
      </c>
      <c r="Y337" s="299">
        <f>Saisie!H337</f>
        <v>0</v>
      </c>
      <c r="Z337" s="58" t="e">
        <f>Saisie!#REF!</f>
        <v>#REF!</v>
      </c>
      <c r="AA337" s="299">
        <f>Saisie!Q337</f>
        <v>0</v>
      </c>
      <c r="AB337" s="63" t="e">
        <f t="array" ref="AB337">_xlfn.IFS(Saisie!R337="OUI",1,Saisie!R337="NON",0)</f>
        <v>#N/A</v>
      </c>
      <c r="AC337" s="63">
        <f>Saisie!S337</f>
        <v>0</v>
      </c>
      <c r="AD337" s="63" t="e">
        <f t="array" ref="AD337">_xlfn.IFS(Saisie!T337="OUI",1,Saisie!T337="NON",0)</f>
        <v>#N/A</v>
      </c>
      <c r="AE337" s="171">
        <f>Saisie!U337</f>
        <v>0</v>
      </c>
      <c r="AF337" s="262">
        <v>3</v>
      </c>
      <c r="AG337" s="129">
        <f>Saisie!W337</f>
        <v>0</v>
      </c>
      <c r="AH337" s="20">
        <f>Saisie!X337</f>
        <v>0</v>
      </c>
      <c r="AI337" s="21">
        <f>Saisie!Y337</f>
        <v>0</v>
      </c>
      <c r="AJ337" s="59">
        <f>Saisie!Z337</f>
        <v>0</v>
      </c>
      <c r="AK337" s="20">
        <f>Saisie!AA337</f>
        <v>0</v>
      </c>
      <c r="AL337" s="21">
        <f>Saisie!AB337</f>
        <v>0</v>
      </c>
      <c r="AM337" s="59">
        <f>Saisie!AC337</f>
        <v>0</v>
      </c>
      <c r="AN337" s="20">
        <f>Saisie!AD337</f>
        <v>0</v>
      </c>
      <c r="AO337" s="21">
        <f>Saisie!AE337</f>
        <v>0</v>
      </c>
      <c r="AP337" s="59">
        <f>Saisie!AF337</f>
        <v>0</v>
      </c>
      <c r="AQ337" s="129" t="e">
        <f t="array" ref="AQ337">_xlfn.IFS(Saisie!AG337="OUI",1,Saisie!AG337="NON",0)</f>
        <v>#N/A</v>
      </c>
      <c r="AR337" s="129" t="e">
        <f t="array" ref="AR337">_xlfn.IFS(Saisie!AH337="OUI",1,Saisie!AH337="NON",0)</f>
        <v>#N/A</v>
      </c>
      <c r="AS337" s="171">
        <f>Saisie!AI337</f>
        <v>0</v>
      </c>
      <c r="AT337" s="263" t="e">
        <f t="array" ref="AT337">_xlfn.IFS(Saisie!AJ337="OUI",1,Saisie!AJ337="NON",0)</f>
        <v>#N/A</v>
      </c>
      <c r="AU337" s="173">
        <f>Saisie!AK337</f>
        <v>0</v>
      </c>
      <c r="AV337" s="263" t="e">
        <f t="array" ref="AV337">_xlfn.IFS(Saisie!AL337="OUI",1,Saisie!AL337="NON",0)</f>
        <v>#N/A</v>
      </c>
      <c r="AW337" s="171">
        <f>Saisie!AM337</f>
        <v>0</v>
      </c>
      <c r="AX337" s="68">
        <f>Saisie!AN337</f>
        <v>0</v>
      </c>
      <c r="AY337" s="20">
        <f>Saisie!AO337</f>
        <v>0</v>
      </c>
      <c r="AZ337" s="21">
        <f>Saisie!AP337</f>
        <v>0</v>
      </c>
      <c r="BA337" s="298">
        <f>Saisie!AQ337</f>
        <v>0</v>
      </c>
      <c r="BB337" s="170">
        <f>Saisie!AR337</f>
        <v>0</v>
      </c>
      <c r="BC337" s="174">
        <f>Saisie!AS337</f>
        <v>0</v>
      </c>
      <c r="BD337" s="61">
        <f>Saisie!AT337</f>
        <v>0</v>
      </c>
      <c r="BE337" s="175" t="e">
        <f t="array" ref="BE337">_xlfn.IFS(Saisie!AU337="OUI",1,Saisie!AU337="NON",0)</f>
        <v>#N/A</v>
      </c>
      <c r="BF337" s="267">
        <f>Saisie!AV337</f>
        <v>0</v>
      </c>
      <c r="BG337" s="55">
        <f>Saisie!AW337</f>
        <v>0</v>
      </c>
      <c r="BH337" s="55" t="e">
        <f t="array" ref="BH337">_xlfn.IFS(Saisie!AX337="OUI",1,Saisie!AX337="NON",0)</f>
        <v>#N/A</v>
      </c>
      <c r="BI337" s="62">
        <f>Saisie!AY337</f>
        <v>0</v>
      </c>
      <c r="BJ337" s="55" t="e">
        <f t="array" ref="BJ337">_xlfn.IFS(Saisie!AZ337="OUI",1,Saisie!AZ337="NON",0)</f>
        <v>#N/A</v>
      </c>
      <c r="BK337" s="55" t="e">
        <f t="array" ref="BK337">_xlfn.IFS(Saisie!BA337="OUI",1,Saisie!BA337="NON",0)</f>
        <v>#N/A</v>
      </c>
      <c r="BL337" s="55">
        <f>Saisie!BB337</f>
        <v>0</v>
      </c>
      <c r="BM337" s="49" t="e">
        <f>Saisie!BC337</f>
        <v>#REF!</v>
      </c>
      <c r="BN337" s="175"/>
    </row>
    <row r="338" spans="1:66" s="176" customFormat="1" x14ac:dyDescent="0.45">
      <c r="A338" s="13">
        <v>333</v>
      </c>
      <c r="B338" s="150">
        <f>Saisie!B338</f>
        <v>0</v>
      </c>
      <c r="C338" s="150">
        <f>Saisie!C338</f>
        <v>0</v>
      </c>
      <c r="D338" s="150">
        <f>Saisie!D338</f>
        <v>0</v>
      </c>
      <c r="E338" s="150">
        <f>Saisie!E338</f>
        <v>0</v>
      </c>
      <c r="F338" s="150">
        <f>Saisie!F338</f>
        <v>0</v>
      </c>
      <c r="G338" s="150">
        <f>Saisie!G338</f>
        <v>0</v>
      </c>
      <c r="H338" s="150">
        <f>Saisie!I338</f>
        <v>0</v>
      </c>
      <c r="I338" s="150">
        <f>Saisie!J338</f>
        <v>0</v>
      </c>
      <c r="J338" s="150">
        <f>Saisie!K338</f>
        <v>0</v>
      </c>
      <c r="K338" s="150">
        <f>Saisie!L338</f>
        <v>0</v>
      </c>
      <c r="L338" s="150" t="e">
        <f>Saisie!#REF!</f>
        <v>#REF!</v>
      </c>
      <c r="M338" s="55" t="e">
        <f t="array" ref="M338">_xlfn.IFS(Saisie!M338="OUI",1,Saisie!M338="NON",0)</f>
        <v>#N/A</v>
      </c>
      <c r="N338" s="64" t="e">
        <f>Saisie!#REF!</f>
        <v>#REF!</v>
      </c>
      <c r="O338" s="63" t="e">
        <f>Saisie!#REF!</f>
        <v>#REF!</v>
      </c>
      <c r="P338" s="63">
        <f>Saisie!N338</f>
        <v>0</v>
      </c>
      <c r="Q338" s="63" t="e">
        <f t="array" ref="Q338">_xlfn.IFS(Saisie!#REF!="OUI",1,Saisie!#REF!="NON",0)</f>
        <v>#REF!</v>
      </c>
      <c r="R338" s="63" t="e">
        <f>Saisie!#REF!</f>
        <v>#REF!</v>
      </c>
      <c r="S338" s="65" t="e">
        <f>Saisie!#REF!</f>
        <v>#REF!</v>
      </c>
      <c r="T338" s="63" t="e">
        <f>Saisie!#REF!</f>
        <v>#REF!</v>
      </c>
      <c r="U338" s="63" t="e">
        <f>Saisie!#REF!</f>
        <v>#REF!</v>
      </c>
      <c r="V338" s="63" t="e">
        <f t="array" ref="V338">_xlfn.IFS(Saisie!#REF!="OUI",1,Saisie!#REF!="NON",0)</f>
        <v>#REF!</v>
      </c>
      <c r="W338" s="63" t="e">
        <f t="array" ref="W338">_xlfn.IFS(Saisie!O338="OUI",1,Saisie!O338="NON",0)</f>
        <v>#N/A</v>
      </c>
      <c r="X338" s="63">
        <f>Saisie!P338</f>
        <v>0</v>
      </c>
      <c r="Y338" s="299">
        <f>Saisie!H338</f>
        <v>0</v>
      </c>
      <c r="Z338" s="58" t="e">
        <f>Saisie!#REF!</f>
        <v>#REF!</v>
      </c>
      <c r="AA338" s="299">
        <f>Saisie!Q338</f>
        <v>0</v>
      </c>
      <c r="AB338" s="63" t="e">
        <f t="array" ref="AB338">_xlfn.IFS(Saisie!R338="OUI",1,Saisie!R338="NON",0)</f>
        <v>#N/A</v>
      </c>
      <c r="AC338" s="63">
        <f>Saisie!S338</f>
        <v>0</v>
      </c>
      <c r="AD338" s="63" t="e">
        <f t="array" ref="AD338">_xlfn.IFS(Saisie!T338="OUI",1,Saisie!T338="NON",0)</f>
        <v>#N/A</v>
      </c>
      <c r="AE338" s="171">
        <f>Saisie!U338</f>
        <v>0</v>
      </c>
      <c r="AF338" s="262">
        <v>3</v>
      </c>
      <c r="AG338" s="129">
        <f>Saisie!W338</f>
        <v>0</v>
      </c>
      <c r="AH338" s="20">
        <f>Saisie!X338</f>
        <v>0</v>
      </c>
      <c r="AI338" s="21">
        <f>Saisie!Y338</f>
        <v>0</v>
      </c>
      <c r="AJ338" s="59">
        <f>Saisie!Z338</f>
        <v>0</v>
      </c>
      <c r="AK338" s="20">
        <f>Saisie!AA338</f>
        <v>0</v>
      </c>
      <c r="AL338" s="21">
        <f>Saisie!AB338</f>
        <v>0</v>
      </c>
      <c r="AM338" s="59">
        <f>Saisie!AC338</f>
        <v>0</v>
      </c>
      <c r="AN338" s="20">
        <f>Saisie!AD338</f>
        <v>0</v>
      </c>
      <c r="AO338" s="21">
        <f>Saisie!AE338</f>
        <v>0</v>
      </c>
      <c r="AP338" s="59">
        <f>Saisie!AF338</f>
        <v>0</v>
      </c>
      <c r="AQ338" s="129" t="e">
        <f t="array" ref="AQ338">_xlfn.IFS(Saisie!AG338="OUI",1,Saisie!AG338="NON",0)</f>
        <v>#N/A</v>
      </c>
      <c r="AR338" s="129" t="e">
        <f t="array" ref="AR338">_xlfn.IFS(Saisie!AH338="OUI",1,Saisie!AH338="NON",0)</f>
        <v>#N/A</v>
      </c>
      <c r="AS338" s="171">
        <f>Saisie!AI338</f>
        <v>0</v>
      </c>
      <c r="AT338" s="263" t="e">
        <f t="array" ref="AT338">_xlfn.IFS(Saisie!AJ338="OUI",1,Saisie!AJ338="NON",0)</f>
        <v>#N/A</v>
      </c>
      <c r="AU338" s="173">
        <f>Saisie!AK338</f>
        <v>0</v>
      </c>
      <c r="AV338" s="263" t="e">
        <f t="array" ref="AV338">_xlfn.IFS(Saisie!AL338="OUI",1,Saisie!AL338="NON",0)</f>
        <v>#N/A</v>
      </c>
      <c r="AW338" s="171">
        <f>Saisie!AM338</f>
        <v>0</v>
      </c>
      <c r="AX338" s="68">
        <f>Saisie!AN338</f>
        <v>0</v>
      </c>
      <c r="AY338" s="20">
        <f>Saisie!AO338</f>
        <v>0</v>
      </c>
      <c r="AZ338" s="21">
        <f>Saisie!AP338</f>
        <v>0</v>
      </c>
      <c r="BA338" s="298">
        <f>Saisie!AQ338</f>
        <v>0</v>
      </c>
      <c r="BB338" s="170">
        <f>Saisie!AR338</f>
        <v>0</v>
      </c>
      <c r="BC338" s="174">
        <f>Saisie!AS338</f>
        <v>0</v>
      </c>
      <c r="BD338" s="61">
        <f>Saisie!AT338</f>
        <v>0</v>
      </c>
      <c r="BE338" s="175" t="e">
        <f t="array" ref="BE338">_xlfn.IFS(Saisie!AU338="OUI",1,Saisie!AU338="NON",0)</f>
        <v>#N/A</v>
      </c>
      <c r="BF338" s="267">
        <f>Saisie!AV338</f>
        <v>0</v>
      </c>
      <c r="BG338" s="55">
        <f>Saisie!AW338</f>
        <v>0</v>
      </c>
      <c r="BH338" s="55" t="e">
        <f t="array" ref="BH338">_xlfn.IFS(Saisie!AX338="OUI",1,Saisie!AX338="NON",0)</f>
        <v>#N/A</v>
      </c>
      <c r="BI338" s="62">
        <f>Saisie!AY338</f>
        <v>0</v>
      </c>
      <c r="BJ338" s="55" t="e">
        <f t="array" ref="BJ338">_xlfn.IFS(Saisie!AZ338="OUI",1,Saisie!AZ338="NON",0)</f>
        <v>#N/A</v>
      </c>
      <c r="BK338" s="55" t="e">
        <f t="array" ref="BK338">_xlfn.IFS(Saisie!BA338="OUI",1,Saisie!BA338="NON",0)</f>
        <v>#N/A</v>
      </c>
      <c r="BL338" s="55">
        <f>Saisie!BB338</f>
        <v>0</v>
      </c>
      <c r="BM338" s="49" t="e">
        <f>Saisie!BC338</f>
        <v>#REF!</v>
      </c>
      <c r="BN338" s="175"/>
    </row>
    <row r="339" spans="1:66" s="176" customFormat="1" x14ac:dyDescent="0.45">
      <c r="A339" s="12">
        <v>334</v>
      </c>
      <c r="B339" s="150">
        <f>Saisie!B339</f>
        <v>0</v>
      </c>
      <c r="C339" s="150">
        <f>Saisie!C339</f>
        <v>0</v>
      </c>
      <c r="D339" s="150">
        <f>Saisie!D339</f>
        <v>0</v>
      </c>
      <c r="E339" s="150">
        <f>Saisie!E339</f>
        <v>0</v>
      </c>
      <c r="F339" s="150">
        <f>Saisie!F339</f>
        <v>0</v>
      </c>
      <c r="G339" s="150">
        <f>Saisie!G339</f>
        <v>0</v>
      </c>
      <c r="H339" s="150">
        <f>Saisie!I339</f>
        <v>0</v>
      </c>
      <c r="I339" s="150">
        <f>Saisie!J339</f>
        <v>0</v>
      </c>
      <c r="J339" s="150">
        <f>Saisie!K339</f>
        <v>0</v>
      </c>
      <c r="K339" s="150">
        <f>Saisie!L339</f>
        <v>0</v>
      </c>
      <c r="L339" s="150" t="e">
        <f>Saisie!#REF!</f>
        <v>#REF!</v>
      </c>
      <c r="M339" s="55" t="e">
        <f t="array" ref="M339">_xlfn.IFS(Saisie!M339="OUI",1,Saisie!M339="NON",0)</f>
        <v>#N/A</v>
      </c>
      <c r="N339" s="64" t="e">
        <f>Saisie!#REF!</f>
        <v>#REF!</v>
      </c>
      <c r="O339" s="63" t="e">
        <f>Saisie!#REF!</f>
        <v>#REF!</v>
      </c>
      <c r="P339" s="63">
        <f>Saisie!N339</f>
        <v>0</v>
      </c>
      <c r="Q339" s="63" t="e">
        <f t="array" ref="Q339">_xlfn.IFS(Saisie!#REF!="OUI",1,Saisie!#REF!="NON",0)</f>
        <v>#REF!</v>
      </c>
      <c r="R339" s="63" t="e">
        <f>Saisie!#REF!</f>
        <v>#REF!</v>
      </c>
      <c r="S339" s="65" t="e">
        <f>Saisie!#REF!</f>
        <v>#REF!</v>
      </c>
      <c r="T339" s="63" t="e">
        <f>Saisie!#REF!</f>
        <v>#REF!</v>
      </c>
      <c r="U339" s="63" t="e">
        <f>Saisie!#REF!</f>
        <v>#REF!</v>
      </c>
      <c r="V339" s="63" t="e">
        <f t="array" ref="V339">_xlfn.IFS(Saisie!#REF!="OUI",1,Saisie!#REF!="NON",0)</f>
        <v>#REF!</v>
      </c>
      <c r="W339" s="63" t="e">
        <f t="array" ref="W339">_xlfn.IFS(Saisie!O339="OUI",1,Saisie!O339="NON",0)</f>
        <v>#N/A</v>
      </c>
      <c r="X339" s="63">
        <f>Saisie!P339</f>
        <v>0</v>
      </c>
      <c r="Y339" s="299">
        <f>Saisie!H339</f>
        <v>0</v>
      </c>
      <c r="Z339" s="58" t="e">
        <f>Saisie!#REF!</f>
        <v>#REF!</v>
      </c>
      <c r="AA339" s="299">
        <f>Saisie!Q339</f>
        <v>0</v>
      </c>
      <c r="AB339" s="63" t="e">
        <f t="array" ref="AB339">_xlfn.IFS(Saisie!R339="OUI",1,Saisie!R339="NON",0)</f>
        <v>#N/A</v>
      </c>
      <c r="AC339" s="63">
        <f>Saisie!S339</f>
        <v>0</v>
      </c>
      <c r="AD339" s="63" t="e">
        <f t="array" ref="AD339">_xlfn.IFS(Saisie!T339="OUI",1,Saisie!T339="NON",0)</f>
        <v>#N/A</v>
      </c>
      <c r="AE339" s="171">
        <f>Saisie!U339</f>
        <v>0</v>
      </c>
      <c r="AF339" s="262">
        <v>3</v>
      </c>
      <c r="AG339" s="129">
        <f>Saisie!W339</f>
        <v>0</v>
      </c>
      <c r="AH339" s="20">
        <f>Saisie!X339</f>
        <v>0</v>
      </c>
      <c r="AI339" s="21">
        <f>Saisie!Y339</f>
        <v>0</v>
      </c>
      <c r="AJ339" s="59">
        <f>Saisie!Z339</f>
        <v>0</v>
      </c>
      <c r="AK339" s="20">
        <f>Saisie!AA339</f>
        <v>0</v>
      </c>
      <c r="AL339" s="21">
        <f>Saisie!AB339</f>
        <v>0</v>
      </c>
      <c r="AM339" s="59">
        <f>Saisie!AC339</f>
        <v>0</v>
      </c>
      <c r="AN339" s="20">
        <f>Saisie!AD339</f>
        <v>0</v>
      </c>
      <c r="AO339" s="21">
        <f>Saisie!AE339</f>
        <v>0</v>
      </c>
      <c r="AP339" s="59">
        <f>Saisie!AF339</f>
        <v>0</v>
      </c>
      <c r="AQ339" s="129" t="e">
        <f t="array" ref="AQ339">_xlfn.IFS(Saisie!AG339="OUI",1,Saisie!AG339="NON",0)</f>
        <v>#N/A</v>
      </c>
      <c r="AR339" s="129" t="e">
        <f t="array" ref="AR339">_xlfn.IFS(Saisie!AH339="OUI",1,Saisie!AH339="NON",0)</f>
        <v>#N/A</v>
      </c>
      <c r="AS339" s="171">
        <f>Saisie!AI339</f>
        <v>0</v>
      </c>
      <c r="AT339" s="263" t="e">
        <f t="array" ref="AT339">_xlfn.IFS(Saisie!AJ339="OUI",1,Saisie!AJ339="NON",0)</f>
        <v>#N/A</v>
      </c>
      <c r="AU339" s="173">
        <f>Saisie!AK339</f>
        <v>0</v>
      </c>
      <c r="AV339" s="263" t="e">
        <f t="array" ref="AV339">_xlfn.IFS(Saisie!AL339="OUI",1,Saisie!AL339="NON",0)</f>
        <v>#N/A</v>
      </c>
      <c r="AW339" s="171">
        <f>Saisie!AM339</f>
        <v>0</v>
      </c>
      <c r="AX339" s="68">
        <f>Saisie!AN339</f>
        <v>0</v>
      </c>
      <c r="AY339" s="20">
        <f>Saisie!AO339</f>
        <v>0</v>
      </c>
      <c r="AZ339" s="21">
        <f>Saisie!AP339</f>
        <v>0</v>
      </c>
      <c r="BA339" s="298">
        <f>Saisie!AQ339</f>
        <v>0</v>
      </c>
      <c r="BB339" s="170">
        <f>Saisie!AR339</f>
        <v>0</v>
      </c>
      <c r="BC339" s="174">
        <f>Saisie!AS339</f>
        <v>0</v>
      </c>
      <c r="BD339" s="61">
        <f>Saisie!AT339</f>
        <v>0</v>
      </c>
      <c r="BE339" s="175" t="e">
        <f t="array" ref="BE339">_xlfn.IFS(Saisie!AU339="OUI",1,Saisie!AU339="NON",0)</f>
        <v>#N/A</v>
      </c>
      <c r="BF339" s="267">
        <f>Saisie!AV339</f>
        <v>0</v>
      </c>
      <c r="BG339" s="55">
        <f>Saisie!AW339</f>
        <v>0</v>
      </c>
      <c r="BH339" s="55" t="e">
        <f t="array" ref="BH339">_xlfn.IFS(Saisie!AX339="OUI",1,Saisie!AX339="NON",0)</f>
        <v>#N/A</v>
      </c>
      <c r="BI339" s="62">
        <f>Saisie!AY339</f>
        <v>0</v>
      </c>
      <c r="BJ339" s="55" t="e">
        <f t="array" ref="BJ339">_xlfn.IFS(Saisie!AZ339="OUI",1,Saisie!AZ339="NON",0)</f>
        <v>#N/A</v>
      </c>
      <c r="BK339" s="55" t="e">
        <f t="array" ref="BK339">_xlfn.IFS(Saisie!BA339="OUI",1,Saisie!BA339="NON",0)</f>
        <v>#N/A</v>
      </c>
      <c r="BL339" s="55">
        <f>Saisie!BB339</f>
        <v>0</v>
      </c>
      <c r="BM339" s="49" t="e">
        <f>Saisie!BC339</f>
        <v>#REF!</v>
      </c>
      <c r="BN339" s="175"/>
    </row>
    <row r="340" spans="1:66" s="176" customFormat="1" x14ac:dyDescent="0.45">
      <c r="A340" s="13">
        <v>335</v>
      </c>
      <c r="B340" s="150">
        <f>Saisie!B340</f>
        <v>0</v>
      </c>
      <c r="C340" s="150">
        <f>Saisie!C340</f>
        <v>0</v>
      </c>
      <c r="D340" s="150">
        <f>Saisie!D340</f>
        <v>0</v>
      </c>
      <c r="E340" s="150">
        <f>Saisie!E340</f>
        <v>0</v>
      </c>
      <c r="F340" s="150">
        <f>Saisie!F340</f>
        <v>0</v>
      </c>
      <c r="G340" s="150">
        <f>Saisie!G340</f>
        <v>0</v>
      </c>
      <c r="H340" s="150">
        <f>Saisie!I340</f>
        <v>0</v>
      </c>
      <c r="I340" s="150">
        <f>Saisie!J340</f>
        <v>0</v>
      </c>
      <c r="J340" s="150">
        <f>Saisie!K340</f>
        <v>0</v>
      </c>
      <c r="K340" s="150">
        <f>Saisie!L340</f>
        <v>0</v>
      </c>
      <c r="L340" s="150" t="e">
        <f>Saisie!#REF!</f>
        <v>#REF!</v>
      </c>
      <c r="M340" s="55" t="e">
        <f t="array" ref="M340">_xlfn.IFS(Saisie!M340="OUI",1,Saisie!M340="NON",0)</f>
        <v>#N/A</v>
      </c>
      <c r="N340" s="64" t="e">
        <f>Saisie!#REF!</f>
        <v>#REF!</v>
      </c>
      <c r="O340" s="63" t="e">
        <f>Saisie!#REF!</f>
        <v>#REF!</v>
      </c>
      <c r="P340" s="63">
        <f>Saisie!N340</f>
        <v>0</v>
      </c>
      <c r="Q340" s="63" t="e">
        <f t="array" ref="Q340">_xlfn.IFS(Saisie!#REF!="OUI",1,Saisie!#REF!="NON",0)</f>
        <v>#REF!</v>
      </c>
      <c r="R340" s="63" t="e">
        <f>Saisie!#REF!</f>
        <v>#REF!</v>
      </c>
      <c r="S340" s="65" t="e">
        <f>Saisie!#REF!</f>
        <v>#REF!</v>
      </c>
      <c r="T340" s="63" t="e">
        <f>Saisie!#REF!</f>
        <v>#REF!</v>
      </c>
      <c r="U340" s="63" t="e">
        <f>Saisie!#REF!</f>
        <v>#REF!</v>
      </c>
      <c r="V340" s="63" t="e">
        <f t="array" ref="V340">_xlfn.IFS(Saisie!#REF!="OUI",1,Saisie!#REF!="NON",0)</f>
        <v>#REF!</v>
      </c>
      <c r="W340" s="63" t="e">
        <f t="array" ref="W340">_xlfn.IFS(Saisie!O340="OUI",1,Saisie!O340="NON",0)</f>
        <v>#N/A</v>
      </c>
      <c r="X340" s="63">
        <f>Saisie!P340</f>
        <v>0</v>
      </c>
      <c r="Y340" s="299">
        <f>Saisie!H340</f>
        <v>0</v>
      </c>
      <c r="Z340" s="58" t="e">
        <f>Saisie!#REF!</f>
        <v>#REF!</v>
      </c>
      <c r="AA340" s="299">
        <f>Saisie!Q340</f>
        <v>0</v>
      </c>
      <c r="AB340" s="63" t="e">
        <f t="array" ref="AB340">_xlfn.IFS(Saisie!R340="OUI",1,Saisie!R340="NON",0)</f>
        <v>#N/A</v>
      </c>
      <c r="AC340" s="63">
        <f>Saisie!S340</f>
        <v>0</v>
      </c>
      <c r="AD340" s="63" t="e">
        <f t="array" ref="AD340">_xlfn.IFS(Saisie!T340="OUI",1,Saisie!T340="NON",0)</f>
        <v>#N/A</v>
      </c>
      <c r="AE340" s="171">
        <f>Saisie!U340</f>
        <v>0</v>
      </c>
      <c r="AF340" s="262">
        <v>3</v>
      </c>
      <c r="AG340" s="129">
        <f>Saisie!W340</f>
        <v>0</v>
      </c>
      <c r="AH340" s="20">
        <f>Saisie!X340</f>
        <v>0</v>
      </c>
      <c r="AI340" s="21">
        <f>Saisie!Y340</f>
        <v>0</v>
      </c>
      <c r="AJ340" s="59">
        <f>Saisie!Z340</f>
        <v>0</v>
      </c>
      <c r="AK340" s="20">
        <f>Saisie!AA340</f>
        <v>0</v>
      </c>
      <c r="AL340" s="21">
        <f>Saisie!AB340</f>
        <v>0</v>
      </c>
      <c r="AM340" s="59">
        <f>Saisie!AC340</f>
        <v>0</v>
      </c>
      <c r="AN340" s="20">
        <f>Saisie!AD340</f>
        <v>0</v>
      </c>
      <c r="AO340" s="21">
        <f>Saisie!AE340</f>
        <v>0</v>
      </c>
      <c r="AP340" s="59">
        <f>Saisie!AF340</f>
        <v>0</v>
      </c>
      <c r="AQ340" s="129" t="e">
        <f t="array" ref="AQ340">_xlfn.IFS(Saisie!AG340="OUI",1,Saisie!AG340="NON",0)</f>
        <v>#N/A</v>
      </c>
      <c r="AR340" s="129" t="e">
        <f t="array" ref="AR340">_xlfn.IFS(Saisie!AH340="OUI",1,Saisie!AH340="NON",0)</f>
        <v>#N/A</v>
      </c>
      <c r="AS340" s="171">
        <f>Saisie!AI340</f>
        <v>0</v>
      </c>
      <c r="AT340" s="263" t="e">
        <f t="array" ref="AT340">_xlfn.IFS(Saisie!AJ340="OUI",1,Saisie!AJ340="NON",0)</f>
        <v>#N/A</v>
      </c>
      <c r="AU340" s="173">
        <f>Saisie!AK340</f>
        <v>0</v>
      </c>
      <c r="AV340" s="263" t="e">
        <f t="array" ref="AV340">_xlfn.IFS(Saisie!AL340="OUI",1,Saisie!AL340="NON",0)</f>
        <v>#N/A</v>
      </c>
      <c r="AW340" s="171">
        <f>Saisie!AM340</f>
        <v>0</v>
      </c>
      <c r="AX340" s="68">
        <f>Saisie!AN340</f>
        <v>0</v>
      </c>
      <c r="AY340" s="20">
        <f>Saisie!AO340</f>
        <v>0</v>
      </c>
      <c r="AZ340" s="21">
        <f>Saisie!AP340</f>
        <v>0</v>
      </c>
      <c r="BA340" s="298">
        <f>Saisie!AQ340</f>
        <v>0</v>
      </c>
      <c r="BB340" s="170">
        <f>Saisie!AR340</f>
        <v>0</v>
      </c>
      <c r="BC340" s="174">
        <f>Saisie!AS340</f>
        <v>0</v>
      </c>
      <c r="BD340" s="61">
        <f>Saisie!AT340</f>
        <v>0</v>
      </c>
      <c r="BE340" s="175" t="e">
        <f t="array" ref="BE340">_xlfn.IFS(Saisie!AU340="OUI",1,Saisie!AU340="NON",0)</f>
        <v>#N/A</v>
      </c>
      <c r="BF340" s="267">
        <f>Saisie!AV340</f>
        <v>0</v>
      </c>
      <c r="BG340" s="55">
        <f>Saisie!AW340</f>
        <v>0</v>
      </c>
      <c r="BH340" s="55" t="e">
        <f t="array" ref="BH340">_xlfn.IFS(Saisie!AX340="OUI",1,Saisie!AX340="NON",0)</f>
        <v>#N/A</v>
      </c>
      <c r="BI340" s="62">
        <f>Saisie!AY340</f>
        <v>0</v>
      </c>
      <c r="BJ340" s="55" t="e">
        <f t="array" ref="BJ340">_xlfn.IFS(Saisie!AZ340="OUI",1,Saisie!AZ340="NON",0)</f>
        <v>#N/A</v>
      </c>
      <c r="BK340" s="55" t="e">
        <f t="array" ref="BK340">_xlfn.IFS(Saisie!BA340="OUI",1,Saisie!BA340="NON",0)</f>
        <v>#N/A</v>
      </c>
      <c r="BL340" s="55">
        <f>Saisie!BB340</f>
        <v>0</v>
      </c>
      <c r="BM340" s="49" t="e">
        <f>Saisie!BC340</f>
        <v>#REF!</v>
      </c>
      <c r="BN340" s="175"/>
    </row>
    <row r="341" spans="1:66" s="176" customFormat="1" x14ac:dyDescent="0.45">
      <c r="A341" s="13">
        <v>336</v>
      </c>
      <c r="B341" s="150">
        <f>Saisie!B341</f>
        <v>0</v>
      </c>
      <c r="C341" s="150">
        <f>Saisie!C341</f>
        <v>0</v>
      </c>
      <c r="D341" s="150">
        <f>Saisie!D341</f>
        <v>0</v>
      </c>
      <c r="E341" s="150">
        <f>Saisie!E341</f>
        <v>0</v>
      </c>
      <c r="F341" s="150">
        <f>Saisie!F341</f>
        <v>0</v>
      </c>
      <c r="G341" s="150">
        <f>Saisie!G341</f>
        <v>0</v>
      </c>
      <c r="H341" s="150">
        <f>Saisie!I341</f>
        <v>0</v>
      </c>
      <c r="I341" s="150">
        <f>Saisie!J341</f>
        <v>0</v>
      </c>
      <c r="J341" s="150">
        <f>Saisie!K341</f>
        <v>0</v>
      </c>
      <c r="K341" s="150">
        <f>Saisie!L341</f>
        <v>0</v>
      </c>
      <c r="L341" s="150" t="e">
        <f>Saisie!#REF!</f>
        <v>#REF!</v>
      </c>
      <c r="M341" s="55" t="e">
        <f t="array" ref="M341">_xlfn.IFS(Saisie!M341="OUI",1,Saisie!M341="NON",0)</f>
        <v>#N/A</v>
      </c>
      <c r="N341" s="64" t="e">
        <f>Saisie!#REF!</f>
        <v>#REF!</v>
      </c>
      <c r="O341" s="63" t="e">
        <f>Saisie!#REF!</f>
        <v>#REF!</v>
      </c>
      <c r="P341" s="63">
        <f>Saisie!N341</f>
        <v>0</v>
      </c>
      <c r="Q341" s="63" t="e">
        <f t="array" ref="Q341">_xlfn.IFS(Saisie!#REF!="OUI",1,Saisie!#REF!="NON",0)</f>
        <v>#REF!</v>
      </c>
      <c r="R341" s="63" t="e">
        <f>Saisie!#REF!</f>
        <v>#REF!</v>
      </c>
      <c r="S341" s="65" t="e">
        <f>Saisie!#REF!</f>
        <v>#REF!</v>
      </c>
      <c r="T341" s="63" t="e">
        <f>Saisie!#REF!</f>
        <v>#REF!</v>
      </c>
      <c r="U341" s="63" t="e">
        <f>Saisie!#REF!</f>
        <v>#REF!</v>
      </c>
      <c r="V341" s="63" t="e">
        <f t="array" ref="V341">_xlfn.IFS(Saisie!#REF!="OUI",1,Saisie!#REF!="NON",0)</f>
        <v>#REF!</v>
      </c>
      <c r="W341" s="63" t="e">
        <f t="array" ref="W341">_xlfn.IFS(Saisie!O341="OUI",1,Saisie!O341="NON",0)</f>
        <v>#N/A</v>
      </c>
      <c r="X341" s="63">
        <f>Saisie!P341</f>
        <v>0</v>
      </c>
      <c r="Y341" s="299">
        <f>Saisie!H341</f>
        <v>0</v>
      </c>
      <c r="Z341" s="58" t="e">
        <f>Saisie!#REF!</f>
        <v>#REF!</v>
      </c>
      <c r="AA341" s="299">
        <f>Saisie!Q341</f>
        <v>0</v>
      </c>
      <c r="AB341" s="63" t="e">
        <f t="array" ref="AB341">_xlfn.IFS(Saisie!R341="OUI",1,Saisie!R341="NON",0)</f>
        <v>#N/A</v>
      </c>
      <c r="AC341" s="63">
        <f>Saisie!S341</f>
        <v>0</v>
      </c>
      <c r="AD341" s="63" t="e">
        <f t="array" ref="AD341">_xlfn.IFS(Saisie!T341="OUI",1,Saisie!T341="NON",0)</f>
        <v>#N/A</v>
      </c>
      <c r="AE341" s="171">
        <f>Saisie!U341</f>
        <v>0</v>
      </c>
      <c r="AF341" s="262">
        <v>3</v>
      </c>
      <c r="AG341" s="129">
        <f>Saisie!W341</f>
        <v>0</v>
      </c>
      <c r="AH341" s="20">
        <f>Saisie!X341</f>
        <v>0</v>
      </c>
      <c r="AI341" s="21">
        <f>Saisie!Y341</f>
        <v>0</v>
      </c>
      <c r="AJ341" s="59">
        <f>Saisie!Z341</f>
        <v>0</v>
      </c>
      <c r="AK341" s="20">
        <f>Saisie!AA341</f>
        <v>0</v>
      </c>
      <c r="AL341" s="21">
        <f>Saisie!AB341</f>
        <v>0</v>
      </c>
      <c r="AM341" s="59">
        <f>Saisie!AC341</f>
        <v>0</v>
      </c>
      <c r="AN341" s="20">
        <f>Saisie!AD341</f>
        <v>0</v>
      </c>
      <c r="AO341" s="21">
        <f>Saisie!AE341</f>
        <v>0</v>
      </c>
      <c r="AP341" s="59">
        <f>Saisie!AF341</f>
        <v>0</v>
      </c>
      <c r="AQ341" s="129" t="e">
        <f t="array" ref="AQ341">_xlfn.IFS(Saisie!AG341="OUI",1,Saisie!AG341="NON",0)</f>
        <v>#N/A</v>
      </c>
      <c r="AR341" s="129" t="e">
        <f t="array" ref="AR341">_xlfn.IFS(Saisie!AH341="OUI",1,Saisie!AH341="NON",0)</f>
        <v>#N/A</v>
      </c>
      <c r="AS341" s="171">
        <f>Saisie!AI341</f>
        <v>0</v>
      </c>
      <c r="AT341" s="263" t="e">
        <f t="array" ref="AT341">_xlfn.IFS(Saisie!AJ341="OUI",1,Saisie!AJ341="NON",0)</f>
        <v>#N/A</v>
      </c>
      <c r="AU341" s="173">
        <f>Saisie!AK341</f>
        <v>0</v>
      </c>
      <c r="AV341" s="263" t="e">
        <f t="array" ref="AV341">_xlfn.IFS(Saisie!AL341="OUI",1,Saisie!AL341="NON",0)</f>
        <v>#N/A</v>
      </c>
      <c r="AW341" s="171">
        <f>Saisie!AM341</f>
        <v>0</v>
      </c>
      <c r="AX341" s="68">
        <f>Saisie!AN341</f>
        <v>0</v>
      </c>
      <c r="AY341" s="20">
        <f>Saisie!AO341</f>
        <v>0</v>
      </c>
      <c r="AZ341" s="21">
        <f>Saisie!AP341</f>
        <v>0</v>
      </c>
      <c r="BA341" s="298">
        <f>Saisie!AQ341</f>
        <v>0</v>
      </c>
      <c r="BB341" s="170">
        <f>Saisie!AR341</f>
        <v>0</v>
      </c>
      <c r="BC341" s="174">
        <f>Saisie!AS341</f>
        <v>0</v>
      </c>
      <c r="BD341" s="61">
        <f>Saisie!AT341</f>
        <v>0</v>
      </c>
      <c r="BE341" s="175" t="e">
        <f t="array" ref="BE341">_xlfn.IFS(Saisie!AU341="OUI",1,Saisie!AU341="NON",0)</f>
        <v>#N/A</v>
      </c>
      <c r="BF341" s="267">
        <f>Saisie!AV341</f>
        <v>0</v>
      </c>
      <c r="BG341" s="55">
        <f>Saisie!AW341</f>
        <v>0</v>
      </c>
      <c r="BH341" s="55" t="e">
        <f t="array" ref="BH341">_xlfn.IFS(Saisie!AX341="OUI",1,Saisie!AX341="NON",0)</f>
        <v>#N/A</v>
      </c>
      <c r="BI341" s="62">
        <f>Saisie!AY341</f>
        <v>0</v>
      </c>
      <c r="BJ341" s="55" t="e">
        <f t="array" ref="BJ341">_xlfn.IFS(Saisie!AZ341="OUI",1,Saisie!AZ341="NON",0)</f>
        <v>#N/A</v>
      </c>
      <c r="BK341" s="55" t="e">
        <f t="array" ref="BK341">_xlfn.IFS(Saisie!BA341="OUI",1,Saisie!BA341="NON",0)</f>
        <v>#N/A</v>
      </c>
      <c r="BL341" s="55">
        <f>Saisie!BB341</f>
        <v>0</v>
      </c>
      <c r="BM341" s="49" t="e">
        <f>Saisie!BC341</f>
        <v>#REF!</v>
      </c>
      <c r="BN341" s="175"/>
    </row>
    <row r="342" spans="1:66" s="176" customFormat="1" x14ac:dyDescent="0.45">
      <c r="A342" s="12">
        <v>337</v>
      </c>
      <c r="B342" s="150">
        <f>Saisie!B342</f>
        <v>0</v>
      </c>
      <c r="C342" s="150">
        <f>Saisie!C342</f>
        <v>0</v>
      </c>
      <c r="D342" s="150">
        <f>Saisie!D342</f>
        <v>0</v>
      </c>
      <c r="E342" s="150">
        <f>Saisie!E342</f>
        <v>0</v>
      </c>
      <c r="F342" s="150">
        <f>Saisie!F342</f>
        <v>0</v>
      </c>
      <c r="G342" s="150">
        <f>Saisie!G342</f>
        <v>0</v>
      </c>
      <c r="H342" s="150">
        <f>Saisie!I342</f>
        <v>0</v>
      </c>
      <c r="I342" s="150">
        <f>Saisie!J342</f>
        <v>0</v>
      </c>
      <c r="J342" s="150">
        <f>Saisie!K342</f>
        <v>0</v>
      </c>
      <c r="K342" s="150">
        <f>Saisie!L342</f>
        <v>0</v>
      </c>
      <c r="L342" s="150" t="e">
        <f>Saisie!#REF!</f>
        <v>#REF!</v>
      </c>
      <c r="M342" s="55" t="e">
        <f t="array" ref="M342">_xlfn.IFS(Saisie!M342="OUI",1,Saisie!M342="NON",0)</f>
        <v>#N/A</v>
      </c>
      <c r="N342" s="64" t="e">
        <f>Saisie!#REF!</f>
        <v>#REF!</v>
      </c>
      <c r="O342" s="63" t="e">
        <f>Saisie!#REF!</f>
        <v>#REF!</v>
      </c>
      <c r="P342" s="63">
        <f>Saisie!N342</f>
        <v>0</v>
      </c>
      <c r="Q342" s="63" t="e">
        <f t="array" ref="Q342">_xlfn.IFS(Saisie!#REF!="OUI",1,Saisie!#REF!="NON",0)</f>
        <v>#REF!</v>
      </c>
      <c r="R342" s="63" t="e">
        <f>Saisie!#REF!</f>
        <v>#REF!</v>
      </c>
      <c r="S342" s="65" t="e">
        <f>Saisie!#REF!</f>
        <v>#REF!</v>
      </c>
      <c r="T342" s="63" t="e">
        <f>Saisie!#REF!</f>
        <v>#REF!</v>
      </c>
      <c r="U342" s="63" t="e">
        <f>Saisie!#REF!</f>
        <v>#REF!</v>
      </c>
      <c r="V342" s="63" t="e">
        <f t="array" ref="V342">_xlfn.IFS(Saisie!#REF!="OUI",1,Saisie!#REF!="NON",0)</f>
        <v>#REF!</v>
      </c>
      <c r="W342" s="63" t="e">
        <f t="array" ref="W342">_xlfn.IFS(Saisie!O342="OUI",1,Saisie!O342="NON",0)</f>
        <v>#N/A</v>
      </c>
      <c r="X342" s="63">
        <f>Saisie!P342</f>
        <v>0</v>
      </c>
      <c r="Y342" s="299">
        <f>Saisie!H342</f>
        <v>0</v>
      </c>
      <c r="Z342" s="58" t="e">
        <f>Saisie!#REF!</f>
        <v>#REF!</v>
      </c>
      <c r="AA342" s="299">
        <f>Saisie!Q342</f>
        <v>0</v>
      </c>
      <c r="AB342" s="63" t="e">
        <f t="array" ref="AB342">_xlfn.IFS(Saisie!R342="OUI",1,Saisie!R342="NON",0)</f>
        <v>#N/A</v>
      </c>
      <c r="AC342" s="63">
        <f>Saisie!S342</f>
        <v>0</v>
      </c>
      <c r="AD342" s="63" t="e">
        <f t="array" ref="AD342">_xlfn.IFS(Saisie!T342="OUI",1,Saisie!T342="NON",0)</f>
        <v>#N/A</v>
      </c>
      <c r="AE342" s="171">
        <f>Saisie!U342</f>
        <v>0</v>
      </c>
      <c r="AF342" s="262">
        <v>3</v>
      </c>
      <c r="AG342" s="129">
        <f>Saisie!W342</f>
        <v>0</v>
      </c>
      <c r="AH342" s="20">
        <f>Saisie!X342</f>
        <v>0</v>
      </c>
      <c r="AI342" s="21">
        <f>Saisie!Y342</f>
        <v>0</v>
      </c>
      <c r="AJ342" s="59">
        <f>Saisie!Z342</f>
        <v>0</v>
      </c>
      <c r="AK342" s="20">
        <f>Saisie!AA342</f>
        <v>0</v>
      </c>
      <c r="AL342" s="21">
        <f>Saisie!AB342</f>
        <v>0</v>
      </c>
      <c r="AM342" s="59">
        <f>Saisie!AC342</f>
        <v>0</v>
      </c>
      <c r="AN342" s="20">
        <f>Saisie!AD342</f>
        <v>0</v>
      </c>
      <c r="AO342" s="21">
        <f>Saisie!AE342</f>
        <v>0</v>
      </c>
      <c r="AP342" s="59">
        <f>Saisie!AF342</f>
        <v>0</v>
      </c>
      <c r="AQ342" s="129" t="e">
        <f t="array" ref="AQ342">_xlfn.IFS(Saisie!AG342="OUI",1,Saisie!AG342="NON",0)</f>
        <v>#N/A</v>
      </c>
      <c r="AR342" s="129" t="e">
        <f t="array" ref="AR342">_xlfn.IFS(Saisie!AH342="OUI",1,Saisie!AH342="NON",0)</f>
        <v>#N/A</v>
      </c>
      <c r="AS342" s="171">
        <f>Saisie!AI342</f>
        <v>0</v>
      </c>
      <c r="AT342" s="263" t="e">
        <f t="array" ref="AT342">_xlfn.IFS(Saisie!AJ342="OUI",1,Saisie!AJ342="NON",0)</f>
        <v>#N/A</v>
      </c>
      <c r="AU342" s="173">
        <f>Saisie!AK342</f>
        <v>0</v>
      </c>
      <c r="AV342" s="263" t="e">
        <f t="array" ref="AV342">_xlfn.IFS(Saisie!AL342="OUI",1,Saisie!AL342="NON",0)</f>
        <v>#N/A</v>
      </c>
      <c r="AW342" s="171">
        <f>Saisie!AM342</f>
        <v>0</v>
      </c>
      <c r="AX342" s="68">
        <f>Saisie!AN342</f>
        <v>0</v>
      </c>
      <c r="AY342" s="20">
        <f>Saisie!AO342</f>
        <v>0</v>
      </c>
      <c r="AZ342" s="21">
        <f>Saisie!AP342</f>
        <v>0</v>
      </c>
      <c r="BA342" s="298">
        <f>Saisie!AQ342</f>
        <v>0</v>
      </c>
      <c r="BB342" s="170">
        <f>Saisie!AR342</f>
        <v>0</v>
      </c>
      <c r="BC342" s="174">
        <f>Saisie!AS342</f>
        <v>0</v>
      </c>
      <c r="BD342" s="61">
        <f>Saisie!AT342</f>
        <v>0</v>
      </c>
      <c r="BE342" s="175" t="e">
        <f t="array" ref="BE342">_xlfn.IFS(Saisie!AU342="OUI",1,Saisie!AU342="NON",0)</f>
        <v>#N/A</v>
      </c>
      <c r="BF342" s="267">
        <f>Saisie!AV342</f>
        <v>0</v>
      </c>
      <c r="BG342" s="55">
        <f>Saisie!AW342</f>
        <v>0</v>
      </c>
      <c r="BH342" s="55" t="e">
        <f t="array" ref="BH342">_xlfn.IFS(Saisie!AX342="OUI",1,Saisie!AX342="NON",0)</f>
        <v>#N/A</v>
      </c>
      <c r="BI342" s="62">
        <f>Saisie!AY342</f>
        <v>0</v>
      </c>
      <c r="BJ342" s="55" t="e">
        <f t="array" ref="BJ342">_xlfn.IFS(Saisie!AZ342="OUI",1,Saisie!AZ342="NON",0)</f>
        <v>#N/A</v>
      </c>
      <c r="BK342" s="55" t="e">
        <f t="array" ref="BK342">_xlfn.IFS(Saisie!BA342="OUI",1,Saisie!BA342="NON",0)</f>
        <v>#N/A</v>
      </c>
      <c r="BL342" s="55">
        <f>Saisie!BB342</f>
        <v>0</v>
      </c>
      <c r="BM342" s="49" t="e">
        <f>Saisie!BC342</f>
        <v>#REF!</v>
      </c>
      <c r="BN342" s="175"/>
    </row>
    <row r="343" spans="1:66" s="176" customFormat="1" x14ac:dyDescent="0.45">
      <c r="A343" s="13">
        <v>338</v>
      </c>
      <c r="B343" s="150">
        <f>Saisie!B343</f>
        <v>0</v>
      </c>
      <c r="C343" s="150">
        <f>Saisie!C343</f>
        <v>0</v>
      </c>
      <c r="D343" s="150">
        <f>Saisie!D343</f>
        <v>0</v>
      </c>
      <c r="E343" s="150">
        <f>Saisie!E343</f>
        <v>0</v>
      </c>
      <c r="F343" s="150">
        <f>Saisie!F343</f>
        <v>0</v>
      </c>
      <c r="G343" s="150">
        <f>Saisie!G343</f>
        <v>0</v>
      </c>
      <c r="H343" s="150">
        <f>Saisie!I343</f>
        <v>0</v>
      </c>
      <c r="I343" s="150">
        <f>Saisie!J343</f>
        <v>0</v>
      </c>
      <c r="J343" s="150">
        <f>Saisie!K343</f>
        <v>0</v>
      </c>
      <c r="K343" s="150">
        <f>Saisie!L343</f>
        <v>0</v>
      </c>
      <c r="L343" s="150" t="e">
        <f>Saisie!#REF!</f>
        <v>#REF!</v>
      </c>
      <c r="M343" s="55" t="e">
        <f t="array" ref="M343">_xlfn.IFS(Saisie!M343="OUI",1,Saisie!M343="NON",0)</f>
        <v>#N/A</v>
      </c>
      <c r="N343" s="64" t="e">
        <f>Saisie!#REF!</f>
        <v>#REF!</v>
      </c>
      <c r="O343" s="63" t="e">
        <f>Saisie!#REF!</f>
        <v>#REF!</v>
      </c>
      <c r="P343" s="63">
        <f>Saisie!N343</f>
        <v>0</v>
      </c>
      <c r="Q343" s="63" t="e">
        <f t="array" ref="Q343">_xlfn.IFS(Saisie!#REF!="OUI",1,Saisie!#REF!="NON",0)</f>
        <v>#REF!</v>
      </c>
      <c r="R343" s="63" t="e">
        <f>Saisie!#REF!</f>
        <v>#REF!</v>
      </c>
      <c r="S343" s="65" t="e">
        <f>Saisie!#REF!</f>
        <v>#REF!</v>
      </c>
      <c r="T343" s="63" t="e">
        <f>Saisie!#REF!</f>
        <v>#REF!</v>
      </c>
      <c r="U343" s="63" t="e">
        <f>Saisie!#REF!</f>
        <v>#REF!</v>
      </c>
      <c r="V343" s="63" t="e">
        <f t="array" ref="V343">_xlfn.IFS(Saisie!#REF!="OUI",1,Saisie!#REF!="NON",0)</f>
        <v>#REF!</v>
      </c>
      <c r="W343" s="63" t="e">
        <f t="array" ref="W343">_xlfn.IFS(Saisie!O343="OUI",1,Saisie!O343="NON",0)</f>
        <v>#N/A</v>
      </c>
      <c r="X343" s="63">
        <f>Saisie!P343</f>
        <v>0</v>
      </c>
      <c r="Y343" s="299">
        <f>Saisie!H343</f>
        <v>0</v>
      </c>
      <c r="Z343" s="58" t="e">
        <f>Saisie!#REF!</f>
        <v>#REF!</v>
      </c>
      <c r="AA343" s="299">
        <f>Saisie!Q343</f>
        <v>0</v>
      </c>
      <c r="AB343" s="63" t="e">
        <f t="array" ref="AB343">_xlfn.IFS(Saisie!R343="OUI",1,Saisie!R343="NON",0)</f>
        <v>#N/A</v>
      </c>
      <c r="AC343" s="63">
        <f>Saisie!S343</f>
        <v>0</v>
      </c>
      <c r="AD343" s="63" t="e">
        <f t="array" ref="AD343">_xlfn.IFS(Saisie!T343="OUI",1,Saisie!T343="NON",0)</f>
        <v>#N/A</v>
      </c>
      <c r="AE343" s="171">
        <f>Saisie!U343</f>
        <v>0</v>
      </c>
      <c r="AF343" s="262">
        <v>3</v>
      </c>
      <c r="AG343" s="129">
        <f>Saisie!W343</f>
        <v>0</v>
      </c>
      <c r="AH343" s="20">
        <f>Saisie!X343</f>
        <v>0</v>
      </c>
      <c r="AI343" s="21">
        <f>Saisie!Y343</f>
        <v>0</v>
      </c>
      <c r="AJ343" s="59">
        <f>Saisie!Z343</f>
        <v>0</v>
      </c>
      <c r="AK343" s="20">
        <f>Saisie!AA343</f>
        <v>0</v>
      </c>
      <c r="AL343" s="21">
        <f>Saisie!AB343</f>
        <v>0</v>
      </c>
      <c r="AM343" s="59">
        <f>Saisie!AC343</f>
        <v>0</v>
      </c>
      <c r="AN343" s="20">
        <f>Saisie!AD343</f>
        <v>0</v>
      </c>
      <c r="AO343" s="21">
        <f>Saisie!AE343</f>
        <v>0</v>
      </c>
      <c r="AP343" s="59">
        <f>Saisie!AF343</f>
        <v>0</v>
      </c>
      <c r="AQ343" s="129" t="e">
        <f t="array" ref="AQ343">_xlfn.IFS(Saisie!AG343="OUI",1,Saisie!AG343="NON",0)</f>
        <v>#N/A</v>
      </c>
      <c r="AR343" s="129" t="e">
        <f t="array" ref="AR343">_xlfn.IFS(Saisie!AH343="OUI",1,Saisie!AH343="NON",0)</f>
        <v>#N/A</v>
      </c>
      <c r="AS343" s="171">
        <f>Saisie!AI343</f>
        <v>0</v>
      </c>
      <c r="AT343" s="263" t="e">
        <f t="array" ref="AT343">_xlfn.IFS(Saisie!AJ343="OUI",1,Saisie!AJ343="NON",0)</f>
        <v>#N/A</v>
      </c>
      <c r="AU343" s="173">
        <f>Saisie!AK343</f>
        <v>0</v>
      </c>
      <c r="AV343" s="263" t="e">
        <f t="array" ref="AV343">_xlfn.IFS(Saisie!AL343="OUI",1,Saisie!AL343="NON",0)</f>
        <v>#N/A</v>
      </c>
      <c r="AW343" s="171">
        <f>Saisie!AM343</f>
        <v>0</v>
      </c>
      <c r="AX343" s="68">
        <f>Saisie!AN343</f>
        <v>0</v>
      </c>
      <c r="AY343" s="20">
        <f>Saisie!AO343</f>
        <v>0</v>
      </c>
      <c r="AZ343" s="21">
        <f>Saisie!AP343</f>
        <v>0</v>
      </c>
      <c r="BA343" s="298">
        <f>Saisie!AQ343</f>
        <v>0</v>
      </c>
      <c r="BB343" s="170">
        <f>Saisie!AR343</f>
        <v>0</v>
      </c>
      <c r="BC343" s="174">
        <f>Saisie!AS343</f>
        <v>0</v>
      </c>
      <c r="BD343" s="61">
        <f>Saisie!AT343</f>
        <v>0</v>
      </c>
      <c r="BE343" s="175" t="e">
        <f t="array" ref="BE343">_xlfn.IFS(Saisie!AU343="OUI",1,Saisie!AU343="NON",0)</f>
        <v>#N/A</v>
      </c>
      <c r="BF343" s="267">
        <f>Saisie!AV343</f>
        <v>0</v>
      </c>
      <c r="BG343" s="55">
        <f>Saisie!AW343</f>
        <v>0</v>
      </c>
      <c r="BH343" s="55" t="e">
        <f t="array" ref="BH343">_xlfn.IFS(Saisie!AX343="OUI",1,Saisie!AX343="NON",0)</f>
        <v>#N/A</v>
      </c>
      <c r="BI343" s="62">
        <f>Saisie!AY343</f>
        <v>0</v>
      </c>
      <c r="BJ343" s="55" t="e">
        <f t="array" ref="BJ343">_xlfn.IFS(Saisie!AZ343="OUI",1,Saisie!AZ343="NON",0)</f>
        <v>#N/A</v>
      </c>
      <c r="BK343" s="55" t="e">
        <f t="array" ref="BK343">_xlfn.IFS(Saisie!BA343="OUI",1,Saisie!BA343="NON",0)</f>
        <v>#N/A</v>
      </c>
      <c r="BL343" s="55">
        <f>Saisie!BB343</f>
        <v>0</v>
      </c>
      <c r="BM343" s="49" t="e">
        <f>Saisie!BC343</f>
        <v>#REF!</v>
      </c>
      <c r="BN343" s="175"/>
    </row>
    <row r="344" spans="1:66" s="176" customFormat="1" x14ac:dyDescent="0.45">
      <c r="A344" s="13">
        <v>339</v>
      </c>
      <c r="B344" s="150">
        <f>Saisie!B344</f>
        <v>0</v>
      </c>
      <c r="C344" s="150">
        <f>Saisie!C344</f>
        <v>0</v>
      </c>
      <c r="D344" s="150">
        <f>Saisie!D344</f>
        <v>0</v>
      </c>
      <c r="E344" s="150">
        <f>Saisie!E344</f>
        <v>0</v>
      </c>
      <c r="F344" s="150">
        <f>Saisie!F344</f>
        <v>0</v>
      </c>
      <c r="G344" s="150">
        <f>Saisie!G344</f>
        <v>0</v>
      </c>
      <c r="H344" s="150">
        <f>Saisie!I344</f>
        <v>0</v>
      </c>
      <c r="I344" s="150">
        <f>Saisie!J344</f>
        <v>0</v>
      </c>
      <c r="J344" s="150">
        <f>Saisie!K344</f>
        <v>0</v>
      </c>
      <c r="K344" s="150">
        <f>Saisie!L344</f>
        <v>0</v>
      </c>
      <c r="L344" s="150" t="e">
        <f>Saisie!#REF!</f>
        <v>#REF!</v>
      </c>
      <c r="M344" s="55" t="e">
        <f t="array" ref="M344">_xlfn.IFS(Saisie!M344="OUI",1,Saisie!M344="NON",0)</f>
        <v>#N/A</v>
      </c>
      <c r="N344" s="64" t="e">
        <f>Saisie!#REF!</f>
        <v>#REF!</v>
      </c>
      <c r="O344" s="63" t="e">
        <f>Saisie!#REF!</f>
        <v>#REF!</v>
      </c>
      <c r="P344" s="63">
        <f>Saisie!N344</f>
        <v>0</v>
      </c>
      <c r="Q344" s="63" t="e">
        <f t="array" ref="Q344">_xlfn.IFS(Saisie!#REF!="OUI",1,Saisie!#REF!="NON",0)</f>
        <v>#REF!</v>
      </c>
      <c r="R344" s="63" t="e">
        <f>Saisie!#REF!</f>
        <v>#REF!</v>
      </c>
      <c r="S344" s="65" t="e">
        <f>Saisie!#REF!</f>
        <v>#REF!</v>
      </c>
      <c r="T344" s="63" t="e">
        <f>Saisie!#REF!</f>
        <v>#REF!</v>
      </c>
      <c r="U344" s="63" t="e">
        <f>Saisie!#REF!</f>
        <v>#REF!</v>
      </c>
      <c r="V344" s="63" t="e">
        <f t="array" ref="V344">_xlfn.IFS(Saisie!#REF!="OUI",1,Saisie!#REF!="NON",0)</f>
        <v>#REF!</v>
      </c>
      <c r="W344" s="63" t="e">
        <f t="array" ref="W344">_xlfn.IFS(Saisie!O344="OUI",1,Saisie!O344="NON",0)</f>
        <v>#N/A</v>
      </c>
      <c r="X344" s="63">
        <f>Saisie!P344</f>
        <v>0</v>
      </c>
      <c r="Y344" s="299">
        <f>Saisie!H344</f>
        <v>0</v>
      </c>
      <c r="Z344" s="58" t="e">
        <f>Saisie!#REF!</f>
        <v>#REF!</v>
      </c>
      <c r="AA344" s="299">
        <f>Saisie!Q344</f>
        <v>0</v>
      </c>
      <c r="AB344" s="63" t="e">
        <f t="array" ref="AB344">_xlfn.IFS(Saisie!R344="OUI",1,Saisie!R344="NON",0)</f>
        <v>#N/A</v>
      </c>
      <c r="AC344" s="63">
        <f>Saisie!S344</f>
        <v>0</v>
      </c>
      <c r="AD344" s="63" t="e">
        <f t="array" ref="AD344">_xlfn.IFS(Saisie!T344="OUI",1,Saisie!T344="NON",0)</f>
        <v>#N/A</v>
      </c>
      <c r="AE344" s="171">
        <f>Saisie!U344</f>
        <v>0</v>
      </c>
      <c r="AF344" s="262">
        <v>3</v>
      </c>
      <c r="AG344" s="129">
        <f>Saisie!W344</f>
        <v>0</v>
      </c>
      <c r="AH344" s="20">
        <f>Saisie!X344</f>
        <v>0</v>
      </c>
      <c r="AI344" s="21">
        <f>Saisie!Y344</f>
        <v>0</v>
      </c>
      <c r="AJ344" s="59">
        <f>Saisie!Z344</f>
        <v>0</v>
      </c>
      <c r="AK344" s="20">
        <f>Saisie!AA344</f>
        <v>0</v>
      </c>
      <c r="AL344" s="21">
        <f>Saisie!AB344</f>
        <v>0</v>
      </c>
      <c r="AM344" s="59">
        <f>Saisie!AC344</f>
        <v>0</v>
      </c>
      <c r="AN344" s="20">
        <f>Saisie!AD344</f>
        <v>0</v>
      </c>
      <c r="AO344" s="21">
        <f>Saisie!AE344</f>
        <v>0</v>
      </c>
      <c r="AP344" s="59">
        <f>Saisie!AF344</f>
        <v>0</v>
      </c>
      <c r="AQ344" s="129" t="e">
        <f t="array" ref="AQ344">_xlfn.IFS(Saisie!AG344="OUI",1,Saisie!AG344="NON",0)</f>
        <v>#N/A</v>
      </c>
      <c r="AR344" s="129" t="e">
        <f t="array" ref="AR344">_xlfn.IFS(Saisie!AH344="OUI",1,Saisie!AH344="NON",0)</f>
        <v>#N/A</v>
      </c>
      <c r="AS344" s="171">
        <f>Saisie!AI344</f>
        <v>0</v>
      </c>
      <c r="AT344" s="263" t="e">
        <f t="array" ref="AT344">_xlfn.IFS(Saisie!AJ344="OUI",1,Saisie!AJ344="NON",0)</f>
        <v>#N/A</v>
      </c>
      <c r="AU344" s="173">
        <f>Saisie!AK344</f>
        <v>0</v>
      </c>
      <c r="AV344" s="263" t="e">
        <f t="array" ref="AV344">_xlfn.IFS(Saisie!AL344="OUI",1,Saisie!AL344="NON",0)</f>
        <v>#N/A</v>
      </c>
      <c r="AW344" s="171">
        <f>Saisie!AM344</f>
        <v>0</v>
      </c>
      <c r="AX344" s="68">
        <f>Saisie!AN344</f>
        <v>0</v>
      </c>
      <c r="AY344" s="20">
        <f>Saisie!AO344</f>
        <v>0</v>
      </c>
      <c r="AZ344" s="21">
        <f>Saisie!AP344</f>
        <v>0</v>
      </c>
      <c r="BA344" s="298">
        <f>Saisie!AQ344</f>
        <v>0</v>
      </c>
      <c r="BB344" s="170">
        <f>Saisie!AR344</f>
        <v>0</v>
      </c>
      <c r="BC344" s="174">
        <f>Saisie!AS344</f>
        <v>0</v>
      </c>
      <c r="BD344" s="61">
        <f>Saisie!AT344</f>
        <v>0</v>
      </c>
      <c r="BE344" s="175" t="e">
        <f t="array" ref="BE344">_xlfn.IFS(Saisie!AU344="OUI",1,Saisie!AU344="NON",0)</f>
        <v>#N/A</v>
      </c>
      <c r="BF344" s="267">
        <f>Saisie!AV344</f>
        <v>0</v>
      </c>
      <c r="BG344" s="55">
        <f>Saisie!AW344</f>
        <v>0</v>
      </c>
      <c r="BH344" s="55" t="e">
        <f t="array" ref="BH344">_xlfn.IFS(Saisie!AX344="OUI",1,Saisie!AX344="NON",0)</f>
        <v>#N/A</v>
      </c>
      <c r="BI344" s="62">
        <f>Saisie!AY344</f>
        <v>0</v>
      </c>
      <c r="BJ344" s="55" t="e">
        <f t="array" ref="BJ344">_xlfn.IFS(Saisie!AZ344="OUI",1,Saisie!AZ344="NON",0)</f>
        <v>#N/A</v>
      </c>
      <c r="BK344" s="55" t="e">
        <f t="array" ref="BK344">_xlfn.IFS(Saisie!BA344="OUI",1,Saisie!BA344="NON",0)</f>
        <v>#N/A</v>
      </c>
      <c r="BL344" s="55">
        <f>Saisie!BB344</f>
        <v>0</v>
      </c>
      <c r="BM344" s="49" t="e">
        <f>Saisie!BC344</f>
        <v>#REF!</v>
      </c>
      <c r="BN344" s="175"/>
    </row>
    <row r="345" spans="1:66" s="176" customFormat="1" x14ac:dyDescent="0.45">
      <c r="A345" s="12">
        <v>340</v>
      </c>
      <c r="B345" s="150">
        <f>Saisie!B345</f>
        <v>0</v>
      </c>
      <c r="C345" s="150">
        <f>Saisie!C345</f>
        <v>0</v>
      </c>
      <c r="D345" s="150">
        <f>Saisie!D345</f>
        <v>0</v>
      </c>
      <c r="E345" s="150">
        <f>Saisie!E345</f>
        <v>0</v>
      </c>
      <c r="F345" s="150">
        <f>Saisie!F345</f>
        <v>0</v>
      </c>
      <c r="G345" s="150">
        <f>Saisie!G345</f>
        <v>0</v>
      </c>
      <c r="H345" s="150">
        <f>Saisie!I345</f>
        <v>0</v>
      </c>
      <c r="I345" s="150">
        <f>Saisie!J345</f>
        <v>0</v>
      </c>
      <c r="J345" s="150">
        <f>Saisie!K345</f>
        <v>0</v>
      </c>
      <c r="K345" s="150">
        <f>Saisie!L345</f>
        <v>0</v>
      </c>
      <c r="L345" s="150" t="e">
        <f>Saisie!#REF!</f>
        <v>#REF!</v>
      </c>
      <c r="M345" s="55" t="e">
        <f t="array" ref="M345">_xlfn.IFS(Saisie!M345="OUI",1,Saisie!M345="NON",0)</f>
        <v>#N/A</v>
      </c>
      <c r="N345" s="64" t="e">
        <f>Saisie!#REF!</f>
        <v>#REF!</v>
      </c>
      <c r="O345" s="63" t="e">
        <f>Saisie!#REF!</f>
        <v>#REF!</v>
      </c>
      <c r="P345" s="63">
        <f>Saisie!N345</f>
        <v>0</v>
      </c>
      <c r="Q345" s="63" t="e">
        <f t="array" ref="Q345">_xlfn.IFS(Saisie!#REF!="OUI",1,Saisie!#REF!="NON",0)</f>
        <v>#REF!</v>
      </c>
      <c r="R345" s="63" t="e">
        <f>Saisie!#REF!</f>
        <v>#REF!</v>
      </c>
      <c r="S345" s="65" t="e">
        <f>Saisie!#REF!</f>
        <v>#REF!</v>
      </c>
      <c r="T345" s="63" t="e">
        <f>Saisie!#REF!</f>
        <v>#REF!</v>
      </c>
      <c r="U345" s="63" t="e">
        <f>Saisie!#REF!</f>
        <v>#REF!</v>
      </c>
      <c r="V345" s="63" t="e">
        <f t="array" ref="V345">_xlfn.IFS(Saisie!#REF!="OUI",1,Saisie!#REF!="NON",0)</f>
        <v>#REF!</v>
      </c>
      <c r="W345" s="63" t="e">
        <f t="array" ref="W345">_xlfn.IFS(Saisie!O345="OUI",1,Saisie!O345="NON",0)</f>
        <v>#N/A</v>
      </c>
      <c r="X345" s="63">
        <f>Saisie!P345</f>
        <v>0</v>
      </c>
      <c r="Y345" s="299">
        <f>Saisie!H345</f>
        <v>0</v>
      </c>
      <c r="Z345" s="58" t="e">
        <f>Saisie!#REF!</f>
        <v>#REF!</v>
      </c>
      <c r="AA345" s="299">
        <f>Saisie!Q345</f>
        <v>0</v>
      </c>
      <c r="AB345" s="63" t="e">
        <f t="array" ref="AB345">_xlfn.IFS(Saisie!R345="OUI",1,Saisie!R345="NON",0)</f>
        <v>#N/A</v>
      </c>
      <c r="AC345" s="63">
        <f>Saisie!S345</f>
        <v>0</v>
      </c>
      <c r="AD345" s="63" t="e">
        <f t="array" ref="AD345">_xlfn.IFS(Saisie!T345="OUI",1,Saisie!T345="NON",0)</f>
        <v>#N/A</v>
      </c>
      <c r="AE345" s="171">
        <f>Saisie!U345</f>
        <v>0</v>
      </c>
      <c r="AF345" s="262">
        <v>3</v>
      </c>
      <c r="AG345" s="129">
        <f>Saisie!W345</f>
        <v>0</v>
      </c>
      <c r="AH345" s="20">
        <f>Saisie!X345</f>
        <v>0</v>
      </c>
      <c r="AI345" s="21">
        <f>Saisie!Y345</f>
        <v>0</v>
      </c>
      <c r="AJ345" s="59">
        <f>Saisie!Z345</f>
        <v>0</v>
      </c>
      <c r="AK345" s="20">
        <f>Saisie!AA345</f>
        <v>0</v>
      </c>
      <c r="AL345" s="21">
        <f>Saisie!AB345</f>
        <v>0</v>
      </c>
      <c r="AM345" s="59">
        <f>Saisie!AC345</f>
        <v>0</v>
      </c>
      <c r="AN345" s="20">
        <f>Saisie!AD345</f>
        <v>0</v>
      </c>
      <c r="AO345" s="21">
        <f>Saisie!AE345</f>
        <v>0</v>
      </c>
      <c r="AP345" s="59">
        <f>Saisie!AF345</f>
        <v>0</v>
      </c>
      <c r="AQ345" s="129" t="e">
        <f t="array" ref="AQ345">_xlfn.IFS(Saisie!AG345="OUI",1,Saisie!AG345="NON",0)</f>
        <v>#N/A</v>
      </c>
      <c r="AR345" s="129" t="e">
        <f t="array" ref="AR345">_xlfn.IFS(Saisie!AH345="OUI",1,Saisie!AH345="NON",0)</f>
        <v>#N/A</v>
      </c>
      <c r="AS345" s="171">
        <f>Saisie!AI345</f>
        <v>0</v>
      </c>
      <c r="AT345" s="263" t="e">
        <f t="array" ref="AT345">_xlfn.IFS(Saisie!AJ345="OUI",1,Saisie!AJ345="NON",0)</f>
        <v>#N/A</v>
      </c>
      <c r="AU345" s="173">
        <f>Saisie!AK345</f>
        <v>0</v>
      </c>
      <c r="AV345" s="263" t="e">
        <f t="array" ref="AV345">_xlfn.IFS(Saisie!AL345="OUI",1,Saisie!AL345="NON",0)</f>
        <v>#N/A</v>
      </c>
      <c r="AW345" s="171">
        <f>Saisie!AM345</f>
        <v>0</v>
      </c>
      <c r="AX345" s="68">
        <f>Saisie!AN345</f>
        <v>0</v>
      </c>
      <c r="AY345" s="20">
        <f>Saisie!AO345</f>
        <v>0</v>
      </c>
      <c r="AZ345" s="21">
        <f>Saisie!AP345</f>
        <v>0</v>
      </c>
      <c r="BA345" s="298">
        <f>Saisie!AQ345</f>
        <v>0</v>
      </c>
      <c r="BB345" s="170">
        <f>Saisie!AR345</f>
        <v>0</v>
      </c>
      <c r="BC345" s="174">
        <f>Saisie!AS345</f>
        <v>0</v>
      </c>
      <c r="BD345" s="61">
        <f>Saisie!AT345</f>
        <v>0</v>
      </c>
      <c r="BE345" s="175" t="e">
        <f t="array" ref="BE345">_xlfn.IFS(Saisie!AU345="OUI",1,Saisie!AU345="NON",0)</f>
        <v>#N/A</v>
      </c>
      <c r="BF345" s="267">
        <f>Saisie!AV345</f>
        <v>0</v>
      </c>
      <c r="BG345" s="55">
        <f>Saisie!AW345</f>
        <v>0</v>
      </c>
      <c r="BH345" s="55" t="e">
        <f t="array" ref="BH345">_xlfn.IFS(Saisie!AX345="OUI",1,Saisie!AX345="NON",0)</f>
        <v>#N/A</v>
      </c>
      <c r="BI345" s="62">
        <f>Saisie!AY345</f>
        <v>0</v>
      </c>
      <c r="BJ345" s="55" t="e">
        <f t="array" ref="BJ345">_xlfn.IFS(Saisie!AZ345="OUI",1,Saisie!AZ345="NON",0)</f>
        <v>#N/A</v>
      </c>
      <c r="BK345" s="55" t="e">
        <f t="array" ref="BK345">_xlfn.IFS(Saisie!BA345="OUI",1,Saisie!BA345="NON",0)</f>
        <v>#N/A</v>
      </c>
      <c r="BL345" s="55">
        <f>Saisie!BB345</f>
        <v>0</v>
      </c>
      <c r="BM345" s="49" t="e">
        <f>Saisie!BC345</f>
        <v>#REF!</v>
      </c>
      <c r="BN345" s="175"/>
    </row>
    <row r="346" spans="1:66" s="176" customFormat="1" x14ac:dyDescent="0.45">
      <c r="A346" s="13">
        <v>341</v>
      </c>
      <c r="B346" s="150">
        <f>Saisie!B346</f>
        <v>0</v>
      </c>
      <c r="C346" s="150">
        <f>Saisie!C346</f>
        <v>0</v>
      </c>
      <c r="D346" s="150">
        <f>Saisie!D346</f>
        <v>0</v>
      </c>
      <c r="E346" s="150">
        <f>Saisie!E346</f>
        <v>0</v>
      </c>
      <c r="F346" s="150">
        <f>Saisie!F346</f>
        <v>0</v>
      </c>
      <c r="G346" s="150">
        <f>Saisie!G346</f>
        <v>0</v>
      </c>
      <c r="H346" s="150">
        <f>Saisie!I346</f>
        <v>0</v>
      </c>
      <c r="I346" s="150">
        <f>Saisie!J346</f>
        <v>0</v>
      </c>
      <c r="J346" s="150">
        <f>Saisie!K346</f>
        <v>0</v>
      </c>
      <c r="K346" s="150">
        <f>Saisie!L346</f>
        <v>0</v>
      </c>
      <c r="L346" s="150" t="e">
        <f>Saisie!#REF!</f>
        <v>#REF!</v>
      </c>
      <c r="M346" s="55" t="e">
        <f t="array" ref="M346">_xlfn.IFS(Saisie!M346="OUI",1,Saisie!M346="NON",0)</f>
        <v>#N/A</v>
      </c>
      <c r="N346" s="64" t="e">
        <f>Saisie!#REF!</f>
        <v>#REF!</v>
      </c>
      <c r="O346" s="63" t="e">
        <f>Saisie!#REF!</f>
        <v>#REF!</v>
      </c>
      <c r="P346" s="63">
        <f>Saisie!N346</f>
        <v>0</v>
      </c>
      <c r="Q346" s="63" t="e">
        <f t="array" ref="Q346">_xlfn.IFS(Saisie!#REF!="OUI",1,Saisie!#REF!="NON",0)</f>
        <v>#REF!</v>
      </c>
      <c r="R346" s="63" t="e">
        <f>Saisie!#REF!</f>
        <v>#REF!</v>
      </c>
      <c r="S346" s="65" t="e">
        <f>Saisie!#REF!</f>
        <v>#REF!</v>
      </c>
      <c r="T346" s="63" t="e">
        <f>Saisie!#REF!</f>
        <v>#REF!</v>
      </c>
      <c r="U346" s="63" t="e">
        <f>Saisie!#REF!</f>
        <v>#REF!</v>
      </c>
      <c r="V346" s="63" t="e">
        <f t="array" ref="V346">_xlfn.IFS(Saisie!#REF!="OUI",1,Saisie!#REF!="NON",0)</f>
        <v>#REF!</v>
      </c>
      <c r="W346" s="63" t="e">
        <f t="array" ref="W346">_xlfn.IFS(Saisie!O346="OUI",1,Saisie!O346="NON",0)</f>
        <v>#N/A</v>
      </c>
      <c r="X346" s="63">
        <f>Saisie!P346</f>
        <v>0</v>
      </c>
      <c r="Y346" s="299">
        <f>Saisie!H346</f>
        <v>0</v>
      </c>
      <c r="Z346" s="58" t="e">
        <f>Saisie!#REF!</f>
        <v>#REF!</v>
      </c>
      <c r="AA346" s="299">
        <f>Saisie!Q346</f>
        <v>0</v>
      </c>
      <c r="AB346" s="63" t="e">
        <f t="array" ref="AB346">_xlfn.IFS(Saisie!R346="OUI",1,Saisie!R346="NON",0)</f>
        <v>#N/A</v>
      </c>
      <c r="AC346" s="63">
        <f>Saisie!S346</f>
        <v>0</v>
      </c>
      <c r="AD346" s="63" t="e">
        <f t="array" ref="AD346">_xlfn.IFS(Saisie!T346="OUI",1,Saisie!T346="NON",0)</f>
        <v>#N/A</v>
      </c>
      <c r="AE346" s="171">
        <f>Saisie!U346</f>
        <v>0</v>
      </c>
      <c r="AF346" s="262">
        <v>3</v>
      </c>
      <c r="AG346" s="129">
        <f>Saisie!W346</f>
        <v>0</v>
      </c>
      <c r="AH346" s="20">
        <f>Saisie!X346</f>
        <v>0</v>
      </c>
      <c r="AI346" s="21">
        <f>Saisie!Y346</f>
        <v>0</v>
      </c>
      <c r="AJ346" s="59">
        <f>Saisie!Z346</f>
        <v>0</v>
      </c>
      <c r="AK346" s="20">
        <f>Saisie!AA346</f>
        <v>0</v>
      </c>
      <c r="AL346" s="21">
        <f>Saisie!AB346</f>
        <v>0</v>
      </c>
      <c r="AM346" s="59">
        <f>Saisie!AC346</f>
        <v>0</v>
      </c>
      <c r="AN346" s="20">
        <f>Saisie!AD346</f>
        <v>0</v>
      </c>
      <c r="AO346" s="21">
        <f>Saisie!AE346</f>
        <v>0</v>
      </c>
      <c r="AP346" s="59">
        <f>Saisie!AF346</f>
        <v>0</v>
      </c>
      <c r="AQ346" s="129" t="e">
        <f t="array" ref="AQ346">_xlfn.IFS(Saisie!AG346="OUI",1,Saisie!AG346="NON",0)</f>
        <v>#N/A</v>
      </c>
      <c r="AR346" s="129" t="e">
        <f t="array" ref="AR346">_xlfn.IFS(Saisie!AH346="OUI",1,Saisie!AH346="NON",0)</f>
        <v>#N/A</v>
      </c>
      <c r="AS346" s="171">
        <f>Saisie!AI346</f>
        <v>0</v>
      </c>
      <c r="AT346" s="263" t="e">
        <f t="array" ref="AT346">_xlfn.IFS(Saisie!AJ346="OUI",1,Saisie!AJ346="NON",0)</f>
        <v>#N/A</v>
      </c>
      <c r="AU346" s="173">
        <f>Saisie!AK346</f>
        <v>0</v>
      </c>
      <c r="AV346" s="263" t="e">
        <f t="array" ref="AV346">_xlfn.IFS(Saisie!AL346="OUI",1,Saisie!AL346="NON",0)</f>
        <v>#N/A</v>
      </c>
      <c r="AW346" s="171">
        <f>Saisie!AM346</f>
        <v>0</v>
      </c>
      <c r="AX346" s="68">
        <f>Saisie!AN346</f>
        <v>0</v>
      </c>
      <c r="AY346" s="20">
        <f>Saisie!AO346</f>
        <v>0</v>
      </c>
      <c r="AZ346" s="21">
        <f>Saisie!AP346</f>
        <v>0</v>
      </c>
      <c r="BA346" s="298">
        <f>Saisie!AQ346</f>
        <v>0</v>
      </c>
      <c r="BB346" s="170">
        <f>Saisie!AR346</f>
        <v>0</v>
      </c>
      <c r="BC346" s="174">
        <f>Saisie!AS346</f>
        <v>0</v>
      </c>
      <c r="BD346" s="61">
        <f>Saisie!AT346</f>
        <v>0</v>
      </c>
      <c r="BE346" s="175" t="e">
        <f t="array" ref="BE346">_xlfn.IFS(Saisie!AU346="OUI",1,Saisie!AU346="NON",0)</f>
        <v>#N/A</v>
      </c>
      <c r="BF346" s="267">
        <f>Saisie!AV346</f>
        <v>0</v>
      </c>
      <c r="BG346" s="55">
        <f>Saisie!AW346</f>
        <v>0</v>
      </c>
      <c r="BH346" s="55" t="e">
        <f t="array" ref="BH346">_xlfn.IFS(Saisie!AX346="OUI",1,Saisie!AX346="NON",0)</f>
        <v>#N/A</v>
      </c>
      <c r="BI346" s="62">
        <f>Saisie!AY346</f>
        <v>0</v>
      </c>
      <c r="BJ346" s="55" t="e">
        <f t="array" ref="BJ346">_xlfn.IFS(Saisie!AZ346="OUI",1,Saisie!AZ346="NON",0)</f>
        <v>#N/A</v>
      </c>
      <c r="BK346" s="55" t="e">
        <f t="array" ref="BK346">_xlfn.IFS(Saisie!BA346="OUI",1,Saisie!BA346="NON",0)</f>
        <v>#N/A</v>
      </c>
      <c r="BL346" s="55">
        <f>Saisie!BB346</f>
        <v>0</v>
      </c>
      <c r="BM346" s="49" t="e">
        <f>Saisie!BC346</f>
        <v>#REF!</v>
      </c>
      <c r="BN346" s="175"/>
    </row>
    <row r="347" spans="1:66" s="176" customFormat="1" x14ac:dyDescent="0.45">
      <c r="A347" s="13">
        <v>342</v>
      </c>
      <c r="B347" s="150">
        <f>Saisie!B347</f>
        <v>0</v>
      </c>
      <c r="C347" s="150">
        <f>Saisie!C347</f>
        <v>0</v>
      </c>
      <c r="D347" s="150">
        <f>Saisie!D347</f>
        <v>0</v>
      </c>
      <c r="E347" s="150">
        <f>Saisie!E347</f>
        <v>0</v>
      </c>
      <c r="F347" s="150">
        <f>Saisie!F347</f>
        <v>0</v>
      </c>
      <c r="G347" s="150">
        <f>Saisie!G347</f>
        <v>0</v>
      </c>
      <c r="H347" s="150">
        <f>Saisie!I347</f>
        <v>0</v>
      </c>
      <c r="I347" s="150">
        <f>Saisie!J347</f>
        <v>0</v>
      </c>
      <c r="J347" s="150">
        <f>Saisie!K347</f>
        <v>0</v>
      </c>
      <c r="K347" s="150">
        <f>Saisie!L347</f>
        <v>0</v>
      </c>
      <c r="L347" s="150" t="e">
        <f>Saisie!#REF!</f>
        <v>#REF!</v>
      </c>
      <c r="M347" s="55" t="e">
        <f t="array" ref="M347">_xlfn.IFS(Saisie!M347="OUI",1,Saisie!M347="NON",0)</f>
        <v>#N/A</v>
      </c>
      <c r="N347" s="64" t="e">
        <f>Saisie!#REF!</f>
        <v>#REF!</v>
      </c>
      <c r="O347" s="63" t="e">
        <f>Saisie!#REF!</f>
        <v>#REF!</v>
      </c>
      <c r="P347" s="63">
        <f>Saisie!N347</f>
        <v>0</v>
      </c>
      <c r="Q347" s="63" t="e">
        <f t="array" ref="Q347">_xlfn.IFS(Saisie!#REF!="OUI",1,Saisie!#REF!="NON",0)</f>
        <v>#REF!</v>
      </c>
      <c r="R347" s="63" t="e">
        <f>Saisie!#REF!</f>
        <v>#REF!</v>
      </c>
      <c r="S347" s="65" t="e">
        <f>Saisie!#REF!</f>
        <v>#REF!</v>
      </c>
      <c r="T347" s="63" t="e">
        <f>Saisie!#REF!</f>
        <v>#REF!</v>
      </c>
      <c r="U347" s="63" t="e">
        <f>Saisie!#REF!</f>
        <v>#REF!</v>
      </c>
      <c r="V347" s="63" t="e">
        <f t="array" ref="V347">_xlfn.IFS(Saisie!#REF!="OUI",1,Saisie!#REF!="NON",0)</f>
        <v>#REF!</v>
      </c>
      <c r="W347" s="63" t="e">
        <f t="array" ref="W347">_xlfn.IFS(Saisie!O347="OUI",1,Saisie!O347="NON",0)</f>
        <v>#N/A</v>
      </c>
      <c r="X347" s="63">
        <f>Saisie!P347</f>
        <v>0</v>
      </c>
      <c r="Y347" s="299">
        <f>Saisie!H347</f>
        <v>0</v>
      </c>
      <c r="Z347" s="58" t="e">
        <f>Saisie!#REF!</f>
        <v>#REF!</v>
      </c>
      <c r="AA347" s="299">
        <f>Saisie!Q347</f>
        <v>0</v>
      </c>
      <c r="AB347" s="63" t="e">
        <f t="array" ref="AB347">_xlfn.IFS(Saisie!R347="OUI",1,Saisie!R347="NON",0)</f>
        <v>#N/A</v>
      </c>
      <c r="AC347" s="63">
        <f>Saisie!S347</f>
        <v>0</v>
      </c>
      <c r="AD347" s="63" t="e">
        <f t="array" ref="AD347">_xlfn.IFS(Saisie!T347="OUI",1,Saisie!T347="NON",0)</f>
        <v>#N/A</v>
      </c>
      <c r="AE347" s="171">
        <f>Saisie!U347</f>
        <v>0</v>
      </c>
      <c r="AF347" s="262">
        <v>3</v>
      </c>
      <c r="AG347" s="129">
        <f>Saisie!W347</f>
        <v>0</v>
      </c>
      <c r="AH347" s="20">
        <f>Saisie!X347</f>
        <v>0</v>
      </c>
      <c r="AI347" s="21">
        <f>Saisie!Y347</f>
        <v>0</v>
      </c>
      <c r="AJ347" s="59">
        <f>Saisie!Z347</f>
        <v>0</v>
      </c>
      <c r="AK347" s="20">
        <f>Saisie!AA347</f>
        <v>0</v>
      </c>
      <c r="AL347" s="21">
        <f>Saisie!AB347</f>
        <v>0</v>
      </c>
      <c r="AM347" s="59">
        <f>Saisie!AC347</f>
        <v>0</v>
      </c>
      <c r="AN347" s="20">
        <f>Saisie!AD347</f>
        <v>0</v>
      </c>
      <c r="AO347" s="21">
        <f>Saisie!AE347</f>
        <v>0</v>
      </c>
      <c r="AP347" s="59">
        <f>Saisie!AF347</f>
        <v>0</v>
      </c>
      <c r="AQ347" s="129" t="e">
        <f t="array" ref="AQ347">_xlfn.IFS(Saisie!AG347="OUI",1,Saisie!AG347="NON",0)</f>
        <v>#N/A</v>
      </c>
      <c r="AR347" s="129" t="e">
        <f t="array" ref="AR347">_xlfn.IFS(Saisie!AH347="OUI",1,Saisie!AH347="NON",0)</f>
        <v>#N/A</v>
      </c>
      <c r="AS347" s="171">
        <f>Saisie!AI347</f>
        <v>0</v>
      </c>
      <c r="AT347" s="263" t="e">
        <f t="array" ref="AT347">_xlfn.IFS(Saisie!AJ347="OUI",1,Saisie!AJ347="NON",0)</f>
        <v>#N/A</v>
      </c>
      <c r="AU347" s="173">
        <f>Saisie!AK347</f>
        <v>0</v>
      </c>
      <c r="AV347" s="263" t="e">
        <f t="array" ref="AV347">_xlfn.IFS(Saisie!AL347="OUI",1,Saisie!AL347="NON",0)</f>
        <v>#N/A</v>
      </c>
      <c r="AW347" s="171">
        <f>Saisie!AM347</f>
        <v>0</v>
      </c>
      <c r="AX347" s="68">
        <f>Saisie!AN347</f>
        <v>0</v>
      </c>
      <c r="AY347" s="20">
        <f>Saisie!AO347</f>
        <v>0</v>
      </c>
      <c r="AZ347" s="21">
        <f>Saisie!AP347</f>
        <v>0</v>
      </c>
      <c r="BA347" s="298">
        <f>Saisie!AQ347</f>
        <v>0</v>
      </c>
      <c r="BB347" s="170">
        <f>Saisie!AR347</f>
        <v>0</v>
      </c>
      <c r="BC347" s="174">
        <f>Saisie!AS347</f>
        <v>0</v>
      </c>
      <c r="BD347" s="61">
        <f>Saisie!AT347</f>
        <v>0</v>
      </c>
      <c r="BE347" s="175" t="e">
        <f t="array" ref="BE347">_xlfn.IFS(Saisie!AU347="OUI",1,Saisie!AU347="NON",0)</f>
        <v>#N/A</v>
      </c>
      <c r="BF347" s="267">
        <f>Saisie!AV347</f>
        <v>0</v>
      </c>
      <c r="BG347" s="55">
        <f>Saisie!AW347</f>
        <v>0</v>
      </c>
      <c r="BH347" s="55" t="e">
        <f t="array" ref="BH347">_xlfn.IFS(Saisie!AX347="OUI",1,Saisie!AX347="NON",0)</f>
        <v>#N/A</v>
      </c>
      <c r="BI347" s="62">
        <f>Saisie!AY347</f>
        <v>0</v>
      </c>
      <c r="BJ347" s="55" t="e">
        <f t="array" ref="BJ347">_xlfn.IFS(Saisie!AZ347="OUI",1,Saisie!AZ347="NON",0)</f>
        <v>#N/A</v>
      </c>
      <c r="BK347" s="55" t="e">
        <f t="array" ref="BK347">_xlfn.IFS(Saisie!BA347="OUI",1,Saisie!BA347="NON",0)</f>
        <v>#N/A</v>
      </c>
      <c r="BL347" s="55">
        <f>Saisie!BB347</f>
        <v>0</v>
      </c>
      <c r="BM347" s="49" t="e">
        <f>Saisie!BC347</f>
        <v>#REF!</v>
      </c>
      <c r="BN347" s="175"/>
    </row>
    <row r="348" spans="1:66" s="176" customFormat="1" x14ac:dyDescent="0.45">
      <c r="A348" s="12">
        <v>343</v>
      </c>
      <c r="B348" s="150">
        <f>Saisie!B348</f>
        <v>0</v>
      </c>
      <c r="C348" s="150">
        <f>Saisie!C348</f>
        <v>0</v>
      </c>
      <c r="D348" s="150">
        <f>Saisie!D348</f>
        <v>0</v>
      </c>
      <c r="E348" s="150">
        <f>Saisie!E348</f>
        <v>0</v>
      </c>
      <c r="F348" s="150">
        <f>Saisie!F348</f>
        <v>0</v>
      </c>
      <c r="G348" s="150">
        <f>Saisie!G348</f>
        <v>0</v>
      </c>
      <c r="H348" s="150">
        <f>Saisie!I348</f>
        <v>0</v>
      </c>
      <c r="I348" s="150">
        <f>Saisie!J348</f>
        <v>0</v>
      </c>
      <c r="J348" s="150">
        <f>Saisie!K348</f>
        <v>0</v>
      </c>
      <c r="K348" s="150">
        <f>Saisie!L348</f>
        <v>0</v>
      </c>
      <c r="L348" s="150" t="e">
        <f>Saisie!#REF!</f>
        <v>#REF!</v>
      </c>
      <c r="M348" s="55" t="e">
        <f t="array" ref="M348">_xlfn.IFS(Saisie!M348="OUI",1,Saisie!M348="NON",0)</f>
        <v>#N/A</v>
      </c>
      <c r="N348" s="64" t="e">
        <f>Saisie!#REF!</f>
        <v>#REF!</v>
      </c>
      <c r="O348" s="63" t="e">
        <f>Saisie!#REF!</f>
        <v>#REF!</v>
      </c>
      <c r="P348" s="63">
        <f>Saisie!N348</f>
        <v>0</v>
      </c>
      <c r="Q348" s="63" t="e">
        <f t="array" ref="Q348">_xlfn.IFS(Saisie!#REF!="OUI",1,Saisie!#REF!="NON",0)</f>
        <v>#REF!</v>
      </c>
      <c r="R348" s="63" t="e">
        <f>Saisie!#REF!</f>
        <v>#REF!</v>
      </c>
      <c r="S348" s="65" t="e">
        <f>Saisie!#REF!</f>
        <v>#REF!</v>
      </c>
      <c r="T348" s="63" t="e">
        <f>Saisie!#REF!</f>
        <v>#REF!</v>
      </c>
      <c r="U348" s="63" t="e">
        <f>Saisie!#REF!</f>
        <v>#REF!</v>
      </c>
      <c r="V348" s="63" t="e">
        <f t="array" ref="V348">_xlfn.IFS(Saisie!#REF!="OUI",1,Saisie!#REF!="NON",0)</f>
        <v>#REF!</v>
      </c>
      <c r="W348" s="63" t="e">
        <f t="array" ref="W348">_xlfn.IFS(Saisie!O348="OUI",1,Saisie!O348="NON",0)</f>
        <v>#N/A</v>
      </c>
      <c r="X348" s="63">
        <f>Saisie!P348</f>
        <v>0</v>
      </c>
      <c r="Y348" s="299">
        <f>Saisie!H348</f>
        <v>0</v>
      </c>
      <c r="Z348" s="58" t="e">
        <f>Saisie!#REF!</f>
        <v>#REF!</v>
      </c>
      <c r="AA348" s="299">
        <f>Saisie!Q348</f>
        <v>0</v>
      </c>
      <c r="AB348" s="63" t="e">
        <f t="array" ref="AB348">_xlfn.IFS(Saisie!R348="OUI",1,Saisie!R348="NON",0)</f>
        <v>#N/A</v>
      </c>
      <c r="AC348" s="63">
        <f>Saisie!S348</f>
        <v>0</v>
      </c>
      <c r="AD348" s="63" t="e">
        <f t="array" ref="AD348">_xlfn.IFS(Saisie!T348="OUI",1,Saisie!T348="NON",0)</f>
        <v>#N/A</v>
      </c>
      <c r="AE348" s="171">
        <f>Saisie!U348</f>
        <v>0</v>
      </c>
      <c r="AF348" s="262">
        <v>3</v>
      </c>
      <c r="AG348" s="129">
        <f>Saisie!W348</f>
        <v>0</v>
      </c>
      <c r="AH348" s="20">
        <f>Saisie!X348</f>
        <v>0</v>
      </c>
      <c r="AI348" s="21">
        <f>Saisie!Y348</f>
        <v>0</v>
      </c>
      <c r="AJ348" s="59">
        <f>Saisie!Z348</f>
        <v>0</v>
      </c>
      <c r="AK348" s="20">
        <f>Saisie!AA348</f>
        <v>0</v>
      </c>
      <c r="AL348" s="21">
        <f>Saisie!AB348</f>
        <v>0</v>
      </c>
      <c r="AM348" s="59">
        <f>Saisie!AC348</f>
        <v>0</v>
      </c>
      <c r="AN348" s="20">
        <f>Saisie!AD348</f>
        <v>0</v>
      </c>
      <c r="AO348" s="21">
        <f>Saisie!AE348</f>
        <v>0</v>
      </c>
      <c r="AP348" s="59">
        <f>Saisie!AF348</f>
        <v>0</v>
      </c>
      <c r="AQ348" s="129" t="e">
        <f t="array" ref="AQ348">_xlfn.IFS(Saisie!AG348="OUI",1,Saisie!AG348="NON",0)</f>
        <v>#N/A</v>
      </c>
      <c r="AR348" s="129" t="e">
        <f t="array" ref="AR348">_xlfn.IFS(Saisie!AH348="OUI",1,Saisie!AH348="NON",0)</f>
        <v>#N/A</v>
      </c>
      <c r="AS348" s="171">
        <f>Saisie!AI348</f>
        <v>0</v>
      </c>
      <c r="AT348" s="263" t="e">
        <f t="array" ref="AT348">_xlfn.IFS(Saisie!AJ348="OUI",1,Saisie!AJ348="NON",0)</f>
        <v>#N/A</v>
      </c>
      <c r="AU348" s="173">
        <f>Saisie!AK348</f>
        <v>0</v>
      </c>
      <c r="AV348" s="263" t="e">
        <f t="array" ref="AV348">_xlfn.IFS(Saisie!AL348="OUI",1,Saisie!AL348="NON",0)</f>
        <v>#N/A</v>
      </c>
      <c r="AW348" s="171">
        <f>Saisie!AM348</f>
        <v>0</v>
      </c>
      <c r="AX348" s="68">
        <f>Saisie!AN348</f>
        <v>0</v>
      </c>
      <c r="AY348" s="20">
        <f>Saisie!AO348</f>
        <v>0</v>
      </c>
      <c r="AZ348" s="21">
        <f>Saisie!AP348</f>
        <v>0</v>
      </c>
      <c r="BA348" s="298">
        <f>Saisie!AQ348</f>
        <v>0</v>
      </c>
      <c r="BB348" s="170">
        <f>Saisie!AR348</f>
        <v>0</v>
      </c>
      <c r="BC348" s="174">
        <f>Saisie!AS348</f>
        <v>0</v>
      </c>
      <c r="BD348" s="61">
        <f>Saisie!AT348</f>
        <v>0</v>
      </c>
      <c r="BE348" s="175" t="e">
        <f t="array" ref="BE348">_xlfn.IFS(Saisie!AU348="OUI",1,Saisie!AU348="NON",0)</f>
        <v>#N/A</v>
      </c>
      <c r="BF348" s="267">
        <f>Saisie!AV348</f>
        <v>0</v>
      </c>
      <c r="BG348" s="55">
        <f>Saisie!AW348</f>
        <v>0</v>
      </c>
      <c r="BH348" s="55" t="e">
        <f t="array" ref="BH348">_xlfn.IFS(Saisie!AX348="OUI",1,Saisie!AX348="NON",0)</f>
        <v>#N/A</v>
      </c>
      <c r="BI348" s="62">
        <f>Saisie!AY348</f>
        <v>0</v>
      </c>
      <c r="BJ348" s="55" t="e">
        <f t="array" ref="BJ348">_xlfn.IFS(Saisie!AZ348="OUI",1,Saisie!AZ348="NON",0)</f>
        <v>#N/A</v>
      </c>
      <c r="BK348" s="55" t="e">
        <f t="array" ref="BK348">_xlfn.IFS(Saisie!BA348="OUI",1,Saisie!BA348="NON",0)</f>
        <v>#N/A</v>
      </c>
      <c r="BL348" s="55">
        <f>Saisie!BB348</f>
        <v>0</v>
      </c>
      <c r="BM348" s="49" t="e">
        <f>Saisie!BC348</f>
        <v>#REF!</v>
      </c>
      <c r="BN348" s="175"/>
    </row>
    <row r="349" spans="1:66" s="176" customFormat="1" x14ac:dyDescent="0.45">
      <c r="A349" s="13">
        <v>344</v>
      </c>
      <c r="B349" s="150">
        <f>Saisie!B349</f>
        <v>0</v>
      </c>
      <c r="C349" s="150">
        <f>Saisie!C349</f>
        <v>0</v>
      </c>
      <c r="D349" s="150">
        <f>Saisie!D349</f>
        <v>0</v>
      </c>
      <c r="E349" s="150">
        <f>Saisie!E349</f>
        <v>0</v>
      </c>
      <c r="F349" s="150">
        <f>Saisie!F349</f>
        <v>0</v>
      </c>
      <c r="G349" s="150">
        <f>Saisie!G349</f>
        <v>0</v>
      </c>
      <c r="H349" s="150">
        <f>Saisie!I349</f>
        <v>0</v>
      </c>
      <c r="I349" s="150">
        <f>Saisie!J349</f>
        <v>0</v>
      </c>
      <c r="J349" s="150">
        <f>Saisie!K349</f>
        <v>0</v>
      </c>
      <c r="K349" s="150">
        <f>Saisie!L349</f>
        <v>0</v>
      </c>
      <c r="L349" s="150" t="e">
        <f>Saisie!#REF!</f>
        <v>#REF!</v>
      </c>
      <c r="M349" s="55" t="e">
        <f t="array" ref="M349">_xlfn.IFS(Saisie!M349="OUI",1,Saisie!M349="NON",0)</f>
        <v>#N/A</v>
      </c>
      <c r="N349" s="64" t="e">
        <f>Saisie!#REF!</f>
        <v>#REF!</v>
      </c>
      <c r="O349" s="63" t="e">
        <f>Saisie!#REF!</f>
        <v>#REF!</v>
      </c>
      <c r="P349" s="63">
        <f>Saisie!N349</f>
        <v>0</v>
      </c>
      <c r="Q349" s="63" t="e">
        <f t="array" ref="Q349">_xlfn.IFS(Saisie!#REF!="OUI",1,Saisie!#REF!="NON",0)</f>
        <v>#REF!</v>
      </c>
      <c r="R349" s="63" t="e">
        <f>Saisie!#REF!</f>
        <v>#REF!</v>
      </c>
      <c r="S349" s="65" t="e">
        <f>Saisie!#REF!</f>
        <v>#REF!</v>
      </c>
      <c r="T349" s="63" t="e">
        <f>Saisie!#REF!</f>
        <v>#REF!</v>
      </c>
      <c r="U349" s="63" t="e">
        <f>Saisie!#REF!</f>
        <v>#REF!</v>
      </c>
      <c r="V349" s="63" t="e">
        <f t="array" ref="V349">_xlfn.IFS(Saisie!#REF!="OUI",1,Saisie!#REF!="NON",0)</f>
        <v>#REF!</v>
      </c>
      <c r="W349" s="63" t="e">
        <f t="array" ref="W349">_xlfn.IFS(Saisie!O349="OUI",1,Saisie!O349="NON",0)</f>
        <v>#N/A</v>
      </c>
      <c r="X349" s="63">
        <f>Saisie!P349</f>
        <v>0</v>
      </c>
      <c r="Y349" s="299">
        <f>Saisie!H349</f>
        <v>0</v>
      </c>
      <c r="Z349" s="58" t="e">
        <f>Saisie!#REF!</f>
        <v>#REF!</v>
      </c>
      <c r="AA349" s="299">
        <f>Saisie!Q349</f>
        <v>0</v>
      </c>
      <c r="AB349" s="63" t="e">
        <f t="array" ref="AB349">_xlfn.IFS(Saisie!R349="OUI",1,Saisie!R349="NON",0)</f>
        <v>#N/A</v>
      </c>
      <c r="AC349" s="63">
        <f>Saisie!S349</f>
        <v>0</v>
      </c>
      <c r="AD349" s="63" t="e">
        <f t="array" ref="AD349">_xlfn.IFS(Saisie!T349="OUI",1,Saisie!T349="NON",0)</f>
        <v>#N/A</v>
      </c>
      <c r="AE349" s="171">
        <f>Saisie!U349</f>
        <v>0</v>
      </c>
      <c r="AF349" s="262">
        <v>3</v>
      </c>
      <c r="AG349" s="129">
        <f>Saisie!W349</f>
        <v>0</v>
      </c>
      <c r="AH349" s="20">
        <f>Saisie!X349</f>
        <v>0</v>
      </c>
      <c r="AI349" s="21">
        <f>Saisie!Y349</f>
        <v>0</v>
      </c>
      <c r="AJ349" s="59">
        <f>Saisie!Z349</f>
        <v>0</v>
      </c>
      <c r="AK349" s="20">
        <f>Saisie!AA349</f>
        <v>0</v>
      </c>
      <c r="AL349" s="21">
        <f>Saisie!AB349</f>
        <v>0</v>
      </c>
      <c r="AM349" s="59">
        <f>Saisie!AC349</f>
        <v>0</v>
      </c>
      <c r="AN349" s="20">
        <f>Saisie!AD349</f>
        <v>0</v>
      </c>
      <c r="AO349" s="21">
        <f>Saisie!AE349</f>
        <v>0</v>
      </c>
      <c r="AP349" s="59">
        <f>Saisie!AF349</f>
        <v>0</v>
      </c>
      <c r="AQ349" s="129" t="e">
        <f t="array" ref="AQ349">_xlfn.IFS(Saisie!AG349="OUI",1,Saisie!AG349="NON",0)</f>
        <v>#N/A</v>
      </c>
      <c r="AR349" s="129" t="e">
        <f t="array" ref="AR349">_xlfn.IFS(Saisie!AH349="OUI",1,Saisie!AH349="NON",0)</f>
        <v>#N/A</v>
      </c>
      <c r="AS349" s="171">
        <f>Saisie!AI349</f>
        <v>0</v>
      </c>
      <c r="AT349" s="263" t="e">
        <f t="array" ref="AT349">_xlfn.IFS(Saisie!AJ349="OUI",1,Saisie!AJ349="NON",0)</f>
        <v>#N/A</v>
      </c>
      <c r="AU349" s="173">
        <f>Saisie!AK349</f>
        <v>0</v>
      </c>
      <c r="AV349" s="263" t="e">
        <f t="array" ref="AV349">_xlfn.IFS(Saisie!AL349="OUI",1,Saisie!AL349="NON",0)</f>
        <v>#N/A</v>
      </c>
      <c r="AW349" s="171">
        <f>Saisie!AM349</f>
        <v>0</v>
      </c>
      <c r="AX349" s="68">
        <f>Saisie!AN349</f>
        <v>0</v>
      </c>
      <c r="AY349" s="20">
        <f>Saisie!AO349</f>
        <v>0</v>
      </c>
      <c r="AZ349" s="21">
        <f>Saisie!AP349</f>
        <v>0</v>
      </c>
      <c r="BA349" s="298">
        <f>Saisie!AQ349</f>
        <v>0</v>
      </c>
      <c r="BB349" s="170">
        <f>Saisie!AR349</f>
        <v>0</v>
      </c>
      <c r="BC349" s="174">
        <f>Saisie!AS349</f>
        <v>0</v>
      </c>
      <c r="BD349" s="61">
        <f>Saisie!AT349</f>
        <v>0</v>
      </c>
      <c r="BE349" s="175" t="e">
        <f t="array" ref="BE349">_xlfn.IFS(Saisie!AU349="OUI",1,Saisie!AU349="NON",0)</f>
        <v>#N/A</v>
      </c>
      <c r="BF349" s="267">
        <f>Saisie!AV349</f>
        <v>0</v>
      </c>
      <c r="BG349" s="55">
        <f>Saisie!AW349</f>
        <v>0</v>
      </c>
      <c r="BH349" s="55" t="e">
        <f t="array" ref="BH349">_xlfn.IFS(Saisie!AX349="OUI",1,Saisie!AX349="NON",0)</f>
        <v>#N/A</v>
      </c>
      <c r="BI349" s="62">
        <f>Saisie!AY349</f>
        <v>0</v>
      </c>
      <c r="BJ349" s="55" t="e">
        <f t="array" ref="BJ349">_xlfn.IFS(Saisie!AZ349="OUI",1,Saisie!AZ349="NON",0)</f>
        <v>#N/A</v>
      </c>
      <c r="BK349" s="55" t="e">
        <f t="array" ref="BK349">_xlfn.IFS(Saisie!BA349="OUI",1,Saisie!BA349="NON",0)</f>
        <v>#N/A</v>
      </c>
      <c r="BL349" s="55">
        <f>Saisie!BB349</f>
        <v>0</v>
      </c>
      <c r="BM349" s="49" t="e">
        <f>Saisie!BC349</f>
        <v>#REF!</v>
      </c>
      <c r="BN349" s="175"/>
    </row>
    <row r="350" spans="1:66" s="176" customFormat="1" x14ac:dyDescent="0.45">
      <c r="A350" s="13">
        <v>345</v>
      </c>
      <c r="B350" s="150">
        <f>Saisie!B350</f>
        <v>0</v>
      </c>
      <c r="C350" s="150">
        <f>Saisie!C350</f>
        <v>0</v>
      </c>
      <c r="D350" s="150">
        <f>Saisie!D350</f>
        <v>0</v>
      </c>
      <c r="E350" s="150">
        <f>Saisie!E350</f>
        <v>0</v>
      </c>
      <c r="F350" s="150">
        <f>Saisie!F350</f>
        <v>0</v>
      </c>
      <c r="G350" s="150">
        <f>Saisie!G350</f>
        <v>0</v>
      </c>
      <c r="H350" s="150">
        <f>Saisie!I350</f>
        <v>0</v>
      </c>
      <c r="I350" s="150">
        <f>Saisie!J350</f>
        <v>0</v>
      </c>
      <c r="J350" s="150">
        <f>Saisie!K350</f>
        <v>0</v>
      </c>
      <c r="K350" s="150">
        <f>Saisie!L350</f>
        <v>0</v>
      </c>
      <c r="L350" s="150" t="e">
        <f>Saisie!#REF!</f>
        <v>#REF!</v>
      </c>
      <c r="M350" s="55" t="e">
        <f t="array" ref="M350">_xlfn.IFS(Saisie!M350="OUI",1,Saisie!M350="NON",0)</f>
        <v>#N/A</v>
      </c>
      <c r="N350" s="64" t="e">
        <f>Saisie!#REF!</f>
        <v>#REF!</v>
      </c>
      <c r="O350" s="63" t="e">
        <f>Saisie!#REF!</f>
        <v>#REF!</v>
      </c>
      <c r="P350" s="63">
        <f>Saisie!N350</f>
        <v>0</v>
      </c>
      <c r="Q350" s="63" t="e">
        <f t="array" ref="Q350">_xlfn.IFS(Saisie!#REF!="OUI",1,Saisie!#REF!="NON",0)</f>
        <v>#REF!</v>
      </c>
      <c r="R350" s="63" t="e">
        <f>Saisie!#REF!</f>
        <v>#REF!</v>
      </c>
      <c r="S350" s="65" t="e">
        <f>Saisie!#REF!</f>
        <v>#REF!</v>
      </c>
      <c r="T350" s="63" t="e">
        <f>Saisie!#REF!</f>
        <v>#REF!</v>
      </c>
      <c r="U350" s="63" t="e">
        <f>Saisie!#REF!</f>
        <v>#REF!</v>
      </c>
      <c r="V350" s="63" t="e">
        <f t="array" ref="V350">_xlfn.IFS(Saisie!#REF!="OUI",1,Saisie!#REF!="NON",0)</f>
        <v>#REF!</v>
      </c>
      <c r="W350" s="63" t="e">
        <f t="array" ref="W350">_xlfn.IFS(Saisie!O350="OUI",1,Saisie!O350="NON",0)</f>
        <v>#N/A</v>
      </c>
      <c r="X350" s="63">
        <f>Saisie!P350</f>
        <v>0</v>
      </c>
      <c r="Y350" s="299">
        <f>Saisie!H350</f>
        <v>0</v>
      </c>
      <c r="Z350" s="58" t="e">
        <f>Saisie!#REF!</f>
        <v>#REF!</v>
      </c>
      <c r="AA350" s="299">
        <f>Saisie!Q350</f>
        <v>0</v>
      </c>
      <c r="AB350" s="63" t="e">
        <f t="array" ref="AB350">_xlfn.IFS(Saisie!R350="OUI",1,Saisie!R350="NON",0)</f>
        <v>#N/A</v>
      </c>
      <c r="AC350" s="63">
        <f>Saisie!S350</f>
        <v>0</v>
      </c>
      <c r="AD350" s="63" t="e">
        <f t="array" ref="AD350">_xlfn.IFS(Saisie!T350="OUI",1,Saisie!T350="NON",0)</f>
        <v>#N/A</v>
      </c>
      <c r="AE350" s="171">
        <f>Saisie!U350</f>
        <v>0</v>
      </c>
      <c r="AF350" s="262">
        <v>3</v>
      </c>
      <c r="AG350" s="129">
        <f>Saisie!W350</f>
        <v>0</v>
      </c>
      <c r="AH350" s="20">
        <f>Saisie!X350</f>
        <v>0</v>
      </c>
      <c r="AI350" s="21">
        <f>Saisie!Y350</f>
        <v>0</v>
      </c>
      <c r="AJ350" s="59">
        <f>Saisie!Z350</f>
        <v>0</v>
      </c>
      <c r="AK350" s="20">
        <f>Saisie!AA350</f>
        <v>0</v>
      </c>
      <c r="AL350" s="21">
        <f>Saisie!AB350</f>
        <v>0</v>
      </c>
      <c r="AM350" s="59">
        <f>Saisie!AC350</f>
        <v>0</v>
      </c>
      <c r="AN350" s="20">
        <f>Saisie!AD350</f>
        <v>0</v>
      </c>
      <c r="AO350" s="21">
        <f>Saisie!AE350</f>
        <v>0</v>
      </c>
      <c r="AP350" s="59">
        <f>Saisie!AF350</f>
        <v>0</v>
      </c>
      <c r="AQ350" s="129" t="e">
        <f t="array" ref="AQ350">_xlfn.IFS(Saisie!AG350="OUI",1,Saisie!AG350="NON",0)</f>
        <v>#N/A</v>
      </c>
      <c r="AR350" s="129" t="e">
        <f t="array" ref="AR350">_xlfn.IFS(Saisie!AH350="OUI",1,Saisie!AH350="NON",0)</f>
        <v>#N/A</v>
      </c>
      <c r="AS350" s="171">
        <f>Saisie!AI350</f>
        <v>0</v>
      </c>
      <c r="AT350" s="263" t="e">
        <f t="array" ref="AT350">_xlfn.IFS(Saisie!AJ350="OUI",1,Saisie!AJ350="NON",0)</f>
        <v>#N/A</v>
      </c>
      <c r="AU350" s="173">
        <f>Saisie!AK350</f>
        <v>0</v>
      </c>
      <c r="AV350" s="263" t="e">
        <f t="array" ref="AV350">_xlfn.IFS(Saisie!AL350="OUI",1,Saisie!AL350="NON",0)</f>
        <v>#N/A</v>
      </c>
      <c r="AW350" s="171">
        <f>Saisie!AM350</f>
        <v>0</v>
      </c>
      <c r="AX350" s="68">
        <f>Saisie!AN350</f>
        <v>0</v>
      </c>
      <c r="AY350" s="20">
        <f>Saisie!AO350</f>
        <v>0</v>
      </c>
      <c r="AZ350" s="21">
        <f>Saisie!AP350</f>
        <v>0</v>
      </c>
      <c r="BA350" s="298">
        <f>Saisie!AQ350</f>
        <v>0</v>
      </c>
      <c r="BB350" s="170">
        <f>Saisie!AR350</f>
        <v>0</v>
      </c>
      <c r="BC350" s="174">
        <f>Saisie!AS350</f>
        <v>0</v>
      </c>
      <c r="BD350" s="61">
        <f>Saisie!AT350</f>
        <v>0</v>
      </c>
      <c r="BE350" s="175" t="e">
        <f t="array" ref="BE350">_xlfn.IFS(Saisie!AU350="OUI",1,Saisie!AU350="NON",0)</f>
        <v>#N/A</v>
      </c>
      <c r="BF350" s="267">
        <f>Saisie!AV350</f>
        <v>0</v>
      </c>
      <c r="BG350" s="55">
        <f>Saisie!AW350</f>
        <v>0</v>
      </c>
      <c r="BH350" s="55" t="e">
        <f t="array" ref="BH350">_xlfn.IFS(Saisie!AX350="OUI",1,Saisie!AX350="NON",0)</f>
        <v>#N/A</v>
      </c>
      <c r="BI350" s="62">
        <f>Saisie!AY350</f>
        <v>0</v>
      </c>
      <c r="BJ350" s="55" t="e">
        <f t="array" ref="BJ350">_xlfn.IFS(Saisie!AZ350="OUI",1,Saisie!AZ350="NON",0)</f>
        <v>#N/A</v>
      </c>
      <c r="BK350" s="55" t="e">
        <f t="array" ref="BK350">_xlfn.IFS(Saisie!BA350="OUI",1,Saisie!BA350="NON",0)</f>
        <v>#N/A</v>
      </c>
      <c r="BL350" s="55">
        <f>Saisie!BB350</f>
        <v>0</v>
      </c>
      <c r="BM350" s="49" t="e">
        <f>Saisie!BC350</f>
        <v>#REF!</v>
      </c>
      <c r="BN350" s="175"/>
    </row>
    <row r="351" spans="1:66" s="176" customFormat="1" x14ac:dyDescent="0.45">
      <c r="A351" s="12">
        <v>346</v>
      </c>
      <c r="B351" s="150">
        <f>Saisie!B351</f>
        <v>0</v>
      </c>
      <c r="C351" s="150">
        <f>Saisie!C351</f>
        <v>0</v>
      </c>
      <c r="D351" s="150">
        <f>Saisie!D351</f>
        <v>0</v>
      </c>
      <c r="E351" s="150">
        <f>Saisie!E351</f>
        <v>0</v>
      </c>
      <c r="F351" s="150">
        <f>Saisie!F351</f>
        <v>0</v>
      </c>
      <c r="G351" s="150">
        <f>Saisie!G351</f>
        <v>0</v>
      </c>
      <c r="H351" s="150">
        <f>Saisie!I351</f>
        <v>0</v>
      </c>
      <c r="I351" s="150">
        <f>Saisie!J351</f>
        <v>0</v>
      </c>
      <c r="J351" s="150">
        <f>Saisie!K351</f>
        <v>0</v>
      </c>
      <c r="K351" s="150">
        <f>Saisie!L351</f>
        <v>0</v>
      </c>
      <c r="L351" s="150" t="e">
        <f>Saisie!#REF!</f>
        <v>#REF!</v>
      </c>
      <c r="M351" s="55" t="e">
        <f t="array" ref="M351">_xlfn.IFS(Saisie!M351="OUI",1,Saisie!M351="NON",0)</f>
        <v>#N/A</v>
      </c>
      <c r="N351" s="64" t="e">
        <f>Saisie!#REF!</f>
        <v>#REF!</v>
      </c>
      <c r="O351" s="63" t="e">
        <f>Saisie!#REF!</f>
        <v>#REF!</v>
      </c>
      <c r="P351" s="63">
        <f>Saisie!N351</f>
        <v>0</v>
      </c>
      <c r="Q351" s="63" t="e">
        <f t="array" ref="Q351">_xlfn.IFS(Saisie!#REF!="OUI",1,Saisie!#REF!="NON",0)</f>
        <v>#REF!</v>
      </c>
      <c r="R351" s="63" t="e">
        <f>Saisie!#REF!</f>
        <v>#REF!</v>
      </c>
      <c r="S351" s="65" t="e">
        <f>Saisie!#REF!</f>
        <v>#REF!</v>
      </c>
      <c r="T351" s="63" t="e">
        <f>Saisie!#REF!</f>
        <v>#REF!</v>
      </c>
      <c r="U351" s="63" t="e">
        <f>Saisie!#REF!</f>
        <v>#REF!</v>
      </c>
      <c r="V351" s="63" t="e">
        <f t="array" ref="V351">_xlfn.IFS(Saisie!#REF!="OUI",1,Saisie!#REF!="NON",0)</f>
        <v>#REF!</v>
      </c>
      <c r="W351" s="63" t="e">
        <f t="array" ref="W351">_xlfn.IFS(Saisie!O351="OUI",1,Saisie!O351="NON",0)</f>
        <v>#N/A</v>
      </c>
      <c r="X351" s="63">
        <f>Saisie!P351</f>
        <v>0</v>
      </c>
      <c r="Y351" s="299">
        <f>Saisie!H351</f>
        <v>0</v>
      </c>
      <c r="Z351" s="58" t="e">
        <f>Saisie!#REF!</f>
        <v>#REF!</v>
      </c>
      <c r="AA351" s="299">
        <f>Saisie!Q351</f>
        <v>0</v>
      </c>
      <c r="AB351" s="63" t="e">
        <f t="array" ref="AB351">_xlfn.IFS(Saisie!R351="OUI",1,Saisie!R351="NON",0)</f>
        <v>#N/A</v>
      </c>
      <c r="AC351" s="63">
        <f>Saisie!S351</f>
        <v>0</v>
      </c>
      <c r="AD351" s="63" t="e">
        <f t="array" ref="AD351">_xlfn.IFS(Saisie!T351="OUI",1,Saisie!T351="NON",0)</f>
        <v>#N/A</v>
      </c>
      <c r="AE351" s="171">
        <f>Saisie!U351</f>
        <v>0</v>
      </c>
      <c r="AF351" s="262">
        <v>3</v>
      </c>
      <c r="AG351" s="129">
        <f>Saisie!W351</f>
        <v>0</v>
      </c>
      <c r="AH351" s="20">
        <f>Saisie!X351</f>
        <v>0</v>
      </c>
      <c r="AI351" s="21">
        <f>Saisie!Y351</f>
        <v>0</v>
      </c>
      <c r="AJ351" s="59">
        <f>Saisie!Z351</f>
        <v>0</v>
      </c>
      <c r="AK351" s="20">
        <f>Saisie!AA351</f>
        <v>0</v>
      </c>
      <c r="AL351" s="21">
        <f>Saisie!AB351</f>
        <v>0</v>
      </c>
      <c r="AM351" s="59">
        <f>Saisie!AC351</f>
        <v>0</v>
      </c>
      <c r="AN351" s="20">
        <f>Saisie!AD351</f>
        <v>0</v>
      </c>
      <c r="AO351" s="21">
        <f>Saisie!AE351</f>
        <v>0</v>
      </c>
      <c r="AP351" s="59">
        <f>Saisie!AF351</f>
        <v>0</v>
      </c>
      <c r="AQ351" s="129" t="e">
        <f t="array" ref="AQ351">_xlfn.IFS(Saisie!AG351="OUI",1,Saisie!AG351="NON",0)</f>
        <v>#N/A</v>
      </c>
      <c r="AR351" s="129" t="e">
        <f t="array" ref="AR351">_xlfn.IFS(Saisie!AH351="OUI",1,Saisie!AH351="NON",0)</f>
        <v>#N/A</v>
      </c>
      <c r="AS351" s="171">
        <f>Saisie!AI351</f>
        <v>0</v>
      </c>
      <c r="AT351" s="263" t="e">
        <f t="array" ref="AT351">_xlfn.IFS(Saisie!AJ351="OUI",1,Saisie!AJ351="NON",0)</f>
        <v>#N/A</v>
      </c>
      <c r="AU351" s="173">
        <f>Saisie!AK351</f>
        <v>0</v>
      </c>
      <c r="AV351" s="263" t="e">
        <f t="array" ref="AV351">_xlfn.IFS(Saisie!AL351="OUI",1,Saisie!AL351="NON",0)</f>
        <v>#N/A</v>
      </c>
      <c r="AW351" s="171">
        <f>Saisie!AM351</f>
        <v>0</v>
      </c>
      <c r="AX351" s="68">
        <f>Saisie!AN351</f>
        <v>0</v>
      </c>
      <c r="AY351" s="20">
        <f>Saisie!AO351</f>
        <v>0</v>
      </c>
      <c r="AZ351" s="21">
        <f>Saisie!AP351</f>
        <v>0</v>
      </c>
      <c r="BA351" s="298">
        <f>Saisie!AQ351</f>
        <v>0</v>
      </c>
      <c r="BB351" s="170">
        <f>Saisie!AR351</f>
        <v>0</v>
      </c>
      <c r="BC351" s="174">
        <f>Saisie!AS351</f>
        <v>0</v>
      </c>
      <c r="BD351" s="61">
        <f>Saisie!AT351</f>
        <v>0</v>
      </c>
      <c r="BE351" s="175" t="e">
        <f t="array" ref="BE351">_xlfn.IFS(Saisie!AU351="OUI",1,Saisie!AU351="NON",0)</f>
        <v>#N/A</v>
      </c>
      <c r="BF351" s="267">
        <f>Saisie!AV351</f>
        <v>0</v>
      </c>
      <c r="BG351" s="55">
        <f>Saisie!AW351</f>
        <v>0</v>
      </c>
      <c r="BH351" s="55" t="e">
        <f t="array" ref="BH351">_xlfn.IFS(Saisie!AX351="OUI",1,Saisie!AX351="NON",0)</f>
        <v>#N/A</v>
      </c>
      <c r="BI351" s="62">
        <f>Saisie!AY351</f>
        <v>0</v>
      </c>
      <c r="BJ351" s="55" t="e">
        <f t="array" ref="BJ351">_xlfn.IFS(Saisie!AZ351="OUI",1,Saisie!AZ351="NON",0)</f>
        <v>#N/A</v>
      </c>
      <c r="BK351" s="55" t="e">
        <f t="array" ref="BK351">_xlfn.IFS(Saisie!BA351="OUI",1,Saisie!BA351="NON",0)</f>
        <v>#N/A</v>
      </c>
      <c r="BL351" s="55">
        <f>Saisie!BB351</f>
        <v>0</v>
      </c>
      <c r="BM351" s="49" t="e">
        <f>Saisie!BC351</f>
        <v>#REF!</v>
      </c>
      <c r="BN351" s="175"/>
    </row>
    <row r="352" spans="1:66" s="176" customFormat="1" x14ac:dyDescent="0.45">
      <c r="A352" s="13">
        <v>347</v>
      </c>
      <c r="B352" s="150">
        <f>Saisie!B352</f>
        <v>0</v>
      </c>
      <c r="C352" s="150">
        <f>Saisie!C352</f>
        <v>0</v>
      </c>
      <c r="D352" s="150">
        <f>Saisie!D352</f>
        <v>0</v>
      </c>
      <c r="E352" s="150">
        <f>Saisie!E352</f>
        <v>0</v>
      </c>
      <c r="F352" s="150">
        <f>Saisie!F352</f>
        <v>0</v>
      </c>
      <c r="G352" s="150">
        <f>Saisie!G352</f>
        <v>0</v>
      </c>
      <c r="H352" s="150">
        <f>Saisie!I352</f>
        <v>0</v>
      </c>
      <c r="I352" s="150">
        <f>Saisie!J352</f>
        <v>0</v>
      </c>
      <c r="J352" s="150">
        <f>Saisie!K352</f>
        <v>0</v>
      </c>
      <c r="K352" s="150">
        <f>Saisie!L352</f>
        <v>0</v>
      </c>
      <c r="L352" s="150" t="e">
        <f>Saisie!#REF!</f>
        <v>#REF!</v>
      </c>
      <c r="M352" s="55" t="e">
        <f t="array" ref="M352">_xlfn.IFS(Saisie!M352="OUI",1,Saisie!M352="NON",0)</f>
        <v>#N/A</v>
      </c>
      <c r="N352" s="64" t="e">
        <f>Saisie!#REF!</f>
        <v>#REF!</v>
      </c>
      <c r="O352" s="63" t="e">
        <f>Saisie!#REF!</f>
        <v>#REF!</v>
      </c>
      <c r="P352" s="63">
        <f>Saisie!N352</f>
        <v>0</v>
      </c>
      <c r="Q352" s="63" t="e">
        <f t="array" ref="Q352">_xlfn.IFS(Saisie!#REF!="OUI",1,Saisie!#REF!="NON",0)</f>
        <v>#REF!</v>
      </c>
      <c r="R352" s="63" t="e">
        <f>Saisie!#REF!</f>
        <v>#REF!</v>
      </c>
      <c r="S352" s="65" t="e">
        <f>Saisie!#REF!</f>
        <v>#REF!</v>
      </c>
      <c r="T352" s="63" t="e">
        <f>Saisie!#REF!</f>
        <v>#REF!</v>
      </c>
      <c r="U352" s="63" t="e">
        <f>Saisie!#REF!</f>
        <v>#REF!</v>
      </c>
      <c r="V352" s="63" t="e">
        <f t="array" ref="V352">_xlfn.IFS(Saisie!#REF!="OUI",1,Saisie!#REF!="NON",0)</f>
        <v>#REF!</v>
      </c>
      <c r="W352" s="63" t="e">
        <f t="array" ref="W352">_xlfn.IFS(Saisie!O352="OUI",1,Saisie!O352="NON",0)</f>
        <v>#N/A</v>
      </c>
      <c r="X352" s="63">
        <f>Saisie!P352</f>
        <v>0</v>
      </c>
      <c r="Y352" s="299">
        <f>Saisie!H352</f>
        <v>0</v>
      </c>
      <c r="Z352" s="58" t="e">
        <f>Saisie!#REF!</f>
        <v>#REF!</v>
      </c>
      <c r="AA352" s="299">
        <f>Saisie!Q352</f>
        <v>0</v>
      </c>
      <c r="AB352" s="63" t="e">
        <f t="array" ref="AB352">_xlfn.IFS(Saisie!R352="OUI",1,Saisie!R352="NON",0)</f>
        <v>#N/A</v>
      </c>
      <c r="AC352" s="63">
        <f>Saisie!S352</f>
        <v>0</v>
      </c>
      <c r="AD352" s="63" t="e">
        <f t="array" ref="AD352">_xlfn.IFS(Saisie!T352="OUI",1,Saisie!T352="NON",0)</f>
        <v>#N/A</v>
      </c>
      <c r="AE352" s="171">
        <f>Saisie!U352</f>
        <v>0</v>
      </c>
      <c r="AF352" s="262">
        <v>3</v>
      </c>
      <c r="AG352" s="129">
        <f>Saisie!W352</f>
        <v>0</v>
      </c>
      <c r="AH352" s="20">
        <f>Saisie!X352</f>
        <v>0</v>
      </c>
      <c r="AI352" s="21">
        <f>Saisie!Y352</f>
        <v>0</v>
      </c>
      <c r="AJ352" s="59">
        <f>Saisie!Z352</f>
        <v>0</v>
      </c>
      <c r="AK352" s="20">
        <f>Saisie!AA352</f>
        <v>0</v>
      </c>
      <c r="AL352" s="21">
        <f>Saisie!AB352</f>
        <v>0</v>
      </c>
      <c r="AM352" s="59">
        <f>Saisie!AC352</f>
        <v>0</v>
      </c>
      <c r="AN352" s="20">
        <f>Saisie!AD352</f>
        <v>0</v>
      </c>
      <c r="AO352" s="21">
        <f>Saisie!AE352</f>
        <v>0</v>
      </c>
      <c r="AP352" s="59">
        <f>Saisie!AF352</f>
        <v>0</v>
      </c>
      <c r="AQ352" s="129" t="e">
        <f t="array" ref="AQ352">_xlfn.IFS(Saisie!AG352="OUI",1,Saisie!AG352="NON",0)</f>
        <v>#N/A</v>
      </c>
      <c r="AR352" s="129" t="e">
        <f t="array" ref="AR352">_xlfn.IFS(Saisie!AH352="OUI",1,Saisie!AH352="NON",0)</f>
        <v>#N/A</v>
      </c>
      <c r="AS352" s="171">
        <f>Saisie!AI352</f>
        <v>0</v>
      </c>
      <c r="AT352" s="263" t="e">
        <f t="array" ref="AT352">_xlfn.IFS(Saisie!AJ352="OUI",1,Saisie!AJ352="NON",0)</f>
        <v>#N/A</v>
      </c>
      <c r="AU352" s="173">
        <f>Saisie!AK352</f>
        <v>0</v>
      </c>
      <c r="AV352" s="263" t="e">
        <f t="array" ref="AV352">_xlfn.IFS(Saisie!AL352="OUI",1,Saisie!AL352="NON",0)</f>
        <v>#N/A</v>
      </c>
      <c r="AW352" s="171">
        <f>Saisie!AM352</f>
        <v>0</v>
      </c>
      <c r="AX352" s="68">
        <f>Saisie!AN352</f>
        <v>0</v>
      </c>
      <c r="AY352" s="20">
        <f>Saisie!AO352</f>
        <v>0</v>
      </c>
      <c r="AZ352" s="21">
        <f>Saisie!AP352</f>
        <v>0</v>
      </c>
      <c r="BA352" s="298">
        <f>Saisie!AQ352</f>
        <v>0</v>
      </c>
      <c r="BB352" s="170">
        <f>Saisie!AR352</f>
        <v>0</v>
      </c>
      <c r="BC352" s="174">
        <f>Saisie!AS352</f>
        <v>0</v>
      </c>
      <c r="BD352" s="61">
        <f>Saisie!AT352</f>
        <v>0</v>
      </c>
      <c r="BE352" s="175" t="e">
        <f t="array" ref="BE352">_xlfn.IFS(Saisie!AU352="OUI",1,Saisie!AU352="NON",0)</f>
        <v>#N/A</v>
      </c>
      <c r="BF352" s="267">
        <f>Saisie!AV352</f>
        <v>0</v>
      </c>
      <c r="BG352" s="55">
        <f>Saisie!AW352</f>
        <v>0</v>
      </c>
      <c r="BH352" s="55" t="e">
        <f t="array" ref="BH352">_xlfn.IFS(Saisie!AX352="OUI",1,Saisie!AX352="NON",0)</f>
        <v>#N/A</v>
      </c>
      <c r="BI352" s="62">
        <f>Saisie!AY352</f>
        <v>0</v>
      </c>
      <c r="BJ352" s="55" t="e">
        <f t="array" ref="BJ352">_xlfn.IFS(Saisie!AZ352="OUI",1,Saisie!AZ352="NON",0)</f>
        <v>#N/A</v>
      </c>
      <c r="BK352" s="55" t="e">
        <f t="array" ref="BK352">_xlfn.IFS(Saisie!BA352="OUI",1,Saisie!BA352="NON",0)</f>
        <v>#N/A</v>
      </c>
      <c r="BL352" s="55">
        <f>Saisie!BB352</f>
        <v>0</v>
      </c>
      <c r="BM352" s="49" t="e">
        <f>Saisie!BC352</f>
        <v>#REF!</v>
      </c>
      <c r="BN352" s="175"/>
    </row>
    <row r="353" spans="1:66" s="176" customFormat="1" x14ac:dyDescent="0.45">
      <c r="A353" s="13">
        <v>348</v>
      </c>
      <c r="B353" s="150">
        <f>Saisie!B353</f>
        <v>0</v>
      </c>
      <c r="C353" s="150">
        <f>Saisie!C353</f>
        <v>0</v>
      </c>
      <c r="D353" s="150">
        <f>Saisie!D353</f>
        <v>0</v>
      </c>
      <c r="E353" s="150">
        <f>Saisie!E353</f>
        <v>0</v>
      </c>
      <c r="F353" s="150">
        <f>Saisie!F353</f>
        <v>0</v>
      </c>
      <c r="G353" s="150">
        <f>Saisie!G353</f>
        <v>0</v>
      </c>
      <c r="H353" s="150">
        <f>Saisie!I353</f>
        <v>0</v>
      </c>
      <c r="I353" s="150">
        <f>Saisie!J353</f>
        <v>0</v>
      </c>
      <c r="J353" s="150">
        <f>Saisie!K353</f>
        <v>0</v>
      </c>
      <c r="K353" s="150">
        <f>Saisie!L353</f>
        <v>0</v>
      </c>
      <c r="L353" s="150" t="e">
        <f>Saisie!#REF!</f>
        <v>#REF!</v>
      </c>
      <c r="M353" s="55" t="e">
        <f t="array" ref="M353">_xlfn.IFS(Saisie!M353="OUI",1,Saisie!M353="NON",0)</f>
        <v>#N/A</v>
      </c>
      <c r="N353" s="64" t="e">
        <f>Saisie!#REF!</f>
        <v>#REF!</v>
      </c>
      <c r="O353" s="63" t="e">
        <f>Saisie!#REF!</f>
        <v>#REF!</v>
      </c>
      <c r="P353" s="63">
        <f>Saisie!N353</f>
        <v>0</v>
      </c>
      <c r="Q353" s="63" t="e">
        <f t="array" ref="Q353">_xlfn.IFS(Saisie!#REF!="OUI",1,Saisie!#REF!="NON",0)</f>
        <v>#REF!</v>
      </c>
      <c r="R353" s="63" t="e">
        <f>Saisie!#REF!</f>
        <v>#REF!</v>
      </c>
      <c r="S353" s="65" t="e">
        <f>Saisie!#REF!</f>
        <v>#REF!</v>
      </c>
      <c r="T353" s="63" t="e">
        <f>Saisie!#REF!</f>
        <v>#REF!</v>
      </c>
      <c r="U353" s="63" t="e">
        <f>Saisie!#REF!</f>
        <v>#REF!</v>
      </c>
      <c r="V353" s="63" t="e">
        <f t="array" ref="V353">_xlfn.IFS(Saisie!#REF!="OUI",1,Saisie!#REF!="NON",0)</f>
        <v>#REF!</v>
      </c>
      <c r="W353" s="63" t="e">
        <f t="array" ref="W353">_xlfn.IFS(Saisie!O353="OUI",1,Saisie!O353="NON",0)</f>
        <v>#N/A</v>
      </c>
      <c r="X353" s="63">
        <f>Saisie!P353</f>
        <v>0</v>
      </c>
      <c r="Y353" s="299">
        <f>Saisie!H353</f>
        <v>0</v>
      </c>
      <c r="Z353" s="58" t="e">
        <f>Saisie!#REF!</f>
        <v>#REF!</v>
      </c>
      <c r="AA353" s="299">
        <f>Saisie!Q353</f>
        <v>0</v>
      </c>
      <c r="AB353" s="63" t="e">
        <f t="array" ref="AB353">_xlfn.IFS(Saisie!R353="OUI",1,Saisie!R353="NON",0)</f>
        <v>#N/A</v>
      </c>
      <c r="AC353" s="63">
        <f>Saisie!S353</f>
        <v>0</v>
      </c>
      <c r="AD353" s="63" t="e">
        <f t="array" ref="AD353">_xlfn.IFS(Saisie!T353="OUI",1,Saisie!T353="NON",0)</f>
        <v>#N/A</v>
      </c>
      <c r="AE353" s="171">
        <f>Saisie!U353</f>
        <v>0</v>
      </c>
      <c r="AF353" s="262">
        <v>3</v>
      </c>
      <c r="AG353" s="129">
        <f>Saisie!W353</f>
        <v>0</v>
      </c>
      <c r="AH353" s="20">
        <f>Saisie!X353</f>
        <v>0</v>
      </c>
      <c r="AI353" s="21">
        <f>Saisie!Y353</f>
        <v>0</v>
      </c>
      <c r="AJ353" s="59">
        <f>Saisie!Z353</f>
        <v>0</v>
      </c>
      <c r="AK353" s="20">
        <f>Saisie!AA353</f>
        <v>0</v>
      </c>
      <c r="AL353" s="21">
        <f>Saisie!AB353</f>
        <v>0</v>
      </c>
      <c r="AM353" s="59">
        <f>Saisie!AC353</f>
        <v>0</v>
      </c>
      <c r="AN353" s="20">
        <f>Saisie!AD353</f>
        <v>0</v>
      </c>
      <c r="AO353" s="21">
        <f>Saisie!AE353</f>
        <v>0</v>
      </c>
      <c r="AP353" s="59">
        <f>Saisie!AF353</f>
        <v>0</v>
      </c>
      <c r="AQ353" s="129" t="e">
        <f t="array" ref="AQ353">_xlfn.IFS(Saisie!AG353="OUI",1,Saisie!AG353="NON",0)</f>
        <v>#N/A</v>
      </c>
      <c r="AR353" s="129" t="e">
        <f t="array" ref="AR353">_xlfn.IFS(Saisie!AH353="OUI",1,Saisie!AH353="NON",0)</f>
        <v>#N/A</v>
      </c>
      <c r="AS353" s="171">
        <f>Saisie!AI353</f>
        <v>0</v>
      </c>
      <c r="AT353" s="263" t="e">
        <f t="array" ref="AT353">_xlfn.IFS(Saisie!AJ353="OUI",1,Saisie!AJ353="NON",0)</f>
        <v>#N/A</v>
      </c>
      <c r="AU353" s="173">
        <f>Saisie!AK353</f>
        <v>0</v>
      </c>
      <c r="AV353" s="263" t="e">
        <f t="array" ref="AV353">_xlfn.IFS(Saisie!AL353="OUI",1,Saisie!AL353="NON",0)</f>
        <v>#N/A</v>
      </c>
      <c r="AW353" s="171">
        <f>Saisie!AM353</f>
        <v>0</v>
      </c>
      <c r="AX353" s="68">
        <f>Saisie!AN353</f>
        <v>0</v>
      </c>
      <c r="AY353" s="20">
        <f>Saisie!AO353</f>
        <v>0</v>
      </c>
      <c r="AZ353" s="21">
        <f>Saisie!AP353</f>
        <v>0</v>
      </c>
      <c r="BA353" s="298">
        <f>Saisie!AQ353</f>
        <v>0</v>
      </c>
      <c r="BB353" s="170">
        <f>Saisie!AR353</f>
        <v>0</v>
      </c>
      <c r="BC353" s="174">
        <f>Saisie!AS353</f>
        <v>0</v>
      </c>
      <c r="BD353" s="61">
        <f>Saisie!AT353</f>
        <v>0</v>
      </c>
      <c r="BE353" s="175" t="e">
        <f t="array" ref="BE353">_xlfn.IFS(Saisie!AU353="OUI",1,Saisie!AU353="NON",0)</f>
        <v>#N/A</v>
      </c>
      <c r="BF353" s="267">
        <f>Saisie!AV353</f>
        <v>0</v>
      </c>
      <c r="BG353" s="55">
        <f>Saisie!AW353</f>
        <v>0</v>
      </c>
      <c r="BH353" s="55" t="e">
        <f t="array" ref="BH353">_xlfn.IFS(Saisie!AX353="OUI",1,Saisie!AX353="NON",0)</f>
        <v>#N/A</v>
      </c>
      <c r="BI353" s="62">
        <f>Saisie!AY353</f>
        <v>0</v>
      </c>
      <c r="BJ353" s="55" t="e">
        <f t="array" ref="BJ353">_xlfn.IFS(Saisie!AZ353="OUI",1,Saisie!AZ353="NON",0)</f>
        <v>#N/A</v>
      </c>
      <c r="BK353" s="55" t="e">
        <f t="array" ref="BK353">_xlfn.IFS(Saisie!BA353="OUI",1,Saisie!BA353="NON",0)</f>
        <v>#N/A</v>
      </c>
      <c r="BL353" s="55">
        <f>Saisie!BB353</f>
        <v>0</v>
      </c>
      <c r="BM353" s="49" t="e">
        <f>Saisie!BC353</f>
        <v>#REF!</v>
      </c>
      <c r="BN353" s="175"/>
    </row>
    <row r="354" spans="1:66" s="176" customFormat="1" x14ac:dyDescent="0.45">
      <c r="A354" s="12">
        <v>349</v>
      </c>
      <c r="B354" s="150">
        <f>Saisie!B354</f>
        <v>0</v>
      </c>
      <c r="C354" s="150">
        <f>Saisie!C354</f>
        <v>0</v>
      </c>
      <c r="D354" s="150">
        <f>Saisie!D354</f>
        <v>0</v>
      </c>
      <c r="E354" s="150">
        <f>Saisie!E354</f>
        <v>0</v>
      </c>
      <c r="F354" s="150">
        <f>Saisie!F354</f>
        <v>0</v>
      </c>
      <c r="G354" s="150">
        <f>Saisie!G354</f>
        <v>0</v>
      </c>
      <c r="H354" s="150">
        <f>Saisie!I354</f>
        <v>0</v>
      </c>
      <c r="I354" s="150">
        <f>Saisie!J354</f>
        <v>0</v>
      </c>
      <c r="J354" s="150">
        <f>Saisie!K354</f>
        <v>0</v>
      </c>
      <c r="K354" s="150">
        <f>Saisie!L354</f>
        <v>0</v>
      </c>
      <c r="L354" s="150" t="e">
        <f>Saisie!#REF!</f>
        <v>#REF!</v>
      </c>
      <c r="M354" s="55" t="e">
        <f t="array" ref="M354">_xlfn.IFS(Saisie!M354="OUI",1,Saisie!M354="NON",0)</f>
        <v>#N/A</v>
      </c>
      <c r="N354" s="64" t="e">
        <f>Saisie!#REF!</f>
        <v>#REF!</v>
      </c>
      <c r="O354" s="63" t="e">
        <f>Saisie!#REF!</f>
        <v>#REF!</v>
      </c>
      <c r="P354" s="63">
        <f>Saisie!N354</f>
        <v>0</v>
      </c>
      <c r="Q354" s="63" t="e">
        <f t="array" ref="Q354">_xlfn.IFS(Saisie!#REF!="OUI",1,Saisie!#REF!="NON",0)</f>
        <v>#REF!</v>
      </c>
      <c r="R354" s="63" t="e">
        <f>Saisie!#REF!</f>
        <v>#REF!</v>
      </c>
      <c r="S354" s="65" t="e">
        <f>Saisie!#REF!</f>
        <v>#REF!</v>
      </c>
      <c r="T354" s="63" t="e">
        <f>Saisie!#REF!</f>
        <v>#REF!</v>
      </c>
      <c r="U354" s="63" t="e">
        <f>Saisie!#REF!</f>
        <v>#REF!</v>
      </c>
      <c r="V354" s="63" t="e">
        <f t="array" ref="V354">_xlfn.IFS(Saisie!#REF!="OUI",1,Saisie!#REF!="NON",0)</f>
        <v>#REF!</v>
      </c>
      <c r="W354" s="63" t="e">
        <f t="array" ref="W354">_xlfn.IFS(Saisie!O354="OUI",1,Saisie!O354="NON",0)</f>
        <v>#N/A</v>
      </c>
      <c r="X354" s="63">
        <f>Saisie!P354</f>
        <v>0</v>
      </c>
      <c r="Y354" s="299">
        <f>Saisie!H354</f>
        <v>0</v>
      </c>
      <c r="Z354" s="58" t="e">
        <f>Saisie!#REF!</f>
        <v>#REF!</v>
      </c>
      <c r="AA354" s="299">
        <f>Saisie!Q354</f>
        <v>0</v>
      </c>
      <c r="AB354" s="63" t="e">
        <f t="array" ref="AB354">_xlfn.IFS(Saisie!R354="OUI",1,Saisie!R354="NON",0)</f>
        <v>#N/A</v>
      </c>
      <c r="AC354" s="63">
        <f>Saisie!S354</f>
        <v>0</v>
      </c>
      <c r="AD354" s="63" t="e">
        <f t="array" ref="AD354">_xlfn.IFS(Saisie!T354="OUI",1,Saisie!T354="NON",0)</f>
        <v>#N/A</v>
      </c>
      <c r="AE354" s="171">
        <f>Saisie!U354</f>
        <v>0</v>
      </c>
      <c r="AF354" s="262">
        <v>3</v>
      </c>
      <c r="AG354" s="129">
        <f>Saisie!W354</f>
        <v>0</v>
      </c>
      <c r="AH354" s="20">
        <f>Saisie!X354</f>
        <v>0</v>
      </c>
      <c r="AI354" s="21">
        <f>Saisie!Y354</f>
        <v>0</v>
      </c>
      <c r="AJ354" s="59">
        <f>Saisie!Z354</f>
        <v>0</v>
      </c>
      <c r="AK354" s="20">
        <f>Saisie!AA354</f>
        <v>0</v>
      </c>
      <c r="AL354" s="21">
        <f>Saisie!AB354</f>
        <v>0</v>
      </c>
      <c r="AM354" s="59">
        <f>Saisie!AC354</f>
        <v>0</v>
      </c>
      <c r="AN354" s="20">
        <f>Saisie!AD354</f>
        <v>0</v>
      </c>
      <c r="AO354" s="21">
        <f>Saisie!AE354</f>
        <v>0</v>
      </c>
      <c r="AP354" s="59">
        <f>Saisie!AF354</f>
        <v>0</v>
      </c>
      <c r="AQ354" s="129" t="e">
        <f t="array" ref="AQ354">_xlfn.IFS(Saisie!AG354="OUI",1,Saisie!AG354="NON",0)</f>
        <v>#N/A</v>
      </c>
      <c r="AR354" s="129" t="e">
        <f t="array" ref="AR354">_xlfn.IFS(Saisie!AH354="OUI",1,Saisie!AH354="NON",0)</f>
        <v>#N/A</v>
      </c>
      <c r="AS354" s="171">
        <f>Saisie!AI354</f>
        <v>0</v>
      </c>
      <c r="AT354" s="263" t="e">
        <f t="array" ref="AT354">_xlfn.IFS(Saisie!AJ354="OUI",1,Saisie!AJ354="NON",0)</f>
        <v>#N/A</v>
      </c>
      <c r="AU354" s="173">
        <f>Saisie!AK354</f>
        <v>0</v>
      </c>
      <c r="AV354" s="263" t="e">
        <f t="array" ref="AV354">_xlfn.IFS(Saisie!AL354="OUI",1,Saisie!AL354="NON",0)</f>
        <v>#N/A</v>
      </c>
      <c r="AW354" s="171">
        <f>Saisie!AM354</f>
        <v>0</v>
      </c>
      <c r="AX354" s="68">
        <f>Saisie!AN354</f>
        <v>0</v>
      </c>
      <c r="AY354" s="20">
        <f>Saisie!AO354</f>
        <v>0</v>
      </c>
      <c r="AZ354" s="21">
        <f>Saisie!AP354</f>
        <v>0</v>
      </c>
      <c r="BA354" s="298">
        <f>Saisie!AQ354</f>
        <v>0</v>
      </c>
      <c r="BB354" s="170">
        <f>Saisie!AR354</f>
        <v>0</v>
      </c>
      <c r="BC354" s="174">
        <f>Saisie!AS354</f>
        <v>0</v>
      </c>
      <c r="BD354" s="61">
        <f>Saisie!AT354</f>
        <v>0</v>
      </c>
      <c r="BE354" s="175" t="e">
        <f t="array" ref="BE354">_xlfn.IFS(Saisie!AU354="OUI",1,Saisie!AU354="NON",0)</f>
        <v>#N/A</v>
      </c>
      <c r="BF354" s="267">
        <f>Saisie!AV354</f>
        <v>0</v>
      </c>
      <c r="BG354" s="55">
        <f>Saisie!AW354</f>
        <v>0</v>
      </c>
      <c r="BH354" s="55" t="e">
        <f t="array" ref="BH354">_xlfn.IFS(Saisie!AX354="OUI",1,Saisie!AX354="NON",0)</f>
        <v>#N/A</v>
      </c>
      <c r="BI354" s="62">
        <f>Saisie!AY354</f>
        <v>0</v>
      </c>
      <c r="BJ354" s="55" t="e">
        <f t="array" ref="BJ354">_xlfn.IFS(Saisie!AZ354="OUI",1,Saisie!AZ354="NON",0)</f>
        <v>#N/A</v>
      </c>
      <c r="BK354" s="55" t="e">
        <f t="array" ref="BK354">_xlfn.IFS(Saisie!BA354="OUI",1,Saisie!BA354="NON",0)</f>
        <v>#N/A</v>
      </c>
      <c r="BL354" s="55">
        <f>Saisie!BB354</f>
        <v>0</v>
      </c>
      <c r="BM354" s="49" t="e">
        <f>Saisie!BC354</f>
        <v>#REF!</v>
      </c>
      <c r="BN354" s="175"/>
    </row>
    <row r="355" spans="1:66" s="176" customFormat="1" x14ac:dyDescent="0.45">
      <c r="A355" s="13">
        <v>350</v>
      </c>
      <c r="B355" s="150">
        <f>Saisie!B355</f>
        <v>0</v>
      </c>
      <c r="C355" s="150">
        <f>Saisie!C355</f>
        <v>0</v>
      </c>
      <c r="D355" s="150">
        <f>Saisie!D355</f>
        <v>0</v>
      </c>
      <c r="E355" s="150">
        <f>Saisie!E355</f>
        <v>0</v>
      </c>
      <c r="F355" s="150">
        <f>Saisie!F355</f>
        <v>0</v>
      </c>
      <c r="G355" s="150">
        <f>Saisie!G355</f>
        <v>0</v>
      </c>
      <c r="H355" s="150">
        <f>Saisie!I355</f>
        <v>0</v>
      </c>
      <c r="I355" s="150">
        <f>Saisie!J355</f>
        <v>0</v>
      </c>
      <c r="J355" s="150">
        <f>Saisie!K355</f>
        <v>0</v>
      </c>
      <c r="K355" s="150">
        <f>Saisie!L355</f>
        <v>0</v>
      </c>
      <c r="L355" s="150" t="e">
        <f>Saisie!#REF!</f>
        <v>#REF!</v>
      </c>
      <c r="M355" s="55" t="e">
        <f t="array" ref="M355">_xlfn.IFS(Saisie!M355="OUI",1,Saisie!M355="NON",0)</f>
        <v>#N/A</v>
      </c>
      <c r="N355" s="64" t="e">
        <f>Saisie!#REF!</f>
        <v>#REF!</v>
      </c>
      <c r="O355" s="63" t="e">
        <f>Saisie!#REF!</f>
        <v>#REF!</v>
      </c>
      <c r="P355" s="63">
        <f>Saisie!N355</f>
        <v>0</v>
      </c>
      <c r="Q355" s="63" t="e">
        <f t="array" ref="Q355">_xlfn.IFS(Saisie!#REF!="OUI",1,Saisie!#REF!="NON",0)</f>
        <v>#REF!</v>
      </c>
      <c r="R355" s="63" t="e">
        <f>Saisie!#REF!</f>
        <v>#REF!</v>
      </c>
      <c r="S355" s="65" t="e">
        <f>Saisie!#REF!</f>
        <v>#REF!</v>
      </c>
      <c r="T355" s="63" t="e">
        <f>Saisie!#REF!</f>
        <v>#REF!</v>
      </c>
      <c r="U355" s="63" t="e">
        <f>Saisie!#REF!</f>
        <v>#REF!</v>
      </c>
      <c r="V355" s="63" t="e">
        <f t="array" ref="V355">_xlfn.IFS(Saisie!#REF!="OUI",1,Saisie!#REF!="NON",0)</f>
        <v>#REF!</v>
      </c>
      <c r="W355" s="63" t="e">
        <f t="array" ref="W355">_xlfn.IFS(Saisie!O355="OUI",1,Saisie!O355="NON",0)</f>
        <v>#N/A</v>
      </c>
      <c r="X355" s="63">
        <f>Saisie!P355</f>
        <v>0</v>
      </c>
      <c r="Y355" s="299">
        <f>Saisie!H355</f>
        <v>0</v>
      </c>
      <c r="Z355" s="58" t="e">
        <f>Saisie!#REF!</f>
        <v>#REF!</v>
      </c>
      <c r="AA355" s="299">
        <f>Saisie!Q355</f>
        <v>0</v>
      </c>
      <c r="AB355" s="63" t="e">
        <f t="array" ref="AB355">_xlfn.IFS(Saisie!R355="OUI",1,Saisie!R355="NON",0)</f>
        <v>#N/A</v>
      </c>
      <c r="AC355" s="63">
        <f>Saisie!S355</f>
        <v>0</v>
      </c>
      <c r="AD355" s="63" t="e">
        <f t="array" ref="AD355">_xlfn.IFS(Saisie!T355="OUI",1,Saisie!T355="NON",0)</f>
        <v>#N/A</v>
      </c>
      <c r="AE355" s="171">
        <f>Saisie!U355</f>
        <v>0</v>
      </c>
      <c r="AF355" s="262">
        <v>3</v>
      </c>
      <c r="AG355" s="129">
        <f>Saisie!W355</f>
        <v>0</v>
      </c>
      <c r="AH355" s="20">
        <f>Saisie!X355</f>
        <v>0</v>
      </c>
      <c r="AI355" s="21">
        <f>Saisie!Y355</f>
        <v>0</v>
      </c>
      <c r="AJ355" s="59">
        <f>Saisie!Z355</f>
        <v>0</v>
      </c>
      <c r="AK355" s="20">
        <f>Saisie!AA355</f>
        <v>0</v>
      </c>
      <c r="AL355" s="21">
        <f>Saisie!AB355</f>
        <v>0</v>
      </c>
      <c r="AM355" s="59">
        <f>Saisie!AC355</f>
        <v>0</v>
      </c>
      <c r="AN355" s="20">
        <f>Saisie!AD355</f>
        <v>0</v>
      </c>
      <c r="AO355" s="21">
        <f>Saisie!AE355</f>
        <v>0</v>
      </c>
      <c r="AP355" s="59">
        <f>Saisie!AF355</f>
        <v>0</v>
      </c>
      <c r="AQ355" s="129" t="e">
        <f t="array" ref="AQ355">_xlfn.IFS(Saisie!AG355="OUI",1,Saisie!AG355="NON",0)</f>
        <v>#N/A</v>
      </c>
      <c r="AR355" s="129" t="e">
        <f t="array" ref="AR355">_xlfn.IFS(Saisie!AH355="OUI",1,Saisie!AH355="NON",0)</f>
        <v>#N/A</v>
      </c>
      <c r="AS355" s="171">
        <f>Saisie!AI355</f>
        <v>0</v>
      </c>
      <c r="AT355" s="263" t="e">
        <f t="array" ref="AT355">_xlfn.IFS(Saisie!AJ355="OUI",1,Saisie!AJ355="NON",0)</f>
        <v>#N/A</v>
      </c>
      <c r="AU355" s="173">
        <f>Saisie!AK355</f>
        <v>0</v>
      </c>
      <c r="AV355" s="263" t="e">
        <f t="array" ref="AV355">_xlfn.IFS(Saisie!AL355="OUI",1,Saisie!AL355="NON",0)</f>
        <v>#N/A</v>
      </c>
      <c r="AW355" s="171">
        <f>Saisie!AM355</f>
        <v>0</v>
      </c>
      <c r="AX355" s="68">
        <f>Saisie!AN355</f>
        <v>0</v>
      </c>
      <c r="AY355" s="20">
        <f>Saisie!AO355</f>
        <v>0</v>
      </c>
      <c r="AZ355" s="21">
        <f>Saisie!AP355</f>
        <v>0</v>
      </c>
      <c r="BA355" s="298">
        <f>Saisie!AQ355</f>
        <v>0</v>
      </c>
      <c r="BB355" s="170">
        <f>Saisie!AR355</f>
        <v>0</v>
      </c>
      <c r="BC355" s="174">
        <f>Saisie!AS355</f>
        <v>0</v>
      </c>
      <c r="BD355" s="61">
        <f>Saisie!AT355</f>
        <v>0</v>
      </c>
      <c r="BE355" s="175" t="e">
        <f t="array" ref="BE355">_xlfn.IFS(Saisie!AU355="OUI",1,Saisie!AU355="NON",0)</f>
        <v>#N/A</v>
      </c>
      <c r="BF355" s="267">
        <f>Saisie!AV355</f>
        <v>0</v>
      </c>
      <c r="BG355" s="55">
        <f>Saisie!AW355</f>
        <v>0</v>
      </c>
      <c r="BH355" s="55" t="e">
        <f t="array" ref="BH355">_xlfn.IFS(Saisie!AX355="OUI",1,Saisie!AX355="NON",0)</f>
        <v>#N/A</v>
      </c>
      <c r="BI355" s="62">
        <f>Saisie!AY355</f>
        <v>0</v>
      </c>
      <c r="BJ355" s="55" t="e">
        <f t="array" ref="BJ355">_xlfn.IFS(Saisie!AZ355="OUI",1,Saisie!AZ355="NON",0)</f>
        <v>#N/A</v>
      </c>
      <c r="BK355" s="55" t="e">
        <f t="array" ref="BK355">_xlfn.IFS(Saisie!BA355="OUI",1,Saisie!BA355="NON",0)</f>
        <v>#N/A</v>
      </c>
      <c r="BL355" s="55">
        <f>Saisie!BB355</f>
        <v>0</v>
      </c>
      <c r="BM355" s="49" t="e">
        <f>Saisie!BC355</f>
        <v>#REF!</v>
      </c>
      <c r="BN355" s="175"/>
    </row>
    <row r="356" spans="1:66" s="176" customFormat="1" x14ac:dyDescent="0.45">
      <c r="A356" s="13">
        <v>351</v>
      </c>
      <c r="B356" s="150">
        <f>Saisie!B356</f>
        <v>0</v>
      </c>
      <c r="C356" s="150">
        <f>Saisie!C356</f>
        <v>0</v>
      </c>
      <c r="D356" s="150">
        <f>Saisie!D356</f>
        <v>0</v>
      </c>
      <c r="E356" s="150">
        <f>Saisie!E356</f>
        <v>0</v>
      </c>
      <c r="F356" s="150">
        <f>Saisie!F356</f>
        <v>0</v>
      </c>
      <c r="G356" s="150">
        <f>Saisie!G356</f>
        <v>0</v>
      </c>
      <c r="H356" s="150">
        <f>Saisie!I356</f>
        <v>0</v>
      </c>
      <c r="I356" s="150">
        <f>Saisie!J356</f>
        <v>0</v>
      </c>
      <c r="J356" s="150">
        <f>Saisie!K356</f>
        <v>0</v>
      </c>
      <c r="K356" s="150">
        <f>Saisie!L356</f>
        <v>0</v>
      </c>
      <c r="L356" s="150" t="e">
        <f>Saisie!#REF!</f>
        <v>#REF!</v>
      </c>
      <c r="M356" s="55" t="e">
        <f t="array" ref="M356">_xlfn.IFS(Saisie!M356="OUI",1,Saisie!M356="NON",0)</f>
        <v>#N/A</v>
      </c>
      <c r="N356" s="64" t="e">
        <f>Saisie!#REF!</f>
        <v>#REF!</v>
      </c>
      <c r="O356" s="63" t="e">
        <f>Saisie!#REF!</f>
        <v>#REF!</v>
      </c>
      <c r="P356" s="63">
        <f>Saisie!N356</f>
        <v>0</v>
      </c>
      <c r="Q356" s="63" t="e">
        <f t="array" ref="Q356">_xlfn.IFS(Saisie!#REF!="OUI",1,Saisie!#REF!="NON",0)</f>
        <v>#REF!</v>
      </c>
      <c r="R356" s="63" t="e">
        <f>Saisie!#REF!</f>
        <v>#REF!</v>
      </c>
      <c r="S356" s="65" t="e">
        <f>Saisie!#REF!</f>
        <v>#REF!</v>
      </c>
      <c r="T356" s="63" t="e">
        <f>Saisie!#REF!</f>
        <v>#REF!</v>
      </c>
      <c r="U356" s="63" t="e">
        <f>Saisie!#REF!</f>
        <v>#REF!</v>
      </c>
      <c r="V356" s="63" t="e">
        <f t="array" ref="V356">_xlfn.IFS(Saisie!#REF!="OUI",1,Saisie!#REF!="NON",0)</f>
        <v>#REF!</v>
      </c>
      <c r="W356" s="63" t="e">
        <f t="array" ref="W356">_xlfn.IFS(Saisie!O356="OUI",1,Saisie!O356="NON",0)</f>
        <v>#N/A</v>
      </c>
      <c r="X356" s="63">
        <f>Saisie!P356</f>
        <v>0</v>
      </c>
      <c r="Y356" s="299">
        <f>Saisie!H356</f>
        <v>0</v>
      </c>
      <c r="Z356" s="58" t="e">
        <f>Saisie!#REF!</f>
        <v>#REF!</v>
      </c>
      <c r="AA356" s="299">
        <f>Saisie!Q356</f>
        <v>0</v>
      </c>
      <c r="AB356" s="63" t="e">
        <f t="array" ref="AB356">_xlfn.IFS(Saisie!R356="OUI",1,Saisie!R356="NON",0)</f>
        <v>#N/A</v>
      </c>
      <c r="AC356" s="63">
        <f>Saisie!S356</f>
        <v>0</v>
      </c>
      <c r="AD356" s="63" t="e">
        <f t="array" ref="AD356">_xlfn.IFS(Saisie!T356="OUI",1,Saisie!T356="NON",0)</f>
        <v>#N/A</v>
      </c>
      <c r="AE356" s="171">
        <f>Saisie!U356</f>
        <v>0</v>
      </c>
      <c r="AF356" s="262">
        <v>3</v>
      </c>
      <c r="AG356" s="129">
        <f>Saisie!W356</f>
        <v>0</v>
      </c>
      <c r="AH356" s="20">
        <f>Saisie!X356</f>
        <v>0</v>
      </c>
      <c r="AI356" s="21">
        <f>Saisie!Y356</f>
        <v>0</v>
      </c>
      <c r="AJ356" s="59">
        <f>Saisie!Z356</f>
        <v>0</v>
      </c>
      <c r="AK356" s="20">
        <f>Saisie!AA356</f>
        <v>0</v>
      </c>
      <c r="AL356" s="21">
        <f>Saisie!AB356</f>
        <v>0</v>
      </c>
      <c r="AM356" s="59">
        <f>Saisie!AC356</f>
        <v>0</v>
      </c>
      <c r="AN356" s="20">
        <f>Saisie!AD356</f>
        <v>0</v>
      </c>
      <c r="AO356" s="21">
        <f>Saisie!AE356</f>
        <v>0</v>
      </c>
      <c r="AP356" s="59">
        <f>Saisie!AF356</f>
        <v>0</v>
      </c>
      <c r="AQ356" s="129" t="e">
        <f t="array" ref="AQ356">_xlfn.IFS(Saisie!AG356="OUI",1,Saisie!AG356="NON",0)</f>
        <v>#N/A</v>
      </c>
      <c r="AR356" s="129" t="e">
        <f t="array" ref="AR356">_xlfn.IFS(Saisie!AH356="OUI",1,Saisie!AH356="NON",0)</f>
        <v>#N/A</v>
      </c>
      <c r="AS356" s="171">
        <f>Saisie!AI356</f>
        <v>0</v>
      </c>
      <c r="AT356" s="263" t="e">
        <f t="array" ref="AT356">_xlfn.IFS(Saisie!AJ356="OUI",1,Saisie!AJ356="NON",0)</f>
        <v>#N/A</v>
      </c>
      <c r="AU356" s="173">
        <f>Saisie!AK356</f>
        <v>0</v>
      </c>
      <c r="AV356" s="263" t="e">
        <f t="array" ref="AV356">_xlfn.IFS(Saisie!AL356="OUI",1,Saisie!AL356="NON",0)</f>
        <v>#N/A</v>
      </c>
      <c r="AW356" s="171">
        <f>Saisie!AM356</f>
        <v>0</v>
      </c>
      <c r="AX356" s="68">
        <f>Saisie!AN356</f>
        <v>0</v>
      </c>
      <c r="AY356" s="20">
        <f>Saisie!AO356</f>
        <v>0</v>
      </c>
      <c r="AZ356" s="21">
        <f>Saisie!AP356</f>
        <v>0</v>
      </c>
      <c r="BA356" s="298">
        <f>Saisie!AQ356</f>
        <v>0</v>
      </c>
      <c r="BB356" s="170">
        <f>Saisie!AR356</f>
        <v>0</v>
      </c>
      <c r="BC356" s="174">
        <f>Saisie!AS356</f>
        <v>0</v>
      </c>
      <c r="BD356" s="61">
        <f>Saisie!AT356</f>
        <v>0</v>
      </c>
      <c r="BE356" s="175" t="e">
        <f t="array" ref="BE356">_xlfn.IFS(Saisie!AU356="OUI",1,Saisie!AU356="NON",0)</f>
        <v>#N/A</v>
      </c>
      <c r="BF356" s="267">
        <f>Saisie!AV356</f>
        <v>0</v>
      </c>
      <c r="BG356" s="55">
        <f>Saisie!AW356</f>
        <v>0</v>
      </c>
      <c r="BH356" s="55" t="e">
        <f t="array" ref="BH356">_xlfn.IFS(Saisie!AX356="OUI",1,Saisie!AX356="NON",0)</f>
        <v>#N/A</v>
      </c>
      <c r="BI356" s="62">
        <f>Saisie!AY356</f>
        <v>0</v>
      </c>
      <c r="BJ356" s="55" t="e">
        <f t="array" ref="BJ356">_xlfn.IFS(Saisie!AZ356="OUI",1,Saisie!AZ356="NON",0)</f>
        <v>#N/A</v>
      </c>
      <c r="BK356" s="55" t="e">
        <f t="array" ref="BK356">_xlfn.IFS(Saisie!BA356="OUI",1,Saisie!BA356="NON",0)</f>
        <v>#N/A</v>
      </c>
      <c r="BL356" s="55">
        <f>Saisie!BB356</f>
        <v>0</v>
      </c>
      <c r="BM356" s="49" t="e">
        <f>Saisie!BC356</f>
        <v>#REF!</v>
      </c>
      <c r="BN356" s="175"/>
    </row>
    <row r="357" spans="1:66" s="176" customFormat="1" x14ac:dyDescent="0.45">
      <c r="A357" s="12">
        <v>352</v>
      </c>
      <c r="B357" s="150">
        <f>Saisie!B357</f>
        <v>0</v>
      </c>
      <c r="C357" s="150">
        <f>Saisie!C357</f>
        <v>0</v>
      </c>
      <c r="D357" s="150">
        <f>Saisie!D357</f>
        <v>0</v>
      </c>
      <c r="E357" s="150">
        <f>Saisie!E357</f>
        <v>0</v>
      </c>
      <c r="F357" s="150">
        <f>Saisie!F357</f>
        <v>0</v>
      </c>
      <c r="G357" s="150">
        <f>Saisie!G357</f>
        <v>0</v>
      </c>
      <c r="H357" s="150">
        <f>Saisie!I357</f>
        <v>0</v>
      </c>
      <c r="I357" s="150">
        <f>Saisie!J357</f>
        <v>0</v>
      </c>
      <c r="J357" s="150">
        <f>Saisie!K357</f>
        <v>0</v>
      </c>
      <c r="K357" s="150">
        <f>Saisie!L357</f>
        <v>0</v>
      </c>
      <c r="L357" s="150" t="e">
        <f>Saisie!#REF!</f>
        <v>#REF!</v>
      </c>
      <c r="M357" s="55" t="e">
        <f t="array" ref="M357">_xlfn.IFS(Saisie!M357="OUI",1,Saisie!M357="NON",0)</f>
        <v>#N/A</v>
      </c>
      <c r="N357" s="64" t="e">
        <f>Saisie!#REF!</f>
        <v>#REF!</v>
      </c>
      <c r="O357" s="63" t="e">
        <f>Saisie!#REF!</f>
        <v>#REF!</v>
      </c>
      <c r="P357" s="63">
        <f>Saisie!N357</f>
        <v>0</v>
      </c>
      <c r="Q357" s="63" t="e">
        <f t="array" ref="Q357">_xlfn.IFS(Saisie!#REF!="OUI",1,Saisie!#REF!="NON",0)</f>
        <v>#REF!</v>
      </c>
      <c r="R357" s="63" t="e">
        <f>Saisie!#REF!</f>
        <v>#REF!</v>
      </c>
      <c r="S357" s="65" t="e">
        <f>Saisie!#REF!</f>
        <v>#REF!</v>
      </c>
      <c r="T357" s="63" t="e">
        <f>Saisie!#REF!</f>
        <v>#REF!</v>
      </c>
      <c r="U357" s="63" t="e">
        <f>Saisie!#REF!</f>
        <v>#REF!</v>
      </c>
      <c r="V357" s="63" t="e">
        <f t="array" ref="V357">_xlfn.IFS(Saisie!#REF!="OUI",1,Saisie!#REF!="NON",0)</f>
        <v>#REF!</v>
      </c>
      <c r="W357" s="63" t="e">
        <f t="array" ref="W357">_xlfn.IFS(Saisie!O357="OUI",1,Saisie!O357="NON",0)</f>
        <v>#N/A</v>
      </c>
      <c r="X357" s="63">
        <f>Saisie!P357</f>
        <v>0</v>
      </c>
      <c r="Y357" s="299">
        <f>Saisie!H357</f>
        <v>0</v>
      </c>
      <c r="Z357" s="58" t="e">
        <f>Saisie!#REF!</f>
        <v>#REF!</v>
      </c>
      <c r="AA357" s="299">
        <f>Saisie!Q357</f>
        <v>0</v>
      </c>
      <c r="AB357" s="63" t="e">
        <f t="array" ref="AB357">_xlfn.IFS(Saisie!R357="OUI",1,Saisie!R357="NON",0)</f>
        <v>#N/A</v>
      </c>
      <c r="AC357" s="63">
        <f>Saisie!S357</f>
        <v>0</v>
      </c>
      <c r="AD357" s="63" t="e">
        <f t="array" ref="AD357">_xlfn.IFS(Saisie!T357="OUI",1,Saisie!T357="NON",0)</f>
        <v>#N/A</v>
      </c>
      <c r="AE357" s="171">
        <f>Saisie!U357</f>
        <v>0</v>
      </c>
      <c r="AF357" s="262">
        <v>3</v>
      </c>
      <c r="AG357" s="129">
        <f>Saisie!W357</f>
        <v>0</v>
      </c>
      <c r="AH357" s="20">
        <f>Saisie!X357</f>
        <v>0</v>
      </c>
      <c r="AI357" s="21">
        <f>Saisie!Y357</f>
        <v>0</v>
      </c>
      <c r="AJ357" s="59">
        <f>Saisie!Z357</f>
        <v>0</v>
      </c>
      <c r="AK357" s="20">
        <f>Saisie!AA357</f>
        <v>0</v>
      </c>
      <c r="AL357" s="21">
        <f>Saisie!AB357</f>
        <v>0</v>
      </c>
      <c r="AM357" s="59">
        <f>Saisie!AC357</f>
        <v>0</v>
      </c>
      <c r="AN357" s="20">
        <f>Saisie!AD357</f>
        <v>0</v>
      </c>
      <c r="AO357" s="21">
        <f>Saisie!AE357</f>
        <v>0</v>
      </c>
      <c r="AP357" s="59">
        <f>Saisie!AF357</f>
        <v>0</v>
      </c>
      <c r="AQ357" s="129" t="e">
        <f t="array" ref="AQ357">_xlfn.IFS(Saisie!AG357="OUI",1,Saisie!AG357="NON",0)</f>
        <v>#N/A</v>
      </c>
      <c r="AR357" s="129" t="e">
        <f t="array" ref="AR357">_xlfn.IFS(Saisie!AH357="OUI",1,Saisie!AH357="NON",0)</f>
        <v>#N/A</v>
      </c>
      <c r="AS357" s="171">
        <f>Saisie!AI357</f>
        <v>0</v>
      </c>
      <c r="AT357" s="263" t="e">
        <f t="array" ref="AT357">_xlfn.IFS(Saisie!AJ357="OUI",1,Saisie!AJ357="NON",0)</f>
        <v>#N/A</v>
      </c>
      <c r="AU357" s="173">
        <f>Saisie!AK357</f>
        <v>0</v>
      </c>
      <c r="AV357" s="263" t="e">
        <f t="array" ref="AV357">_xlfn.IFS(Saisie!AL357="OUI",1,Saisie!AL357="NON",0)</f>
        <v>#N/A</v>
      </c>
      <c r="AW357" s="171">
        <f>Saisie!AM357</f>
        <v>0</v>
      </c>
      <c r="AX357" s="68">
        <f>Saisie!AN357</f>
        <v>0</v>
      </c>
      <c r="AY357" s="20">
        <f>Saisie!AO357</f>
        <v>0</v>
      </c>
      <c r="AZ357" s="21">
        <f>Saisie!AP357</f>
        <v>0</v>
      </c>
      <c r="BA357" s="298">
        <f>Saisie!AQ357</f>
        <v>0</v>
      </c>
      <c r="BB357" s="170">
        <f>Saisie!AR357</f>
        <v>0</v>
      </c>
      <c r="BC357" s="174">
        <f>Saisie!AS357</f>
        <v>0</v>
      </c>
      <c r="BD357" s="61">
        <f>Saisie!AT357</f>
        <v>0</v>
      </c>
      <c r="BE357" s="175" t="e">
        <f t="array" ref="BE357">_xlfn.IFS(Saisie!AU357="OUI",1,Saisie!AU357="NON",0)</f>
        <v>#N/A</v>
      </c>
      <c r="BF357" s="267">
        <f>Saisie!AV357</f>
        <v>0</v>
      </c>
      <c r="BG357" s="55">
        <f>Saisie!AW357</f>
        <v>0</v>
      </c>
      <c r="BH357" s="55" t="e">
        <f t="array" ref="BH357">_xlfn.IFS(Saisie!AX357="OUI",1,Saisie!AX357="NON",0)</f>
        <v>#N/A</v>
      </c>
      <c r="BI357" s="62">
        <f>Saisie!AY357</f>
        <v>0</v>
      </c>
      <c r="BJ357" s="55" t="e">
        <f t="array" ref="BJ357">_xlfn.IFS(Saisie!AZ357="OUI",1,Saisie!AZ357="NON",0)</f>
        <v>#N/A</v>
      </c>
      <c r="BK357" s="55" t="e">
        <f t="array" ref="BK357">_xlfn.IFS(Saisie!BA357="OUI",1,Saisie!BA357="NON",0)</f>
        <v>#N/A</v>
      </c>
      <c r="BL357" s="55">
        <f>Saisie!BB357</f>
        <v>0</v>
      </c>
      <c r="BM357" s="49" t="e">
        <f>Saisie!BC357</f>
        <v>#REF!</v>
      </c>
      <c r="BN357" s="175"/>
    </row>
    <row r="358" spans="1:66" s="176" customFormat="1" x14ac:dyDescent="0.45">
      <c r="A358" s="13">
        <v>353</v>
      </c>
      <c r="B358" s="150">
        <f>Saisie!B358</f>
        <v>0</v>
      </c>
      <c r="C358" s="150">
        <f>Saisie!C358</f>
        <v>0</v>
      </c>
      <c r="D358" s="150">
        <f>Saisie!D358</f>
        <v>0</v>
      </c>
      <c r="E358" s="150">
        <f>Saisie!E358</f>
        <v>0</v>
      </c>
      <c r="F358" s="150">
        <f>Saisie!F358</f>
        <v>0</v>
      </c>
      <c r="G358" s="150">
        <f>Saisie!G358</f>
        <v>0</v>
      </c>
      <c r="H358" s="150">
        <f>Saisie!I358</f>
        <v>0</v>
      </c>
      <c r="I358" s="150">
        <f>Saisie!J358</f>
        <v>0</v>
      </c>
      <c r="J358" s="150">
        <f>Saisie!K358</f>
        <v>0</v>
      </c>
      <c r="K358" s="150">
        <f>Saisie!L358</f>
        <v>0</v>
      </c>
      <c r="L358" s="150" t="e">
        <f>Saisie!#REF!</f>
        <v>#REF!</v>
      </c>
      <c r="M358" s="55" t="e">
        <f t="array" ref="M358">_xlfn.IFS(Saisie!M358="OUI",1,Saisie!M358="NON",0)</f>
        <v>#N/A</v>
      </c>
      <c r="N358" s="64" t="e">
        <f>Saisie!#REF!</f>
        <v>#REF!</v>
      </c>
      <c r="O358" s="63" t="e">
        <f>Saisie!#REF!</f>
        <v>#REF!</v>
      </c>
      <c r="P358" s="63">
        <f>Saisie!N358</f>
        <v>0</v>
      </c>
      <c r="Q358" s="63" t="e">
        <f t="array" ref="Q358">_xlfn.IFS(Saisie!#REF!="OUI",1,Saisie!#REF!="NON",0)</f>
        <v>#REF!</v>
      </c>
      <c r="R358" s="63" t="e">
        <f>Saisie!#REF!</f>
        <v>#REF!</v>
      </c>
      <c r="S358" s="65" t="e">
        <f>Saisie!#REF!</f>
        <v>#REF!</v>
      </c>
      <c r="T358" s="63" t="e">
        <f>Saisie!#REF!</f>
        <v>#REF!</v>
      </c>
      <c r="U358" s="63" t="e">
        <f>Saisie!#REF!</f>
        <v>#REF!</v>
      </c>
      <c r="V358" s="63" t="e">
        <f t="array" ref="V358">_xlfn.IFS(Saisie!#REF!="OUI",1,Saisie!#REF!="NON",0)</f>
        <v>#REF!</v>
      </c>
      <c r="W358" s="63" t="e">
        <f t="array" ref="W358">_xlfn.IFS(Saisie!O358="OUI",1,Saisie!O358="NON",0)</f>
        <v>#N/A</v>
      </c>
      <c r="X358" s="63">
        <f>Saisie!P358</f>
        <v>0</v>
      </c>
      <c r="Y358" s="299">
        <f>Saisie!H358</f>
        <v>0</v>
      </c>
      <c r="Z358" s="58" t="e">
        <f>Saisie!#REF!</f>
        <v>#REF!</v>
      </c>
      <c r="AA358" s="299">
        <f>Saisie!Q358</f>
        <v>0</v>
      </c>
      <c r="AB358" s="63" t="e">
        <f t="array" ref="AB358">_xlfn.IFS(Saisie!R358="OUI",1,Saisie!R358="NON",0)</f>
        <v>#N/A</v>
      </c>
      <c r="AC358" s="63">
        <f>Saisie!S358</f>
        <v>0</v>
      </c>
      <c r="AD358" s="63" t="e">
        <f t="array" ref="AD358">_xlfn.IFS(Saisie!T358="OUI",1,Saisie!T358="NON",0)</f>
        <v>#N/A</v>
      </c>
      <c r="AE358" s="171">
        <f>Saisie!U358</f>
        <v>0</v>
      </c>
      <c r="AF358" s="262">
        <v>3</v>
      </c>
      <c r="AG358" s="129">
        <f>Saisie!W358</f>
        <v>0</v>
      </c>
      <c r="AH358" s="20">
        <f>Saisie!X358</f>
        <v>0</v>
      </c>
      <c r="AI358" s="21">
        <f>Saisie!Y358</f>
        <v>0</v>
      </c>
      <c r="AJ358" s="59">
        <f>Saisie!Z358</f>
        <v>0</v>
      </c>
      <c r="AK358" s="20">
        <f>Saisie!AA358</f>
        <v>0</v>
      </c>
      <c r="AL358" s="21">
        <f>Saisie!AB358</f>
        <v>0</v>
      </c>
      <c r="AM358" s="59">
        <f>Saisie!AC358</f>
        <v>0</v>
      </c>
      <c r="AN358" s="20">
        <f>Saisie!AD358</f>
        <v>0</v>
      </c>
      <c r="AO358" s="21">
        <f>Saisie!AE358</f>
        <v>0</v>
      </c>
      <c r="AP358" s="59">
        <f>Saisie!AF358</f>
        <v>0</v>
      </c>
      <c r="AQ358" s="129" t="e">
        <f t="array" ref="AQ358">_xlfn.IFS(Saisie!AG358="OUI",1,Saisie!AG358="NON",0)</f>
        <v>#N/A</v>
      </c>
      <c r="AR358" s="129" t="e">
        <f t="array" ref="AR358">_xlfn.IFS(Saisie!AH358="OUI",1,Saisie!AH358="NON",0)</f>
        <v>#N/A</v>
      </c>
      <c r="AS358" s="171">
        <f>Saisie!AI358</f>
        <v>0</v>
      </c>
      <c r="AT358" s="263" t="e">
        <f t="array" ref="AT358">_xlfn.IFS(Saisie!AJ358="OUI",1,Saisie!AJ358="NON",0)</f>
        <v>#N/A</v>
      </c>
      <c r="AU358" s="173">
        <f>Saisie!AK358</f>
        <v>0</v>
      </c>
      <c r="AV358" s="263" t="e">
        <f t="array" ref="AV358">_xlfn.IFS(Saisie!AL358="OUI",1,Saisie!AL358="NON",0)</f>
        <v>#N/A</v>
      </c>
      <c r="AW358" s="171">
        <f>Saisie!AM358</f>
        <v>0</v>
      </c>
      <c r="AX358" s="68">
        <f>Saisie!AN358</f>
        <v>0</v>
      </c>
      <c r="AY358" s="20">
        <f>Saisie!AO358</f>
        <v>0</v>
      </c>
      <c r="AZ358" s="21">
        <f>Saisie!AP358</f>
        <v>0</v>
      </c>
      <c r="BA358" s="298">
        <f>Saisie!AQ358</f>
        <v>0</v>
      </c>
      <c r="BB358" s="170">
        <f>Saisie!AR358</f>
        <v>0</v>
      </c>
      <c r="BC358" s="174">
        <f>Saisie!AS358</f>
        <v>0</v>
      </c>
      <c r="BD358" s="61">
        <f>Saisie!AT358</f>
        <v>0</v>
      </c>
      <c r="BE358" s="175" t="e">
        <f t="array" ref="BE358">_xlfn.IFS(Saisie!AU358="OUI",1,Saisie!AU358="NON",0)</f>
        <v>#N/A</v>
      </c>
      <c r="BF358" s="267">
        <f>Saisie!AV358</f>
        <v>0</v>
      </c>
      <c r="BG358" s="55">
        <f>Saisie!AW358</f>
        <v>0</v>
      </c>
      <c r="BH358" s="55" t="e">
        <f t="array" ref="BH358">_xlfn.IFS(Saisie!AX358="OUI",1,Saisie!AX358="NON",0)</f>
        <v>#N/A</v>
      </c>
      <c r="BI358" s="62">
        <f>Saisie!AY358</f>
        <v>0</v>
      </c>
      <c r="BJ358" s="55" t="e">
        <f t="array" ref="BJ358">_xlfn.IFS(Saisie!AZ358="OUI",1,Saisie!AZ358="NON",0)</f>
        <v>#N/A</v>
      </c>
      <c r="BK358" s="55" t="e">
        <f t="array" ref="BK358">_xlfn.IFS(Saisie!BA358="OUI",1,Saisie!BA358="NON",0)</f>
        <v>#N/A</v>
      </c>
      <c r="BL358" s="55">
        <f>Saisie!BB358</f>
        <v>0</v>
      </c>
      <c r="BM358" s="49" t="e">
        <f>Saisie!BC358</f>
        <v>#REF!</v>
      </c>
      <c r="BN358" s="175"/>
    </row>
    <row r="359" spans="1:66" s="176" customFormat="1" x14ac:dyDescent="0.45">
      <c r="A359" s="13">
        <v>354</v>
      </c>
      <c r="B359" s="150">
        <f>Saisie!B359</f>
        <v>0</v>
      </c>
      <c r="C359" s="150">
        <f>Saisie!C359</f>
        <v>0</v>
      </c>
      <c r="D359" s="150">
        <f>Saisie!D359</f>
        <v>0</v>
      </c>
      <c r="E359" s="150">
        <f>Saisie!E359</f>
        <v>0</v>
      </c>
      <c r="F359" s="150">
        <f>Saisie!F359</f>
        <v>0</v>
      </c>
      <c r="G359" s="150">
        <f>Saisie!G359</f>
        <v>0</v>
      </c>
      <c r="H359" s="150">
        <f>Saisie!I359</f>
        <v>0</v>
      </c>
      <c r="I359" s="150">
        <f>Saisie!J359</f>
        <v>0</v>
      </c>
      <c r="J359" s="150">
        <f>Saisie!K359</f>
        <v>0</v>
      </c>
      <c r="K359" s="150">
        <f>Saisie!L359</f>
        <v>0</v>
      </c>
      <c r="L359" s="150" t="e">
        <f>Saisie!#REF!</f>
        <v>#REF!</v>
      </c>
      <c r="M359" s="55" t="e">
        <f t="array" ref="M359">_xlfn.IFS(Saisie!M359="OUI",1,Saisie!M359="NON",0)</f>
        <v>#N/A</v>
      </c>
      <c r="N359" s="64" t="e">
        <f>Saisie!#REF!</f>
        <v>#REF!</v>
      </c>
      <c r="O359" s="63" t="e">
        <f>Saisie!#REF!</f>
        <v>#REF!</v>
      </c>
      <c r="P359" s="63">
        <f>Saisie!N359</f>
        <v>0</v>
      </c>
      <c r="Q359" s="63" t="e">
        <f t="array" ref="Q359">_xlfn.IFS(Saisie!#REF!="OUI",1,Saisie!#REF!="NON",0)</f>
        <v>#REF!</v>
      </c>
      <c r="R359" s="63" t="e">
        <f>Saisie!#REF!</f>
        <v>#REF!</v>
      </c>
      <c r="S359" s="65" t="e">
        <f>Saisie!#REF!</f>
        <v>#REF!</v>
      </c>
      <c r="T359" s="63" t="e">
        <f>Saisie!#REF!</f>
        <v>#REF!</v>
      </c>
      <c r="U359" s="63" t="e">
        <f>Saisie!#REF!</f>
        <v>#REF!</v>
      </c>
      <c r="V359" s="63" t="e">
        <f t="array" ref="V359">_xlfn.IFS(Saisie!#REF!="OUI",1,Saisie!#REF!="NON",0)</f>
        <v>#REF!</v>
      </c>
      <c r="W359" s="63" t="e">
        <f t="array" ref="W359">_xlfn.IFS(Saisie!O359="OUI",1,Saisie!O359="NON",0)</f>
        <v>#N/A</v>
      </c>
      <c r="X359" s="63">
        <f>Saisie!P359</f>
        <v>0</v>
      </c>
      <c r="Y359" s="299">
        <f>Saisie!H359</f>
        <v>0</v>
      </c>
      <c r="Z359" s="58" t="e">
        <f>Saisie!#REF!</f>
        <v>#REF!</v>
      </c>
      <c r="AA359" s="299">
        <f>Saisie!Q359</f>
        <v>0</v>
      </c>
      <c r="AB359" s="63" t="e">
        <f t="array" ref="AB359">_xlfn.IFS(Saisie!R359="OUI",1,Saisie!R359="NON",0)</f>
        <v>#N/A</v>
      </c>
      <c r="AC359" s="63">
        <f>Saisie!S359</f>
        <v>0</v>
      </c>
      <c r="AD359" s="63" t="e">
        <f t="array" ref="AD359">_xlfn.IFS(Saisie!T359="OUI",1,Saisie!T359="NON",0)</f>
        <v>#N/A</v>
      </c>
      <c r="AE359" s="171">
        <f>Saisie!U359</f>
        <v>0</v>
      </c>
      <c r="AF359" s="262">
        <v>3</v>
      </c>
      <c r="AG359" s="129">
        <f>Saisie!W359</f>
        <v>0</v>
      </c>
      <c r="AH359" s="20">
        <f>Saisie!X359</f>
        <v>0</v>
      </c>
      <c r="AI359" s="21">
        <f>Saisie!Y359</f>
        <v>0</v>
      </c>
      <c r="AJ359" s="59">
        <f>Saisie!Z359</f>
        <v>0</v>
      </c>
      <c r="AK359" s="20">
        <f>Saisie!AA359</f>
        <v>0</v>
      </c>
      <c r="AL359" s="21">
        <f>Saisie!AB359</f>
        <v>0</v>
      </c>
      <c r="AM359" s="59">
        <f>Saisie!AC359</f>
        <v>0</v>
      </c>
      <c r="AN359" s="20">
        <f>Saisie!AD359</f>
        <v>0</v>
      </c>
      <c r="AO359" s="21">
        <f>Saisie!AE359</f>
        <v>0</v>
      </c>
      <c r="AP359" s="59">
        <f>Saisie!AF359</f>
        <v>0</v>
      </c>
      <c r="AQ359" s="129" t="e">
        <f t="array" ref="AQ359">_xlfn.IFS(Saisie!AG359="OUI",1,Saisie!AG359="NON",0)</f>
        <v>#N/A</v>
      </c>
      <c r="AR359" s="129" t="e">
        <f t="array" ref="AR359">_xlfn.IFS(Saisie!AH359="OUI",1,Saisie!AH359="NON",0)</f>
        <v>#N/A</v>
      </c>
      <c r="AS359" s="171">
        <f>Saisie!AI359</f>
        <v>0</v>
      </c>
      <c r="AT359" s="263" t="e">
        <f t="array" ref="AT359">_xlfn.IFS(Saisie!AJ359="OUI",1,Saisie!AJ359="NON",0)</f>
        <v>#N/A</v>
      </c>
      <c r="AU359" s="173">
        <f>Saisie!AK359</f>
        <v>0</v>
      </c>
      <c r="AV359" s="263" t="e">
        <f t="array" ref="AV359">_xlfn.IFS(Saisie!AL359="OUI",1,Saisie!AL359="NON",0)</f>
        <v>#N/A</v>
      </c>
      <c r="AW359" s="171">
        <f>Saisie!AM359</f>
        <v>0</v>
      </c>
      <c r="AX359" s="68">
        <f>Saisie!AN359</f>
        <v>0</v>
      </c>
      <c r="AY359" s="20">
        <f>Saisie!AO359</f>
        <v>0</v>
      </c>
      <c r="AZ359" s="21">
        <f>Saisie!AP359</f>
        <v>0</v>
      </c>
      <c r="BA359" s="298">
        <f>Saisie!AQ359</f>
        <v>0</v>
      </c>
      <c r="BB359" s="170">
        <f>Saisie!AR359</f>
        <v>0</v>
      </c>
      <c r="BC359" s="174">
        <f>Saisie!AS359</f>
        <v>0</v>
      </c>
      <c r="BD359" s="61">
        <f>Saisie!AT359</f>
        <v>0</v>
      </c>
      <c r="BE359" s="175" t="e">
        <f t="array" ref="BE359">_xlfn.IFS(Saisie!AU359="OUI",1,Saisie!AU359="NON",0)</f>
        <v>#N/A</v>
      </c>
      <c r="BF359" s="267">
        <f>Saisie!AV359</f>
        <v>0</v>
      </c>
      <c r="BG359" s="55">
        <f>Saisie!AW359</f>
        <v>0</v>
      </c>
      <c r="BH359" s="55" t="e">
        <f t="array" ref="BH359">_xlfn.IFS(Saisie!AX359="OUI",1,Saisie!AX359="NON",0)</f>
        <v>#N/A</v>
      </c>
      <c r="BI359" s="62">
        <f>Saisie!AY359</f>
        <v>0</v>
      </c>
      <c r="BJ359" s="55" t="e">
        <f t="array" ref="BJ359">_xlfn.IFS(Saisie!AZ359="OUI",1,Saisie!AZ359="NON",0)</f>
        <v>#N/A</v>
      </c>
      <c r="BK359" s="55" t="e">
        <f t="array" ref="BK359">_xlfn.IFS(Saisie!BA359="OUI",1,Saisie!BA359="NON",0)</f>
        <v>#N/A</v>
      </c>
      <c r="BL359" s="55">
        <f>Saisie!BB359</f>
        <v>0</v>
      </c>
      <c r="BM359" s="49" t="e">
        <f>Saisie!BC359</f>
        <v>#REF!</v>
      </c>
      <c r="BN359" s="175"/>
    </row>
    <row r="360" spans="1:66" s="176" customFormat="1" x14ac:dyDescent="0.45">
      <c r="A360" s="12">
        <v>355</v>
      </c>
      <c r="B360" s="150">
        <f>Saisie!B360</f>
        <v>0</v>
      </c>
      <c r="C360" s="150">
        <f>Saisie!C360</f>
        <v>0</v>
      </c>
      <c r="D360" s="150">
        <f>Saisie!D360</f>
        <v>0</v>
      </c>
      <c r="E360" s="150">
        <f>Saisie!E360</f>
        <v>0</v>
      </c>
      <c r="F360" s="150">
        <f>Saisie!F360</f>
        <v>0</v>
      </c>
      <c r="G360" s="150">
        <f>Saisie!G360</f>
        <v>0</v>
      </c>
      <c r="H360" s="150">
        <f>Saisie!I360</f>
        <v>0</v>
      </c>
      <c r="I360" s="150">
        <f>Saisie!J360</f>
        <v>0</v>
      </c>
      <c r="J360" s="150">
        <f>Saisie!K360</f>
        <v>0</v>
      </c>
      <c r="K360" s="150">
        <f>Saisie!L360</f>
        <v>0</v>
      </c>
      <c r="L360" s="150" t="e">
        <f>Saisie!#REF!</f>
        <v>#REF!</v>
      </c>
      <c r="M360" s="55" t="e">
        <f t="array" ref="M360">_xlfn.IFS(Saisie!M360="OUI",1,Saisie!M360="NON",0)</f>
        <v>#N/A</v>
      </c>
      <c r="N360" s="64" t="e">
        <f>Saisie!#REF!</f>
        <v>#REF!</v>
      </c>
      <c r="O360" s="63" t="e">
        <f>Saisie!#REF!</f>
        <v>#REF!</v>
      </c>
      <c r="P360" s="63">
        <f>Saisie!N360</f>
        <v>0</v>
      </c>
      <c r="Q360" s="63" t="e">
        <f t="array" ref="Q360">_xlfn.IFS(Saisie!#REF!="OUI",1,Saisie!#REF!="NON",0)</f>
        <v>#REF!</v>
      </c>
      <c r="R360" s="63" t="e">
        <f>Saisie!#REF!</f>
        <v>#REF!</v>
      </c>
      <c r="S360" s="65" t="e">
        <f>Saisie!#REF!</f>
        <v>#REF!</v>
      </c>
      <c r="T360" s="63" t="e">
        <f>Saisie!#REF!</f>
        <v>#REF!</v>
      </c>
      <c r="U360" s="63" t="e">
        <f>Saisie!#REF!</f>
        <v>#REF!</v>
      </c>
      <c r="V360" s="63" t="e">
        <f t="array" ref="V360">_xlfn.IFS(Saisie!#REF!="OUI",1,Saisie!#REF!="NON",0)</f>
        <v>#REF!</v>
      </c>
      <c r="W360" s="63" t="e">
        <f t="array" ref="W360">_xlfn.IFS(Saisie!O360="OUI",1,Saisie!O360="NON",0)</f>
        <v>#N/A</v>
      </c>
      <c r="X360" s="63">
        <f>Saisie!P360</f>
        <v>0</v>
      </c>
      <c r="Y360" s="299">
        <f>Saisie!H360</f>
        <v>0</v>
      </c>
      <c r="Z360" s="58" t="e">
        <f>Saisie!#REF!</f>
        <v>#REF!</v>
      </c>
      <c r="AA360" s="299">
        <f>Saisie!Q360</f>
        <v>0</v>
      </c>
      <c r="AB360" s="63" t="e">
        <f t="array" ref="AB360">_xlfn.IFS(Saisie!R360="OUI",1,Saisie!R360="NON",0)</f>
        <v>#N/A</v>
      </c>
      <c r="AC360" s="63">
        <f>Saisie!S360</f>
        <v>0</v>
      </c>
      <c r="AD360" s="63" t="e">
        <f t="array" ref="AD360">_xlfn.IFS(Saisie!T360="OUI",1,Saisie!T360="NON",0)</f>
        <v>#N/A</v>
      </c>
      <c r="AE360" s="171">
        <f>Saisie!U360</f>
        <v>0</v>
      </c>
      <c r="AF360" s="262">
        <v>3</v>
      </c>
      <c r="AG360" s="129">
        <f>Saisie!W360</f>
        <v>0</v>
      </c>
      <c r="AH360" s="20">
        <f>Saisie!X360</f>
        <v>0</v>
      </c>
      <c r="AI360" s="21">
        <f>Saisie!Y360</f>
        <v>0</v>
      </c>
      <c r="AJ360" s="59">
        <f>Saisie!Z360</f>
        <v>0</v>
      </c>
      <c r="AK360" s="20">
        <f>Saisie!AA360</f>
        <v>0</v>
      </c>
      <c r="AL360" s="21">
        <f>Saisie!AB360</f>
        <v>0</v>
      </c>
      <c r="AM360" s="59">
        <f>Saisie!AC360</f>
        <v>0</v>
      </c>
      <c r="AN360" s="20">
        <f>Saisie!AD360</f>
        <v>0</v>
      </c>
      <c r="AO360" s="21">
        <f>Saisie!AE360</f>
        <v>0</v>
      </c>
      <c r="AP360" s="59">
        <f>Saisie!AF360</f>
        <v>0</v>
      </c>
      <c r="AQ360" s="129" t="e">
        <f t="array" ref="AQ360">_xlfn.IFS(Saisie!AG360="OUI",1,Saisie!AG360="NON",0)</f>
        <v>#N/A</v>
      </c>
      <c r="AR360" s="129" t="e">
        <f t="array" ref="AR360">_xlfn.IFS(Saisie!AH360="OUI",1,Saisie!AH360="NON",0)</f>
        <v>#N/A</v>
      </c>
      <c r="AS360" s="171">
        <f>Saisie!AI360</f>
        <v>0</v>
      </c>
      <c r="AT360" s="263" t="e">
        <f t="array" ref="AT360">_xlfn.IFS(Saisie!AJ360="OUI",1,Saisie!AJ360="NON",0)</f>
        <v>#N/A</v>
      </c>
      <c r="AU360" s="173">
        <f>Saisie!AK360</f>
        <v>0</v>
      </c>
      <c r="AV360" s="263" t="e">
        <f t="array" ref="AV360">_xlfn.IFS(Saisie!AL360="OUI",1,Saisie!AL360="NON",0)</f>
        <v>#N/A</v>
      </c>
      <c r="AW360" s="171">
        <f>Saisie!AM360</f>
        <v>0</v>
      </c>
      <c r="AX360" s="68">
        <f>Saisie!AN360</f>
        <v>0</v>
      </c>
      <c r="AY360" s="20">
        <f>Saisie!AO360</f>
        <v>0</v>
      </c>
      <c r="AZ360" s="21">
        <f>Saisie!AP360</f>
        <v>0</v>
      </c>
      <c r="BA360" s="298">
        <f>Saisie!AQ360</f>
        <v>0</v>
      </c>
      <c r="BB360" s="170">
        <f>Saisie!AR360</f>
        <v>0</v>
      </c>
      <c r="BC360" s="174">
        <f>Saisie!AS360</f>
        <v>0</v>
      </c>
      <c r="BD360" s="61">
        <f>Saisie!AT360</f>
        <v>0</v>
      </c>
      <c r="BE360" s="175" t="e">
        <f t="array" ref="BE360">_xlfn.IFS(Saisie!AU360="OUI",1,Saisie!AU360="NON",0)</f>
        <v>#N/A</v>
      </c>
      <c r="BF360" s="267">
        <f>Saisie!AV360</f>
        <v>0</v>
      </c>
      <c r="BG360" s="55">
        <f>Saisie!AW360</f>
        <v>0</v>
      </c>
      <c r="BH360" s="55" t="e">
        <f t="array" ref="BH360">_xlfn.IFS(Saisie!AX360="OUI",1,Saisie!AX360="NON",0)</f>
        <v>#N/A</v>
      </c>
      <c r="BI360" s="62">
        <f>Saisie!AY360</f>
        <v>0</v>
      </c>
      <c r="BJ360" s="55" t="e">
        <f t="array" ref="BJ360">_xlfn.IFS(Saisie!AZ360="OUI",1,Saisie!AZ360="NON",0)</f>
        <v>#N/A</v>
      </c>
      <c r="BK360" s="55" t="e">
        <f t="array" ref="BK360">_xlfn.IFS(Saisie!BA360="OUI",1,Saisie!BA360="NON",0)</f>
        <v>#N/A</v>
      </c>
      <c r="BL360" s="55">
        <f>Saisie!BB360</f>
        <v>0</v>
      </c>
      <c r="BM360" s="49" t="e">
        <f>Saisie!BC360</f>
        <v>#REF!</v>
      </c>
      <c r="BN360" s="175"/>
    </row>
    <row r="361" spans="1:66" s="176" customFormat="1" x14ac:dyDescent="0.45">
      <c r="A361" s="13">
        <v>356</v>
      </c>
      <c r="B361" s="150">
        <f>Saisie!B361</f>
        <v>0</v>
      </c>
      <c r="C361" s="150">
        <f>Saisie!C361</f>
        <v>0</v>
      </c>
      <c r="D361" s="150">
        <f>Saisie!D361</f>
        <v>0</v>
      </c>
      <c r="E361" s="150">
        <f>Saisie!E361</f>
        <v>0</v>
      </c>
      <c r="F361" s="150">
        <f>Saisie!F361</f>
        <v>0</v>
      </c>
      <c r="G361" s="150">
        <f>Saisie!G361</f>
        <v>0</v>
      </c>
      <c r="H361" s="150">
        <f>Saisie!I361</f>
        <v>0</v>
      </c>
      <c r="I361" s="150">
        <f>Saisie!J361</f>
        <v>0</v>
      </c>
      <c r="J361" s="150">
        <f>Saisie!K361</f>
        <v>0</v>
      </c>
      <c r="K361" s="150">
        <f>Saisie!L361</f>
        <v>0</v>
      </c>
      <c r="L361" s="150" t="e">
        <f>Saisie!#REF!</f>
        <v>#REF!</v>
      </c>
      <c r="M361" s="55" t="e">
        <f t="array" ref="M361">_xlfn.IFS(Saisie!M361="OUI",1,Saisie!M361="NON",0)</f>
        <v>#N/A</v>
      </c>
      <c r="N361" s="64" t="e">
        <f>Saisie!#REF!</f>
        <v>#REF!</v>
      </c>
      <c r="O361" s="63" t="e">
        <f>Saisie!#REF!</f>
        <v>#REF!</v>
      </c>
      <c r="P361" s="63">
        <f>Saisie!N361</f>
        <v>0</v>
      </c>
      <c r="Q361" s="63" t="e">
        <f t="array" ref="Q361">_xlfn.IFS(Saisie!#REF!="OUI",1,Saisie!#REF!="NON",0)</f>
        <v>#REF!</v>
      </c>
      <c r="R361" s="63" t="e">
        <f>Saisie!#REF!</f>
        <v>#REF!</v>
      </c>
      <c r="S361" s="65" t="e">
        <f>Saisie!#REF!</f>
        <v>#REF!</v>
      </c>
      <c r="T361" s="63" t="e">
        <f>Saisie!#REF!</f>
        <v>#REF!</v>
      </c>
      <c r="U361" s="63" t="e">
        <f>Saisie!#REF!</f>
        <v>#REF!</v>
      </c>
      <c r="V361" s="63" t="e">
        <f t="array" ref="V361">_xlfn.IFS(Saisie!#REF!="OUI",1,Saisie!#REF!="NON",0)</f>
        <v>#REF!</v>
      </c>
      <c r="W361" s="63" t="e">
        <f t="array" ref="W361">_xlfn.IFS(Saisie!O361="OUI",1,Saisie!O361="NON",0)</f>
        <v>#N/A</v>
      </c>
      <c r="X361" s="63">
        <f>Saisie!P361</f>
        <v>0</v>
      </c>
      <c r="Y361" s="299">
        <f>Saisie!H361</f>
        <v>0</v>
      </c>
      <c r="Z361" s="58" t="e">
        <f>Saisie!#REF!</f>
        <v>#REF!</v>
      </c>
      <c r="AA361" s="299">
        <f>Saisie!Q361</f>
        <v>0</v>
      </c>
      <c r="AB361" s="63" t="e">
        <f t="array" ref="AB361">_xlfn.IFS(Saisie!R361="OUI",1,Saisie!R361="NON",0)</f>
        <v>#N/A</v>
      </c>
      <c r="AC361" s="63">
        <f>Saisie!S361</f>
        <v>0</v>
      </c>
      <c r="AD361" s="63" t="e">
        <f t="array" ref="AD361">_xlfn.IFS(Saisie!T361="OUI",1,Saisie!T361="NON",0)</f>
        <v>#N/A</v>
      </c>
      <c r="AE361" s="171">
        <f>Saisie!U361</f>
        <v>0</v>
      </c>
      <c r="AF361" s="262">
        <v>3</v>
      </c>
      <c r="AG361" s="129">
        <f>Saisie!W361</f>
        <v>0</v>
      </c>
      <c r="AH361" s="20">
        <f>Saisie!X361</f>
        <v>0</v>
      </c>
      <c r="AI361" s="21">
        <f>Saisie!Y361</f>
        <v>0</v>
      </c>
      <c r="AJ361" s="59">
        <f>Saisie!Z361</f>
        <v>0</v>
      </c>
      <c r="AK361" s="20">
        <f>Saisie!AA361</f>
        <v>0</v>
      </c>
      <c r="AL361" s="21">
        <f>Saisie!AB361</f>
        <v>0</v>
      </c>
      <c r="AM361" s="59">
        <f>Saisie!AC361</f>
        <v>0</v>
      </c>
      <c r="AN361" s="20">
        <f>Saisie!AD361</f>
        <v>0</v>
      </c>
      <c r="AO361" s="21">
        <f>Saisie!AE361</f>
        <v>0</v>
      </c>
      <c r="AP361" s="59">
        <f>Saisie!AF361</f>
        <v>0</v>
      </c>
      <c r="AQ361" s="129" t="e">
        <f t="array" ref="AQ361">_xlfn.IFS(Saisie!AG361="OUI",1,Saisie!AG361="NON",0)</f>
        <v>#N/A</v>
      </c>
      <c r="AR361" s="129" t="e">
        <f t="array" ref="AR361">_xlfn.IFS(Saisie!AH361="OUI",1,Saisie!AH361="NON",0)</f>
        <v>#N/A</v>
      </c>
      <c r="AS361" s="171">
        <f>Saisie!AI361</f>
        <v>0</v>
      </c>
      <c r="AT361" s="263" t="e">
        <f t="array" ref="AT361">_xlfn.IFS(Saisie!AJ361="OUI",1,Saisie!AJ361="NON",0)</f>
        <v>#N/A</v>
      </c>
      <c r="AU361" s="173">
        <f>Saisie!AK361</f>
        <v>0</v>
      </c>
      <c r="AV361" s="263" t="e">
        <f t="array" ref="AV361">_xlfn.IFS(Saisie!AL361="OUI",1,Saisie!AL361="NON",0)</f>
        <v>#N/A</v>
      </c>
      <c r="AW361" s="171">
        <f>Saisie!AM361</f>
        <v>0</v>
      </c>
      <c r="AX361" s="68">
        <f>Saisie!AN361</f>
        <v>0</v>
      </c>
      <c r="AY361" s="20">
        <f>Saisie!AO361</f>
        <v>0</v>
      </c>
      <c r="AZ361" s="21">
        <f>Saisie!AP361</f>
        <v>0</v>
      </c>
      <c r="BA361" s="298">
        <f>Saisie!AQ361</f>
        <v>0</v>
      </c>
      <c r="BB361" s="170">
        <f>Saisie!AR361</f>
        <v>0</v>
      </c>
      <c r="BC361" s="174">
        <f>Saisie!AS361</f>
        <v>0</v>
      </c>
      <c r="BD361" s="61">
        <f>Saisie!AT361</f>
        <v>0</v>
      </c>
      <c r="BE361" s="175" t="e">
        <f t="array" ref="BE361">_xlfn.IFS(Saisie!AU361="OUI",1,Saisie!AU361="NON",0)</f>
        <v>#N/A</v>
      </c>
      <c r="BF361" s="267">
        <f>Saisie!AV361</f>
        <v>0</v>
      </c>
      <c r="BG361" s="55">
        <f>Saisie!AW361</f>
        <v>0</v>
      </c>
      <c r="BH361" s="55" t="e">
        <f t="array" ref="BH361">_xlfn.IFS(Saisie!AX361="OUI",1,Saisie!AX361="NON",0)</f>
        <v>#N/A</v>
      </c>
      <c r="BI361" s="62">
        <f>Saisie!AY361</f>
        <v>0</v>
      </c>
      <c r="BJ361" s="55" t="e">
        <f t="array" ref="BJ361">_xlfn.IFS(Saisie!AZ361="OUI",1,Saisie!AZ361="NON",0)</f>
        <v>#N/A</v>
      </c>
      <c r="BK361" s="55" t="e">
        <f t="array" ref="BK361">_xlfn.IFS(Saisie!BA361="OUI",1,Saisie!BA361="NON",0)</f>
        <v>#N/A</v>
      </c>
      <c r="BL361" s="55">
        <f>Saisie!BB361</f>
        <v>0</v>
      </c>
      <c r="BM361" s="49" t="e">
        <f>Saisie!BC361</f>
        <v>#REF!</v>
      </c>
      <c r="BN361" s="175"/>
    </row>
    <row r="362" spans="1:66" s="176" customFormat="1" x14ac:dyDescent="0.45">
      <c r="A362" s="13">
        <v>357</v>
      </c>
      <c r="B362" s="150">
        <f>Saisie!B362</f>
        <v>0</v>
      </c>
      <c r="C362" s="150">
        <f>Saisie!C362</f>
        <v>0</v>
      </c>
      <c r="D362" s="150">
        <f>Saisie!D362</f>
        <v>0</v>
      </c>
      <c r="E362" s="150">
        <f>Saisie!E362</f>
        <v>0</v>
      </c>
      <c r="F362" s="150">
        <f>Saisie!F362</f>
        <v>0</v>
      </c>
      <c r="G362" s="150">
        <f>Saisie!G362</f>
        <v>0</v>
      </c>
      <c r="H362" s="150">
        <f>Saisie!I362</f>
        <v>0</v>
      </c>
      <c r="I362" s="150">
        <f>Saisie!J362</f>
        <v>0</v>
      </c>
      <c r="J362" s="150">
        <f>Saisie!K362</f>
        <v>0</v>
      </c>
      <c r="K362" s="150">
        <f>Saisie!L362</f>
        <v>0</v>
      </c>
      <c r="L362" s="150" t="e">
        <f>Saisie!#REF!</f>
        <v>#REF!</v>
      </c>
      <c r="M362" s="55" t="e">
        <f t="array" ref="M362">_xlfn.IFS(Saisie!M362="OUI",1,Saisie!M362="NON",0)</f>
        <v>#N/A</v>
      </c>
      <c r="N362" s="64" t="e">
        <f>Saisie!#REF!</f>
        <v>#REF!</v>
      </c>
      <c r="O362" s="63" t="e">
        <f>Saisie!#REF!</f>
        <v>#REF!</v>
      </c>
      <c r="P362" s="63">
        <f>Saisie!N362</f>
        <v>0</v>
      </c>
      <c r="Q362" s="63" t="e">
        <f t="array" ref="Q362">_xlfn.IFS(Saisie!#REF!="OUI",1,Saisie!#REF!="NON",0)</f>
        <v>#REF!</v>
      </c>
      <c r="R362" s="63" t="e">
        <f>Saisie!#REF!</f>
        <v>#REF!</v>
      </c>
      <c r="S362" s="65" t="e">
        <f>Saisie!#REF!</f>
        <v>#REF!</v>
      </c>
      <c r="T362" s="63" t="e">
        <f>Saisie!#REF!</f>
        <v>#REF!</v>
      </c>
      <c r="U362" s="63" t="e">
        <f>Saisie!#REF!</f>
        <v>#REF!</v>
      </c>
      <c r="V362" s="63" t="e">
        <f t="array" ref="V362">_xlfn.IFS(Saisie!#REF!="OUI",1,Saisie!#REF!="NON",0)</f>
        <v>#REF!</v>
      </c>
      <c r="W362" s="63" t="e">
        <f t="array" ref="W362">_xlfn.IFS(Saisie!O362="OUI",1,Saisie!O362="NON",0)</f>
        <v>#N/A</v>
      </c>
      <c r="X362" s="63">
        <f>Saisie!P362</f>
        <v>0</v>
      </c>
      <c r="Y362" s="299">
        <f>Saisie!H362</f>
        <v>0</v>
      </c>
      <c r="Z362" s="58" t="e">
        <f>Saisie!#REF!</f>
        <v>#REF!</v>
      </c>
      <c r="AA362" s="299">
        <f>Saisie!Q362</f>
        <v>0</v>
      </c>
      <c r="AB362" s="63" t="e">
        <f t="array" ref="AB362">_xlfn.IFS(Saisie!R362="OUI",1,Saisie!R362="NON",0)</f>
        <v>#N/A</v>
      </c>
      <c r="AC362" s="63">
        <f>Saisie!S362</f>
        <v>0</v>
      </c>
      <c r="AD362" s="63" t="e">
        <f t="array" ref="AD362">_xlfn.IFS(Saisie!T362="OUI",1,Saisie!T362="NON",0)</f>
        <v>#N/A</v>
      </c>
      <c r="AE362" s="171">
        <f>Saisie!U362</f>
        <v>0</v>
      </c>
      <c r="AF362" s="262">
        <v>3</v>
      </c>
      <c r="AG362" s="129">
        <f>Saisie!W362</f>
        <v>0</v>
      </c>
      <c r="AH362" s="20">
        <f>Saisie!X362</f>
        <v>0</v>
      </c>
      <c r="AI362" s="21">
        <f>Saisie!Y362</f>
        <v>0</v>
      </c>
      <c r="AJ362" s="59">
        <f>Saisie!Z362</f>
        <v>0</v>
      </c>
      <c r="AK362" s="20">
        <f>Saisie!AA362</f>
        <v>0</v>
      </c>
      <c r="AL362" s="21">
        <f>Saisie!AB362</f>
        <v>0</v>
      </c>
      <c r="AM362" s="59">
        <f>Saisie!AC362</f>
        <v>0</v>
      </c>
      <c r="AN362" s="20">
        <f>Saisie!AD362</f>
        <v>0</v>
      </c>
      <c r="AO362" s="21">
        <f>Saisie!AE362</f>
        <v>0</v>
      </c>
      <c r="AP362" s="59">
        <f>Saisie!AF362</f>
        <v>0</v>
      </c>
      <c r="AQ362" s="129" t="e">
        <f t="array" ref="AQ362">_xlfn.IFS(Saisie!AG362="OUI",1,Saisie!AG362="NON",0)</f>
        <v>#N/A</v>
      </c>
      <c r="AR362" s="129" t="e">
        <f t="array" ref="AR362">_xlfn.IFS(Saisie!AH362="OUI",1,Saisie!AH362="NON",0)</f>
        <v>#N/A</v>
      </c>
      <c r="AS362" s="171">
        <f>Saisie!AI362</f>
        <v>0</v>
      </c>
      <c r="AT362" s="263" t="e">
        <f t="array" ref="AT362">_xlfn.IFS(Saisie!AJ362="OUI",1,Saisie!AJ362="NON",0)</f>
        <v>#N/A</v>
      </c>
      <c r="AU362" s="173">
        <f>Saisie!AK362</f>
        <v>0</v>
      </c>
      <c r="AV362" s="263" t="e">
        <f t="array" ref="AV362">_xlfn.IFS(Saisie!AL362="OUI",1,Saisie!AL362="NON",0)</f>
        <v>#N/A</v>
      </c>
      <c r="AW362" s="171">
        <f>Saisie!AM362</f>
        <v>0</v>
      </c>
      <c r="AX362" s="68">
        <f>Saisie!AN362</f>
        <v>0</v>
      </c>
      <c r="AY362" s="20">
        <f>Saisie!AO362</f>
        <v>0</v>
      </c>
      <c r="AZ362" s="21">
        <f>Saisie!AP362</f>
        <v>0</v>
      </c>
      <c r="BA362" s="298">
        <f>Saisie!AQ362</f>
        <v>0</v>
      </c>
      <c r="BB362" s="170">
        <f>Saisie!AR362</f>
        <v>0</v>
      </c>
      <c r="BC362" s="174">
        <f>Saisie!AS362</f>
        <v>0</v>
      </c>
      <c r="BD362" s="61">
        <f>Saisie!AT362</f>
        <v>0</v>
      </c>
      <c r="BE362" s="175" t="e">
        <f t="array" ref="BE362">_xlfn.IFS(Saisie!AU362="OUI",1,Saisie!AU362="NON",0)</f>
        <v>#N/A</v>
      </c>
      <c r="BF362" s="267">
        <f>Saisie!AV362</f>
        <v>0</v>
      </c>
      <c r="BG362" s="55">
        <f>Saisie!AW362</f>
        <v>0</v>
      </c>
      <c r="BH362" s="55" t="e">
        <f t="array" ref="BH362">_xlfn.IFS(Saisie!AX362="OUI",1,Saisie!AX362="NON",0)</f>
        <v>#N/A</v>
      </c>
      <c r="BI362" s="62">
        <f>Saisie!AY362</f>
        <v>0</v>
      </c>
      <c r="BJ362" s="55" t="e">
        <f t="array" ref="BJ362">_xlfn.IFS(Saisie!AZ362="OUI",1,Saisie!AZ362="NON",0)</f>
        <v>#N/A</v>
      </c>
      <c r="BK362" s="55" t="e">
        <f t="array" ref="BK362">_xlfn.IFS(Saisie!BA362="OUI",1,Saisie!BA362="NON",0)</f>
        <v>#N/A</v>
      </c>
      <c r="BL362" s="55">
        <f>Saisie!BB362</f>
        <v>0</v>
      </c>
      <c r="BM362" s="49" t="e">
        <f>Saisie!BC362</f>
        <v>#REF!</v>
      </c>
      <c r="BN362" s="175"/>
    </row>
    <row r="363" spans="1:66" s="176" customFormat="1" x14ac:dyDescent="0.45">
      <c r="A363" s="12">
        <v>358</v>
      </c>
      <c r="B363" s="150">
        <f>Saisie!B363</f>
        <v>0</v>
      </c>
      <c r="C363" s="150">
        <f>Saisie!C363</f>
        <v>0</v>
      </c>
      <c r="D363" s="150">
        <f>Saisie!D363</f>
        <v>0</v>
      </c>
      <c r="E363" s="150">
        <f>Saisie!E363</f>
        <v>0</v>
      </c>
      <c r="F363" s="150">
        <f>Saisie!F363</f>
        <v>0</v>
      </c>
      <c r="G363" s="150">
        <f>Saisie!G363</f>
        <v>0</v>
      </c>
      <c r="H363" s="150">
        <f>Saisie!I363</f>
        <v>0</v>
      </c>
      <c r="I363" s="150">
        <f>Saisie!J363</f>
        <v>0</v>
      </c>
      <c r="J363" s="150">
        <f>Saisie!K363</f>
        <v>0</v>
      </c>
      <c r="K363" s="150">
        <f>Saisie!L363</f>
        <v>0</v>
      </c>
      <c r="L363" s="150" t="e">
        <f>Saisie!#REF!</f>
        <v>#REF!</v>
      </c>
      <c r="M363" s="55" t="e">
        <f t="array" ref="M363">_xlfn.IFS(Saisie!M363="OUI",1,Saisie!M363="NON",0)</f>
        <v>#N/A</v>
      </c>
      <c r="N363" s="64" t="e">
        <f>Saisie!#REF!</f>
        <v>#REF!</v>
      </c>
      <c r="O363" s="63" t="e">
        <f>Saisie!#REF!</f>
        <v>#REF!</v>
      </c>
      <c r="P363" s="63">
        <f>Saisie!N363</f>
        <v>0</v>
      </c>
      <c r="Q363" s="63" t="e">
        <f t="array" ref="Q363">_xlfn.IFS(Saisie!#REF!="OUI",1,Saisie!#REF!="NON",0)</f>
        <v>#REF!</v>
      </c>
      <c r="R363" s="63" t="e">
        <f>Saisie!#REF!</f>
        <v>#REF!</v>
      </c>
      <c r="S363" s="65" t="e">
        <f>Saisie!#REF!</f>
        <v>#REF!</v>
      </c>
      <c r="T363" s="63" t="e">
        <f>Saisie!#REF!</f>
        <v>#REF!</v>
      </c>
      <c r="U363" s="63" t="e">
        <f>Saisie!#REF!</f>
        <v>#REF!</v>
      </c>
      <c r="V363" s="63" t="e">
        <f t="array" ref="V363">_xlfn.IFS(Saisie!#REF!="OUI",1,Saisie!#REF!="NON",0)</f>
        <v>#REF!</v>
      </c>
      <c r="W363" s="63" t="e">
        <f t="array" ref="W363">_xlfn.IFS(Saisie!O363="OUI",1,Saisie!O363="NON",0)</f>
        <v>#N/A</v>
      </c>
      <c r="X363" s="63">
        <f>Saisie!P363</f>
        <v>0</v>
      </c>
      <c r="Y363" s="299">
        <f>Saisie!H363</f>
        <v>0</v>
      </c>
      <c r="Z363" s="58" t="e">
        <f>Saisie!#REF!</f>
        <v>#REF!</v>
      </c>
      <c r="AA363" s="299">
        <f>Saisie!Q363</f>
        <v>0</v>
      </c>
      <c r="AB363" s="63" t="e">
        <f t="array" ref="AB363">_xlfn.IFS(Saisie!R363="OUI",1,Saisie!R363="NON",0)</f>
        <v>#N/A</v>
      </c>
      <c r="AC363" s="63">
        <f>Saisie!S363</f>
        <v>0</v>
      </c>
      <c r="AD363" s="63" t="e">
        <f t="array" ref="AD363">_xlfn.IFS(Saisie!T363="OUI",1,Saisie!T363="NON",0)</f>
        <v>#N/A</v>
      </c>
      <c r="AE363" s="171">
        <f>Saisie!U363</f>
        <v>0</v>
      </c>
      <c r="AF363" s="262">
        <v>3</v>
      </c>
      <c r="AG363" s="129">
        <f>Saisie!W363</f>
        <v>0</v>
      </c>
      <c r="AH363" s="20">
        <f>Saisie!X363</f>
        <v>0</v>
      </c>
      <c r="AI363" s="21">
        <f>Saisie!Y363</f>
        <v>0</v>
      </c>
      <c r="AJ363" s="59">
        <f>Saisie!Z363</f>
        <v>0</v>
      </c>
      <c r="AK363" s="20">
        <f>Saisie!AA363</f>
        <v>0</v>
      </c>
      <c r="AL363" s="21">
        <f>Saisie!AB363</f>
        <v>0</v>
      </c>
      <c r="AM363" s="59">
        <f>Saisie!AC363</f>
        <v>0</v>
      </c>
      <c r="AN363" s="20">
        <f>Saisie!AD363</f>
        <v>0</v>
      </c>
      <c r="AO363" s="21">
        <f>Saisie!AE363</f>
        <v>0</v>
      </c>
      <c r="AP363" s="59">
        <f>Saisie!AF363</f>
        <v>0</v>
      </c>
      <c r="AQ363" s="129" t="e">
        <f t="array" ref="AQ363">_xlfn.IFS(Saisie!AG363="OUI",1,Saisie!AG363="NON",0)</f>
        <v>#N/A</v>
      </c>
      <c r="AR363" s="129" t="e">
        <f t="array" ref="AR363">_xlfn.IFS(Saisie!AH363="OUI",1,Saisie!AH363="NON",0)</f>
        <v>#N/A</v>
      </c>
      <c r="AS363" s="171">
        <f>Saisie!AI363</f>
        <v>0</v>
      </c>
      <c r="AT363" s="263" t="e">
        <f t="array" ref="AT363">_xlfn.IFS(Saisie!AJ363="OUI",1,Saisie!AJ363="NON",0)</f>
        <v>#N/A</v>
      </c>
      <c r="AU363" s="173">
        <f>Saisie!AK363</f>
        <v>0</v>
      </c>
      <c r="AV363" s="263" t="e">
        <f t="array" ref="AV363">_xlfn.IFS(Saisie!AL363="OUI",1,Saisie!AL363="NON",0)</f>
        <v>#N/A</v>
      </c>
      <c r="AW363" s="171">
        <f>Saisie!AM363</f>
        <v>0</v>
      </c>
      <c r="AX363" s="68">
        <f>Saisie!AN363</f>
        <v>0</v>
      </c>
      <c r="AY363" s="20">
        <f>Saisie!AO363</f>
        <v>0</v>
      </c>
      <c r="AZ363" s="21">
        <f>Saisie!AP363</f>
        <v>0</v>
      </c>
      <c r="BA363" s="298">
        <f>Saisie!AQ363</f>
        <v>0</v>
      </c>
      <c r="BB363" s="170">
        <f>Saisie!AR363</f>
        <v>0</v>
      </c>
      <c r="BC363" s="174">
        <f>Saisie!AS363</f>
        <v>0</v>
      </c>
      <c r="BD363" s="61">
        <f>Saisie!AT363</f>
        <v>0</v>
      </c>
      <c r="BE363" s="175" t="e">
        <f t="array" ref="BE363">_xlfn.IFS(Saisie!AU363="OUI",1,Saisie!AU363="NON",0)</f>
        <v>#N/A</v>
      </c>
      <c r="BF363" s="267">
        <f>Saisie!AV363</f>
        <v>0</v>
      </c>
      <c r="BG363" s="55">
        <f>Saisie!AW363</f>
        <v>0</v>
      </c>
      <c r="BH363" s="55" t="e">
        <f t="array" ref="BH363">_xlfn.IFS(Saisie!AX363="OUI",1,Saisie!AX363="NON",0)</f>
        <v>#N/A</v>
      </c>
      <c r="BI363" s="62">
        <f>Saisie!AY363</f>
        <v>0</v>
      </c>
      <c r="BJ363" s="55" t="e">
        <f t="array" ref="BJ363">_xlfn.IFS(Saisie!AZ363="OUI",1,Saisie!AZ363="NON",0)</f>
        <v>#N/A</v>
      </c>
      <c r="BK363" s="55" t="e">
        <f t="array" ref="BK363">_xlfn.IFS(Saisie!BA363="OUI",1,Saisie!BA363="NON",0)</f>
        <v>#N/A</v>
      </c>
      <c r="BL363" s="55">
        <f>Saisie!BB363</f>
        <v>0</v>
      </c>
      <c r="BM363" s="49" t="e">
        <f>Saisie!BC363</f>
        <v>#REF!</v>
      </c>
      <c r="BN363" s="175"/>
    </row>
    <row r="364" spans="1:66" s="176" customFormat="1" x14ac:dyDescent="0.45">
      <c r="A364" s="13">
        <v>359</v>
      </c>
      <c r="B364" s="150">
        <f>Saisie!B364</f>
        <v>0</v>
      </c>
      <c r="C364" s="150">
        <f>Saisie!C364</f>
        <v>0</v>
      </c>
      <c r="D364" s="150">
        <f>Saisie!D364</f>
        <v>0</v>
      </c>
      <c r="E364" s="150">
        <f>Saisie!E364</f>
        <v>0</v>
      </c>
      <c r="F364" s="150">
        <f>Saisie!F364</f>
        <v>0</v>
      </c>
      <c r="G364" s="150">
        <f>Saisie!G364</f>
        <v>0</v>
      </c>
      <c r="H364" s="150">
        <f>Saisie!I364</f>
        <v>0</v>
      </c>
      <c r="I364" s="150">
        <f>Saisie!J364</f>
        <v>0</v>
      </c>
      <c r="J364" s="150">
        <f>Saisie!K364</f>
        <v>0</v>
      </c>
      <c r="K364" s="150">
        <f>Saisie!L364</f>
        <v>0</v>
      </c>
      <c r="L364" s="150" t="e">
        <f>Saisie!#REF!</f>
        <v>#REF!</v>
      </c>
      <c r="M364" s="55" t="e">
        <f t="array" ref="M364">_xlfn.IFS(Saisie!M364="OUI",1,Saisie!M364="NON",0)</f>
        <v>#N/A</v>
      </c>
      <c r="N364" s="64" t="e">
        <f>Saisie!#REF!</f>
        <v>#REF!</v>
      </c>
      <c r="O364" s="63" t="e">
        <f>Saisie!#REF!</f>
        <v>#REF!</v>
      </c>
      <c r="P364" s="63">
        <f>Saisie!N364</f>
        <v>0</v>
      </c>
      <c r="Q364" s="63" t="e">
        <f t="array" ref="Q364">_xlfn.IFS(Saisie!#REF!="OUI",1,Saisie!#REF!="NON",0)</f>
        <v>#REF!</v>
      </c>
      <c r="R364" s="63" t="e">
        <f>Saisie!#REF!</f>
        <v>#REF!</v>
      </c>
      <c r="S364" s="65" t="e">
        <f>Saisie!#REF!</f>
        <v>#REF!</v>
      </c>
      <c r="T364" s="63" t="e">
        <f>Saisie!#REF!</f>
        <v>#REF!</v>
      </c>
      <c r="U364" s="63" t="e">
        <f>Saisie!#REF!</f>
        <v>#REF!</v>
      </c>
      <c r="V364" s="63" t="e">
        <f t="array" ref="V364">_xlfn.IFS(Saisie!#REF!="OUI",1,Saisie!#REF!="NON",0)</f>
        <v>#REF!</v>
      </c>
      <c r="W364" s="63" t="e">
        <f t="array" ref="W364">_xlfn.IFS(Saisie!O364="OUI",1,Saisie!O364="NON",0)</f>
        <v>#N/A</v>
      </c>
      <c r="X364" s="63">
        <f>Saisie!P364</f>
        <v>0</v>
      </c>
      <c r="Y364" s="299">
        <f>Saisie!H364</f>
        <v>0</v>
      </c>
      <c r="Z364" s="58" t="e">
        <f>Saisie!#REF!</f>
        <v>#REF!</v>
      </c>
      <c r="AA364" s="299">
        <f>Saisie!Q364</f>
        <v>0</v>
      </c>
      <c r="AB364" s="63" t="e">
        <f t="array" ref="AB364">_xlfn.IFS(Saisie!R364="OUI",1,Saisie!R364="NON",0)</f>
        <v>#N/A</v>
      </c>
      <c r="AC364" s="63">
        <f>Saisie!S364</f>
        <v>0</v>
      </c>
      <c r="AD364" s="63" t="e">
        <f t="array" ref="AD364">_xlfn.IFS(Saisie!T364="OUI",1,Saisie!T364="NON",0)</f>
        <v>#N/A</v>
      </c>
      <c r="AE364" s="171">
        <f>Saisie!U364</f>
        <v>0</v>
      </c>
      <c r="AF364" s="262">
        <v>3</v>
      </c>
      <c r="AG364" s="129">
        <f>Saisie!W364</f>
        <v>0</v>
      </c>
      <c r="AH364" s="20">
        <f>Saisie!X364</f>
        <v>0</v>
      </c>
      <c r="AI364" s="21">
        <f>Saisie!Y364</f>
        <v>0</v>
      </c>
      <c r="AJ364" s="59">
        <f>Saisie!Z364</f>
        <v>0</v>
      </c>
      <c r="AK364" s="20">
        <f>Saisie!AA364</f>
        <v>0</v>
      </c>
      <c r="AL364" s="21">
        <f>Saisie!AB364</f>
        <v>0</v>
      </c>
      <c r="AM364" s="59">
        <f>Saisie!AC364</f>
        <v>0</v>
      </c>
      <c r="AN364" s="20">
        <f>Saisie!AD364</f>
        <v>0</v>
      </c>
      <c r="AO364" s="21">
        <f>Saisie!AE364</f>
        <v>0</v>
      </c>
      <c r="AP364" s="59">
        <f>Saisie!AF364</f>
        <v>0</v>
      </c>
      <c r="AQ364" s="129" t="e">
        <f t="array" ref="AQ364">_xlfn.IFS(Saisie!AG364="OUI",1,Saisie!AG364="NON",0)</f>
        <v>#N/A</v>
      </c>
      <c r="AR364" s="129" t="e">
        <f t="array" ref="AR364">_xlfn.IFS(Saisie!AH364="OUI",1,Saisie!AH364="NON",0)</f>
        <v>#N/A</v>
      </c>
      <c r="AS364" s="171">
        <f>Saisie!AI364</f>
        <v>0</v>
      </c>
      <c r="AT364" s="263" t="e">
        <f t="array" ref="AT364">_xlfn.IFS(Saisie!AJ364="OUI",1,Saisie!AJ364="NON",0)</f>
        <v>#N/A</v>
      </c>
      <c r="AU364" s="173">
        <f>Saisie!AK364</f>
        <v>0</v>
      </c>
      <c r="AV364" s="263" t="e">
        <f t="array" ref="AV364">_xlfn.IFS(Saisie!AL364="OUI",1,Saisie!AL364="NON",0)</f>
        <v>#N/A</v>
      </c>
      <c r="AW364" s="171">
        <f>Saisie!AM364</f>
        <v>0</v>
      </c>
      <c r="AX364" s="68">
        <f>Saisie!AN364</f>
        <v>0</v>
      </c>
      <c r="AY364" s="20">
        <f>Saisie!AO364</f>
        <v>0</v>
      </c>
      <c r="AZ364" s="21">
        <f>Saisie!AP364</f>
        <v>0</v>
      </c>
      <c r="BA364" s="298">
        <f>Saisie!AQ364</f>
        <v>0</v>
      </c>
      <c r="BB364" s="170">
        <f>Saisie!AR364</f>
        <v>0</v>
      </c>
      <c r="BC364" s="174">
        <f>Saisie!AS364</f>
        <v>0</v>
      </c>
      <c r="BD364" s="61">
        <f>Saisie!AT364</f>
        <v>0</v>
      </c>
      <c r="BE364" s="175" t="e">
        <f t="array" ref="BE364">_xlfn.IFS(Saisie!AU364="OUI",1,Saisie!AU364="NON",0)</f>
        <v>#N/A</v>
      </c>
      <c r="BF364" s="267">
        <f>Saisie!AV364</f>
        <v>0</v>
      </c>
      <c r="BG364" s="55">
        <f>Saisie!AW364</f>
        <v>0</v>
      </c>
      <c r="BH364" s="55" t="e">
        <f t="array" ref="BH364">_xlfn.IFS(Saisie!AX364="OUI",1,Saisie!AX364="NON",0)</f>
        <v>#N/A</v>
      </c>
      <c r="BI364" s="62">
        <f>Saisie!AY364</f>
        <v>0</v>
      </c>
      <c r="BJ364" s="55" t="e">
        <f t="array" ref="BJ364">_xlfn.IFS(Saisie!AZ364="OUI",1,Saisie!AZ364="NON",0)</f>
        <v>#N/A</v>
      </c>
      <c r="BK364" s="55" t="e">
        <f t="array" ref="BK364">_xlfn.IFS(Saisie!BA364="OUI",1,Saisie!BA364="NON",0)</f>
        <v>#N/A</v>
      </c>
      <c r="BL364" s="55">
        <f>Saisie!BB364</f>
        <v>0</v>
      </c>
      <c r="BM364" s="49" t="e">
        <f>Saisie!BC364</f>
        <v>#REF!</v>
      </c>
      <c r="BN364" s="175"/>
    </row>
    <row r="365" spans="1:66" s="176" customFormat="1" x14ac:dyDescent="0.45">
      <c r="A365" s="13">
        <v>360</v>
      </c>
      <c r="B365" s="150">
        <f>Saisie!B365</f>
        <v>0</v>
      </c>
      <c r="C365" s="150">
        <f>Saisie!C365</f>
        <v>0</v>
      </c>
      <c r="D365" s="150">
        <f>Saisie!D365</f>
        <v>0</v>
      </c>
      <c r="E365" s="150">
        <f>Saisie!E365</f>
        <v>0</v>
      </c>
      <c r="F365" s="150">
        <f>Saisie!F365</f>
        <v>0</v>
      </c>
      <c r="G365" s="150">
        <f>Saisie!G365</f>
        <v>0</v>
      </c>
      <c r="H365" s="150">
        <f>Saisie!I365</f>
        <v>0</v>
      </c>
      <c r="I365" s="150">
        <f>Saisie!J365</f>
        <v>0</v>
      </c>
      <c r="J365" s="150">
        <f>Saisie!K365</f>
        <v>0</v>
      </c>
      <c r="K365" s="150">
        <f>Saisie!L365</f>
        <v>0</v>
      </c>
      <c r="L365" s="150" t="e">
        <f>Saisie!#REF!</f>
        <v>#REF!</v>
      </c>
      <c r="M365" s="55" t="e">
        <f t="array" ref="M365">_xlfn.IFS(Saisie!M365="OUI",1,Saisie!M365="NON",0)</f>
        <v>#N/A</v>
      </c>
      <c r="N365" s="64" t="e">
        <f>Saisie!#REF!</f>
        <v>#REF!</v>
      </c>
      <c r="O365" s="63" t="e">
        <f>Saisie!#REF!</f>
        <v>#REF!</v>
      </c>
      <c r="P365" s="63">
        <f>Saisie!N365</f>
        <v>0</v>
      </c>
      <c r="Q365" s="63" t="e">
        <f t="array" ref="Q365">_xlfn.IFS(Saisie!#REF!="OUI",1,Saisie!#REF!="NON",0)</f>
        <v>#REF!</v>
      </c>
      <c r="R365" s="63" t="e">
        <f>Saisie!#REF!</f>
        <v>#REF!</v>
      </c>
      <c r="S365" s="65" t="e">
        <f>Saisie!#REF!</f>
        <v>#REF!</v>
      </c>
      <c r="T365" s="63" t="e">
        <f>Saisie!#REF!</f>
        <v>#REF!</v>
      </c>
      <c r="U365" s="63" t="e">
        <f>Saisie!#REF!</f>
        <v>#REF!</v>
      </c>
      <c r="V365" s="63" t="e">
        <f t="array" ref="V365">_xlfn.IFS(Saisie!#REF!="OUI",1,Saisie!#REF!="NON",0)</f>
        <v>#REF!</v>
      </c>
      <c r="W365" s="63" t="e">
        <f t="array" ref="W365">_xlfn.IFS(Saisie!O365="OUI",1,Saisie!O365="NON",0)</f>
        <v>#N/A</v>
      </c>
      <c r="X365" s="63">
        <f>Saisie!P365</f>
        <v>0</v>
      </c>
      <c r="Y365" s="299">
        <f>Saisie!H365</f>
        <v>0</v>
      </c>
      <c r="Z365" s="58" t="e">
        <f>Saisie!#REF!</f>
        <v>#REF!</v>
      </c>
      <c r="AA365" s="299">
        <f>Saisie!Q365</f>
        <v>0</v>
      </c>
      <c r="AB365" s="63" t="e">
        <f t="array" ref="AB365">_xlfn.IFS(Saisie!R365="OUI",1,Saisie!R365="NON",0)</f>
        <v>#N/A</v>
      </c>
      <c r="AC365" s="63">
        <f>Saisie!S365</f>
        <v>0</v>
      </c>
      <c r="AD365" s="63" t="e">
        <f t="array" ref="AD365">_xlfn.IFS(Saisie!T365="OUI",1,Saisie!T365="NON",0)</f>
        <v>#N/A</v>
      </c>
      <c r="AE365" s="171">
        <f>Saisie!U365</f>
        <v>0</v>
      </c>
      <c r="AF365" s="262" t="s">
        <v>146</v>
      </c>
      <c r="AG365" s="129">
        <f>Saisie!W365</f>
        <v>0</v>
      </c>
      <c r="AH365" s="20">
        <f>Saisie!X365</f>
        <v>0</v>
      </c>
      <c r="AI365" s="21">
        <f>Saisie!Y365</f>
        <v>0</v>
      </c>
      <c r="AJ365" s="59">
        <f>Saisie!Z365</f>
        <v>0</v>
      </c>
      <c r="AK365" s="20">
        <f>Saisie!AA365</f>
        <v>0</v>
      </c>
      <c r="AL365" s="21">
        <f>Saisie!AB365</f>
        <v>0</v>
      </c>
      <c r="AM365" s="59">
        <f>Saisie!AC365</f>
        <v>0</v>
      </c>
      <c r="AN365" s="20">
        <f>Saisie!AD365</f>
        <v>0</v>
      </c>
      <c r="AO365" s="21">
        <f>Saisie!AE365</f>
        <v>0</v>
      </c>
      <c r="AP365" s="59">
        <f>Saisie!AF365</f>
        <v>0</v>
      </c>
      <c r="AQ365" s="129" t="e">
        <f t="array" ref="AQ365">_xlfn.IFS(Saisie!AG365="OUI",1,Saisie!AG365="NON",0)</f>
        <v>#N/A</v>
      </c>
      <c r="AR365" s="129" t="e">
        <f t="array" ref="AR365">_xlfn.IFS(Saisie!AH365="OUI",1,Saisie!AH365="NON",0)</f>
        <v>#N/A</v>
      </c>
      <c r="AS365" s="171">
        <f>Saisie!AI365</f>
        <v>0</v>
      </c>
      <c r="AT365" s="263" t="e">
        <f t="array" ref="AT365">_xlfn.IFS(Saisie!AJ365="OUI",1,Saisie!AJ365="NON",0)</f>
        <v>#N/A</v>
      </c>
      <c r="AU365" s="173">
        <f>Saisie!AK365</f>
        <v>0</v>
      </c>
      <c r="AV365" s="263" t="e">
        <f t="array" ref="AV365">_xlfn.IFS(Saisie!AL365="OUI",1,Saisie!AL365="NON",0)</f>
        <v>#N/A</v>
      </c>
      <c r="AW365" s="171">
        <f>Saisie!AM365</f>
        <v>0</v>
      </c>
      <c r="AX365" s="68">
        <f>Saisie!AN365</f>
        <v>0</v>
      </c>
      <c r="AY365" s="20">
        <f>Saisie!AO365</f>
        <v>0</v>
      </c>
      <c r="AZ365" s="21">
        <f>Saisie!AP365</f>
        <v>0</v>
      </c>
      <c r="BA365" s="298">
        <f>Saisie!AQ365</f>
        <v>0</v>
      </c>
      <c r="BB365" s="170">
        <f>Saisie!AR365</f>
        <v>0</v>
      </c>
      <c r="BC365" s="174">
        <f>Saisie!AS365</f>
        <v>0</v>
      </c>
      <c r="BD365" s="61">
        <f>Saisie!AT365</f>
        <v>0</v>
      </c>
      <c r="BE365" s="175" t="e">
        <f t="array" ref="BE365">_xlfn.IFS(Saisie!AU365="OUI",1,Saisie!AU365="NON",0)</f>
        <v>#N/A</v>
      </c>
      <c r="BF365" s="267">
        <f>Saisie!AV365</f>
        <v>0</v>
      </c>
      <c r="BG365" s="55">
        <f>Saisie!AW365</f>
        <v>0</v>
      </c>
      <c r="BH365" s="55" t="e">
        <f t="array" ref="BH365">_xlfn.IFS(Saisie!AX365="OUI",1,Saisie!AX365="NON",0)</f>
        <v>#N/A</v>
      </c>
      <c r="BI365" s="62">
        <f>Saisie!AY365</f>
        <v>0</v>
      </c>
      <c r="BJ365" s="55" t="e">
        <f t="array" ref="BJ365">_xlfn.IFS(Saisie!AZ365="OUI",1,Saisie!AZ365="NON",0)</f>
        <v>#N/A</v>
      </c>
      <c r="BK365" s="55" t="e">
        <f t="array" ref="BK365">_xlfn.IFS(Saisie!BA365="OUI",1,Saisie!BA365="NON",0)</f>
        <v>#N/A</v>
      </c>
      <c r="BL365" s="55">
        <f>Saisie!BB365</f>
        <v>0</v>
      </c>
      <c r="BM365" s="49" t="e">
        <f>Saisie!BC365</f>
        <v>#REF!</v>
      </c>
      <c r="BN365" s="175"/>
    </row>
    <row r="366" spans="1:66" s="176" customFormat="1" x14ac:dyDescent="0.45">
      <c r="A366" s="12">
        <v>361</v>
      </c>
      <c r="B366" s="150">
        <f>Saisie!B366</f>
        <v>0</v>
      </c>
      <c r="C366" s="150">
        <f>Saisie!C366</f>
        <v>0</v>
      </c>
      <c r="D366" s="150">
        <f>Saisie!D366</f>
        <v>0</v>
      </c>
      <c r="E366" s="150">
        <f>Saisie!E366</f>
        <v>0</v>
      </c>
      <c r="F366" s="150">
        <f>Saisie!F366</f>
        <v>0</v>
      </c>
      <c r="G366" s="150">
        <f>Saisie!G366</f>
        <v>0</v>
      </c>
      <c r="H366" s="150">
        <f>Saisie!I366</f>
        <v>0</v>
      </c>
      <c r="I366" s="150">
        <f>Saisie!J366</f>
        <v>0</v>
      </c>
      <c r="J366" s="150">
        <f>Saisie!K366</f>
        <v>0</v>
      </c>
      <c r="K366" s="150">
        <f>Saisie!L366</f>
        <v>0</v>
      </c>
      <c r="L366" s="150" t="e">
        <f>Saisie!#REF!</f>
        <v>#REF!</v>
      </c>
      <c r="M366" s="55" t="e">
        <f t="array" ref="M366">_xlfn.IFS(Saisie!M366="OUI",1,Saisie!M366="NON",0)</f>
        <v>#N/A</v>
      </c>
      <c r="N366" s="64" t="e">
        <f>Saisie!#REF!</f>
        <v>#REF!</v>
      </c>
      <c r="O366" s="63" t="e">
        <f>Saisie!#REF!</f>
        <v>#REF!</v>
      </c>
      <c r="P366" s="63">
        <f>Saisie!N366</f>
        <v>0</v>
      </c>
      <c r="Q366" s="63" t="e">
        <f t="array" ref="Q366">_xlfn.IFS(Saisie!#REF!="OUI",1,Saisie!#REF!="NON",0)</f>
        <v>#REF!</v>
      </c>
      <c r="R366" s="63" t="e">
        <f>Saisie!#REF!</f>
        <v>#REF!</v>
      </c>
      <c r="S366" s="65" t="e">
        <f>Saisie!#REF!</f>
        <v>#REF!</v>
      </c>
      <c r="T366" s="63" t="e">
        <f>Saisie!#REF!</f>
        <v>#REF!</v>
      </c>
      <c r="U366" s="63" t="e">
        <f>Saisie!#REF!</f>
        <v>#REF!</v>
      </c>
      <c r="V366" s="63" t="e">
        <f t="array" ref="V366">_xlfn.IFS(Saisie!#REF!="OUI",1,Saisie!#REF!="NON",0)</f>
        <v>#REF!</v>
      </c>
      <c r="W366" s="63" t="e">
        <f t="array" ref="W366">_xlfn.IFS(Saisie!O366="OUI",1,Saisie!O366="NON",0)</f>
        <v>#N/A</v>
      </c>
      <c r="X366" s="63">
        <f>Saisie!P366</f>
        <v>0</v>
      </c>
      <c r="Y366" s="299">
        <f>Saisie!H366</f>
        <v>0</v>
      </c>
      <c r="Z366" s="58" t="e">
        <f>Saisie!#REF!</f>
        <v>#REF!</v>
      </c>
      <c r="AA366" s="299">
        <f>Saisie!Q366</f>
        <v>0</v>
      </c>
      <c r="AB366" s="63" t="e">
        <f t="array" ref="AB366">_xlfn.IFS(Saisie!R366="OUI",1,Saisie!R366="NON",0)</f>
        <v>#N/A</v>
      </c>
      <c r="AC366" s="63">
        <f>Saisie!S366</f>
        <v>0</v>
      </c>
      <c r="AD366" s="63" t="e">
        <f t="array" ref="AD366">_xlfn.IFS(Saisie!T366="OUI",1,Saisie!T366="NON",0)</f>
        <v>#N/A</v>
      </c>
      <c r="AE366" s="171">
        <f>Saisie!U366</f>
        <v>0</v>
      </c>
      <c r="AF366" s="262" t="s">
        <v>146</v>
      </c>
      <c r="AG366" s="129">
        <f>Saisie!W366</f>
        <v>0</v>
      </c>
      <c r="AH366" s="20">
        <f>Saisie!X366</f>
        <v>0</v>
      </c>
      <c r="AI366" s="21">
        <f>Saisie!Y366</f>
        <v>0</v>
      </c>
      <c r="AJ366" s="59">
        <f>Saisie!Z366</f>
        <v>0</v>
      </c>
      <c r="AK366" s="20">
        <f>Saisie!AA366</f>
        <v>0</v>
      </c>
      <c r="AL366" s="21">
        <f>Saisie!AB366</f>
        <v>0</v>
      </c>
      <c r="AM366" s="59">
        <f>Saisie!AC366</f>
        <v>0</v>
      </c>
      <c r="AN366" s="20">
        <f>Saisie!AD366</f>
        <v>0</v>
      </c>
      <c r="AO366" s="21">
        <f>Saisie!AE366</f>
        <v>0</v>
      </c>
      <c r="AP366" s="59">
        <f>Saisie!AF366</f>
        <v>0</v>
      </c>
      <c r="AQ366" s="129" t="e">
        <f t="array" ref="AQ366">_xlfn.IFS(Saisie!AG366="OUI",1,Saisie!AG366="NON",0)</f>
        <v>#N/A</v>
      </c>
      <c r="AR366" s="129" t="e">
        <f t="array" ref="AR366">_xlfn.IFS(Saisie!AH366="OUI",1,Saisie!AH366="NON",0)</f>
        <v>#N/A</v>
      </c>
      <c r="AS366" s="171">
        <f>Saisie!AI366</f>
        <v>0</v>
      </c>
      <c r="AT366" s="263" t="e">
        <f t="array" ref="AT366">_xlfn.IFS(Saisie!AJ366="OUI",1,Saisie!AJ366="NON",0)</f>
        <v>#N/A</v>
      </c>
      <c r="AU366" s="173">
        <f>Saisie!AK366</f>
        <v>0</v>
      </c>
      <c r="AV366" s="263" t="e">
        <f t="array" ref="AV366">_xlfn.IFS(Saisie!AL366="OUI",1,Saisie!AL366="NON",0)</f>
        <v>#N/A</v>
      </c>
      <c r="AW366" s="171">
        <f>Saisie!AM366</f>
        <v>0</v>
      </c>
      <c r="AX366" s="68">
        <f>Saisie!AN366</f>
        <v>0</v>
      </c>
      <c r="AY366" s="20">
        <f>Saisie!AO366</f>
        <v>0</v>
      </c>
      <c r="AZ366" s="21">
        <f>Saisie!AP366</f>
        <v>0</v>
      </c>
      <c r="BA366" s="298">
        <f>Saisie!AQ366</f>
        <v>0</v>
      </c>
      <c r="BB366" s="170">
        <f>Saisie!AR366</f>
        <v>0</v>
      </c>
      <c r="BC366" s="174">
        <f>Saisie!AS366</f>
        <v>0</v>
      </c>
      <c r="BD366" s="61">
        <f>Saisie!AT366</f>
        <v>0</v>
      </c>
      <c r="BE366" s="175" t="e">
        <f t="array" ref="BE366">_xlfn.IFS(Saisie!AU366="OUI",1,Saisie!AU366="NON",0)</f>
        <v>#N/A</v>
      </c>
      <c r="BF366" s="267">
        <f>Saisie!AV366</f>
        <v>0</v>
      </c>
      <c r="BG366" s="55">
        <f>Saisie!AW366</f>
        <v>0</v>
      </c>
      <c r="BH366" s="55" t="e">
        <f t="array" ref="BH366">_xlfn.IFS(Saisie!AX366="OUI",1,Saisie!AX366="NON",0)</f>
        <v>#N/A</v>
      </c>
      <c r="BI366" s="62">
        <f>Saisie!AY366</f>
        <v>0</v>
      </c>
      <c r="BJ366" s="55" t="e">
        <f t="array" ref="BJ366">_xlfn.IFS(Saisie!AZ366="OUI",1,Saisie!AZ366="NON",0)</f>
        <v>#N/A</v>
      </c>
      <c r="BK366" s="55" t="e">
        <f t="array" ref="BK366">_xlfn.IFS(Saisie!BA366="OUI",1,Saisie!BA366="NON",0)</f>
        <v>#N/A</v>
      </c>
      <c r="BL366" s="55">
        <f>Saisie!BB366</f>
        <v>0</v>
      </c>
      <c r="BM366" s="49" t="e">
        <f>Saisie!BC366</f>
        <v>#REF!</v>
      </c>
      <c r="BN366" s="175"/>
    </row>
    <row r="367" spans="1:66" s="176" customFormat="1" x14ac:dyDescent="0.45">
      <c r="A367" s="13">
        <v>362</v>
      </c>
      <c r="B367" s="150">
        <f>Saisie!B367</f>
        <v>0</v>
      </c>
      <c r="C367" s="150">
        <f>Saisie!C367</f>
        <v>0</v>
      </c>
      <c r="D367" s="150">
        <f>Saisie!D367</f>
        <v>0</v>
      </c>
      <c r="E367" s="150">
        <f>Saisie!E367</f>
        <v>0</v>
      </c>
      <c r="F367" s="150">
        <f>Saisie!F367</f>
        <v>0</v>
      </c>
      <c r="G367" s="150">
        <f>Saisie!G367</f>
        <v>0</v>
      </c>
      <c r="H367" s="150">
        <f>Saisie!I367</f>
        <v>0</v>
      </c>
      <c r="I367" s="150">
        <f>Saisie!J367</f>
        <v>0</v>
      </c>
      <c r="J367" s="150">
        <f>Saisie!K367</f>
        <v>0</v>
      </c>
      <c r="K367" s="150">
        <f>Saisie!L367</f>
        <v>0</v>
      </c>
      <c r="L367" s="150" t="e">
        <f>Saisie!#REF!</f>
        <v>#REF!</v>
      </c>
      <c r="M367" s="55" t="e">
        <f t="array" ref="M367">_xlfn.IFS(Saisie!M367="OUI",1,Saisie!M367="NON",0)</f>
        <v>#N/A</v>
      </c>
      <c r="N367" s="64" t="e">
        <f>Saisie!#REF!</f>
        <v>#REF!</v>
      </c>
      <c r="O367" s="63" t="e">
        <f>Saisie!#REF!</f>
        <v>#REF!</v>
      </c>
      <c r="P367" s="63">
        <f>Saisie!N367</f>
        <v>0</v>
      </c>
      <c r="Q367" s="63" t="e">
        <f t="array" ref="Q367">_xlfn.IFS(Saisie!#REF!="OUI",1,Saisie!#REF!="NON",0)</f>
        <v>#REF!</v>
      </c>
      <c r="R367" s="63" t="e">
        <f>Saisie!#REF!</f>
        <v>#REF!</v>
      </c>
      <c r="S367" s="65" t="e">
        <f>Saisie!#REF!</f>
        <v>#REF!</v>
      </c>
      <c r="T367" s="63" t="e">
        <f>Saisie!#REF!</f>
        <v>#REF!</v>
      </c>
      <c r="U367" s="63" t="e">
        <f>Saisie!#REF!</f>
        <v>#REF!</v>
      </c>
      <c r="V367" s="63" t="e">
        <f t="array" ref="V367">_xlfn.IFS(Saisie!#REF!="OUI",1,Saisie!#REF!="NON",0)</f>
        <v>#REF!</v>
      </c>
      <c r="W367" s="63" t="e">
        <f t="array" ref="W367">_xlfn.IFS(Saisie!O367="OUI",1,Saisie!O367="NON",0)</f>
        <v>#N/A</v>
      </c>
      <c r="X367" s="63">
        <f>Saisie!P367</f>
        <v>0</v>
      </c>
      <c r="Y367" s="299">
        <f>Saisie!H367</f>
        <v>0</v>
      </c>
      <c r="Z367" s="58" t="e">
        <f>Saisie!#REF!</f>
        <v>#REF!</v>
      </c>
      <c r="AA367" s="299">
        <f>Saisie!Q367</f>
        <v>0</v>
      </c>
      <c r="AB367" s="63" t="e">
        <f t="array" ref="AB367">_xlfn.IFS(Saisie!R367="OUI",1,Saisie!R367="NON",0)</f>
        <v>#N/A</v>
      </c>
      <c r="AC367" s="63">
        <f>Saisie!S367</f>
        <v>0</v>
      </c>
      <c r="AD367" s="63" t="e">
        <f t="array" ref="AD367">_xlfn.IFS(Saisie!T367="OUI",1,Saisie!T367="NON",0)</f>
        <v>#N/A</v>
      </c>
      <c r="AE367" s="171">
        <f>Saisie!U367</f>
        <v>0</v>
      </c>
      <c r="AF367" s="262" t="s">
        <v>146</v>
      </c>
      <c r="AG367" s="129">
        <f>Saisie!W367</f>
        <v>0</v>
      </c>
      <c r="AH367" s="20">
        <f>Saisie!X367</f>
        <v>0</v>
      </c>
      <c r="AI367" s="21">
        <f>Saisie!Y367</f>
        <v>0</v>
      </c>
      <c r="AJ367" s="59">
        <f>Saisie!Z367</f>
        <v>0</v>
      </c>
      <c r="AK367" s="20">
        <f>Saisie!AA367</f>
        <v>0</v>
      </c>
      <c r="AL367" s="21">
        <f>Saisie!AB367</f>
        <v>0</v>
      </c>
      <c r="AM367" s="59">
        <f>Saisie!AC367</f>
        <v>0</v>
      </c>
      <c r="AN367" s="20">
        <f>Saisie!AD367</f>
        <v>0</v>
      </c>
      <c r="AO367" s="21">
        <f>Saisie!AE367</f>
        <v>0</v>
      </c>
      <c r="AP367" s="59">
        <f>Saisie!AF367</f>
        <v>0</v>
      </c>
      <c r="AQ367" s="129" t="e">
        <f t="array" ref="AQ367">_xlfn.IFS(Saisie!AG367="OUI",1,Saisie!AG367="NON",0)</f>
        <v>#N/A</v>
      </c>
      <c r="AR367" s="129" t="e">
        <f t="array" ref="AR367">_xlfn.IFS(Saisie!AH367="OUI",1,Saisie!AH367="NON",0)</f>
        <v>#N/A</v>
      </c>
      <c r="AS367" s="171">
        <f>Saisie!AI367</f>
        <v>0</v>
      </c>
      <c r="AT367" s="263" t="e">
        <f t="array" ref="AT367">_xlfn.IFS(Saisie!AJ367="OUI",1,Saisie!AJ367="NON",0)</f>
        <v>#N/A</v>
      </c>
      <c r="AU367" s="173">
        <f>Saisie!AK367</f>
        <v>0</v>
      </c>
      <c r="AV367" s="263" t="e">
        <f t="array" ref="AV367">_xlfn.IFS(Saisie!AL367="OUI",1,Saisie!AL367="NON",0)</f>
        <v>#N/A</v>
      </c>
      <c r="AW367" s="171">
        <f>Saisie!AM367</f>
        <v>0</v>
      </c>
      <c r="AX367" s="68">
        <f>Saisie!AN367</f>
        <v>0</v>
      </c>
      <c r="AY367" s="20">
        <f>Saisie!AO367</f>
        <v>0</v>
      </c>
      <c r="AZ367" s="21">
        <f>Saisie!AP367</f>
        <v>0</v>
      </c>
      <c r="BA367" s="298">
        <f>Saisie!AQ367</f>
        <v>0</v>
      </c>
      <c r="BB367" s="170">
        <f>Saisie!AR367</f>
        <v>0</v>
      </c>
      <c r="BC367" s="174">
        <f>Saisie!AS367</f>
        <v>0</v>
      </c>
      <c r="BD367" s="61">
        <f>Saisie!AT367</f>
        <v>0</v>
      </c>
      <c r="BE367" s="175" t="e">
        <f t="array" ref="BE367">_xlfn.IFS(Saisie!AU367="OUI",1,Saisie!AU367="NON",0)</f>
        <v>#N/A</v>
      </c>
      <c r="BF367" s="267">
        <f>Saisie!AV367</f>
        <v>0</v>
      </c>
      <c r="BG367" s="55">
        <f>Saisie!AW367</f>
        <v>0</v>
      </c>
      <c r="BH367" s="55" t="e">
        <f t="array" ref="BH367">_xlfn.IFS(Saisie!AX367="OUI",1,Saisie!AX367="NON",0)</f>
        <v>#N/A</v>
      </c>
      <c r="BI367" s="62">
        <f>Saisie!AY367</f>
        <v>0</v>
      </c>
      <c r="BJ367" s="55" t="e">
        <f t="array" ref="BJ367">_xlfn.IFS(Saisie!AZ367="OUI",1,Saisie!AZ367="NON",0)</f>
        <v>#N/A</v>
      </c>
      <c r="BK367" s="55" t="e">
        <f t="array" ref="BK367">_xlfn.IFS(Saisie!BA367="OUI",1,Saisie!BA367="NON",0)</f>
        <v>#N/A</v>
      </c>
      <c r="BL367" s="55">
        <f>Saisie!BB367</f>
        <v>0</v>
      </c>
      <c r="BM367" s="49" t="e">
        <f>Saisie!BC367</f>
        <v>#REF!</v>
      </c>
      <c r="BN367" s="175"/>
    </row>
    <row r="368" spans="1:66" s="176" customFormat="1" x14ac:dyDescent="0.45">
      <c r="A368" s="13">
        <v>363</v>
      </c>
      <c r="B368" s="150">
        <f>Saisie!B368</f>
        <v>0</v>
      </c>
      <c r="C368" s="150">
        <f>Saisie!C368</f>
        <v>0</v>
      </c>
      <c r="D368" s="150">
        <f>Saisie!D368</f>
        <v>0</v>
      </c>
      <c r="E368" s="150">
        <f>Saisie!E368</f>
        <v>0</v>
      </c>
      <c r="F368" s="150">
        <f>Saisie!F368</f>
        <v>0</v>
      </c>
      <c r="G368" s="150">
        <f>Saisie!G368</f>
        <v>0</v>
      </c>
      <c r="H368" s="150">
        <f>Saisie!I368</f>
        <v>0</v>
      </c>
      <c r="I368" s="150">
        <f>Saisie!J368</f>
        <v>0</v>
      </c>
      <c r="J368" s="150">
        <f>Saisie!K368</f>
        <v>0</v>
      </c>
      <c r="K368" s="150">
        <f>Saisie!L368</f>
        <v>0</v>
      </c>
      <c r="L368" s="150" t="e">
        <f>Saisie!#REF!</f>
        <v>#REF!</v>
      </c>
      <c r="M368" s="55" t="e">
        <f t="array" ref="M368">_xlfn.IFS(Saisie!M368="OUI",1,Saisie!M368="NON",0)</f>
        <v>#N/A</v>
      </c>
      <c r="N368" s="64" t="e">
        <f>Saisie!#REF!</f>
        <v>#REF!</v>
      </c>
      <c r="O368" s="63" t="e">
        <f>Saisie!#REF!</f>
        <v>#REF!</v>
      </c>
      <c r="P368" s="63">
        <f>Saisie!N368</f>
        <v>0</v>
      </c>
      <c r="Q368" s="63" t="e">
        <f t="array" ref="Q368">_xlfn.IFS(Saisie!#REF!="OUI",1,Saisie!#REF!="NON",0)</f>
        <v>#REF!</v>
      </c>
      <c r="R368" s="63" t="e">
        <f>Saisie!#REF!</f>
        <v>#REF!</v>
      </c>
      <c r="S368" s="65" t="e">
        <f>Saisie!#REF!</f>
        <v>#REF!</v>
      </c>
      <c r="T368" s="63" t="e">
        <f>Saisie!#REF!</f>
        <v>#REF!</v>
      </c>
      <c r="U368" s="63" t="e">
        <f>Saisie!#REF!</f>
        <v>#REF!</v>
      </c>
      <c r="V368" s="63" t="e">
        <f t="array" ref="V368">_xlfn.IFS(Saisie!#REF!="OUI",1,Saisie!#REF!="NON",0)</f>
        <v>#REF!</v>
      </c>
      <c r="W368" s="63" t="e">
        <f t="array" ref="W368">_xlfn.IFS(Saisie!O368="OUI",1,Saisie!O368="NON",0)</f>
        <v>#N/A</v>
      </c>
      <c r="X368" s="63">
        <f>Saisie!P368</f>
        <v>0</v>
      </c>
      <c r="Y368" s="299">
        <f>Saisie!H368</f>
        <v>0</v>
      </c>
      <c r="Z368" s="58" t="e">
        <f>Saisie!#REF!</f>
        <v>#REF!</v>
      </c>
      <c r="AA368" s="299">
        <f>Saisie!Q368</f>
        <v>0</v>
      </c>
      <c r="AB368" s="63" t="e">
        <f t="array" ref="AB368">_xlfn.IFS(Saisie!R368="OUI",1,Saisie!R368="NON",0)</f>
        <v>#N/A</v>
      </c>
      <c r="AC368" s="63">
        <f>Saisie!S368</f>
        <v>0</v>
      </c>
      <c r="AD368" s="63" t="e">
        <f t="array" ref="AD368">_xlfn.IFS(Saisie!T368="OUI",1,Saisie!T368="NON",0)</f>
        <v>#N/A</v>
      </c>
      <c r="AE368" s="171">
        <f>Saisie!U368</f>
        <v>0</v>
      </c>
      <c r="AF368" s="262" t="s">
        <v>146</v>
      </c>
      <c r="AG368" s="129">
        <f>Saisie!W368</f>
        <v>0</v>
      </c>
      <c r="AH368" s="20">
        <f>Saisie!X368</f>
        <v>0</v>
      </c>
      <c r="AI368" s="21">
        <f>Saisie!Y368</f>
        <v>0</v>
      </c>
      <c r="AJ368" s="59">
        <f>Saisie!Z368</f>
        <v>0</v>
      </c>
      <c r="AK368" s="20">
        <f>Saisie!AA368</f>
        <v>0</v>
      </c>
      <c r="AL368" s="21">
        <f>Saisie!AB368</f>
        <v>0</v>
      </c>
      <c r="AM368" s="59">
        <f>Saisie!AC368</f>
        <v>0</v>
      </c>
      <c r="AN368" s="20">
        <f>Saisie!AD368</f>
        <v>0</v>
      </c>
      <c r="AO368" s="21">
        <f>Saisie!AE368</f>
        <v>0</v>
      </c>
      <c r="AP368" s="59">
        <f>Saisie!AF368</f>
        <v>0</v>
      </c>
      <c r="AQ368" s="129" t="e">
        <f t="array" ref="AQ368">_xlfn.IFS(Saisie!AG368="OUI",1,Saisie!AG368="NON",0)</f>
        <v>#N/A</v>
      </c>
      <c r="AR368" s="129" t="e">
        <f t="array" ref="AR368">_xlfn.IFS(Saisie!AH368="OUI",1,Saisie!AH368="NON",0)</f>
        <v>#N/A</v>
      </c>
      <c r="AS368" s="171">
        <f>Saisie!AI368</f>
        <v>0</v>
      </c>
      <c r="AT368" s="263" t="e">
        <f t="array" ref="AT368">_xlfn.IFS(Saisie!AJ368="OUI",1,Saisie!AJ368="NON",0)</f>
        <v>#N/A</v>
      </c>
      <c r="AU368" s="173">
        <f>Saisie!AK368</f>
        <v>0</v>
      </c>
      <c r="AV368" s="263" t="e">
        <f t="array" ref="AV368">_xlfn.IFS(Saisie!AL368="OUI",1,Saisie!AL368="NON",0)</f>
        <v>#N/A</v>
      </c>
      <c r="AW368" s="171">
        <f>Saisie!AM368</f>
        <v>0</v>
      </c>
      <c r="AX368" s="68">
        <f>Saisie!AN368</f>
        <v>0</v>
      </c>
      <c r="AY368" s="20">
        <f>Saisie!AO368</f>
        <v>0</v>
      </c>
      <c r="AZ368" s="21">
        <f>Saisie!AP368</f>
        <v>0</v>
      </c>
      <c r="BA368" s="298">
        <f>Saisie!AQ368</f>
        <v>0</v>
      </c>
      <c r="BB368" s="170">
        <f>Saisie!AR368</f>
        <v>0</v>
      </c>
      <c r="BC368" s="174">
        <f>Saisie!AS368</f>
        <v>0</v>
      </c>
      <c r="BD368" s="61">
        <f>Saisie!AT368</f>
        <v>0</v>
      </c>
      <c r="BE368" s="175" t="e">
        <f t="array" ref="BE368">_xlfn.IFS(Saisie!AU368="OUI",1,Saisie!AU368="NON",0)</f>
        <v>#N/A</v>
      </c>
      <c r="BF368" s="267">
        <f>Saisie!AV368</f>
        <v>0</v>
      </c>
      <c r="BG368" s="55">
        <f>Saisie!AW368</f>
        <v>0</v>
      </c>
      <c r="BH368" s="55" t="e">
        <f t="array" ref="BH368">_xlfn.IFS(Saisie!AX368="OUI",1,Saisie!AX368="NON",0)</f>
        <v>#N/A</v>
      </c>
      <c r="BI368" s="62">
        <f>Saisie!AY368</f>
        <v>0</v>
      </c>
      <c r="BJ368" s="55" t="e">
        <f t="array" ref="BJ368">_xlfn.IFS(Saisie!AZ368="OUI",1,Saisie!AZ368="NON",0)</f>
        <v>#N/A</v>
      </c>
      <c r="BK368" s="55" t="e">
        <f t="array" ref="BK368">_xlfn.IFS(Saisie!BA368="OUI",1,Saisie!BA368="NON",0)</f>
        <v>#N/A</v>
      </c>
      <c r="BL368" s="55">
        <f>Saisie!BB368</f>
        <v>0</v>
      </c>
      <c r="BM368" s="49" t="e">
        <f>Saisie!BC368</f>
        <v>#REF!</v>
      </c>
      <c r="BN368" s="175"/>
    </row>
    <row r="369" spans="1:66" s="176" customFormat="1" x14ac:dyDescent="0.45">
      <c r="A369" s="12">
        <v>364</v>
      </c>
      <c r="B369" s="150">
        <f>Saisie!B369</f>
        <v>0</v>
      </c>
      <c r="C369" s="150">
        <f>Saisie!C369</f>
        <v>0</v>
      </c>
      <c r="D369" s="150">
        <f>Saisie!D369</f>
        <v>0</v>
      </c>
      <c r="E369" s="150">
        <f>Saisie!E369</f>
        <v>0</v>
      </c>
      <c r="F369" s="150">
        <f>Saisie!F369</f>
        <v>0</v>
      </c>
      <c r="G369" s="150">
        <f>Saisie!G369</f>
        <v>0</v>
      </c>
      <c r="H369" s="150">
        <f>Saisie!I369</f>
        <v>0</v>
      </c>
      <c r="I369" s="150">
        <f>Saisie!J369</f>
        <v>0</v>
      </c>
      <c r="J369" s="150">
        <f>Saisie!K369</f>
        <v>0</v>
      </c>
      <c r="K369" s="150">
        <f>Saisie!L369</f>
        <v>0</v>
      </c>
      <c r="L369" s="150" t="e">
        <f>Saisie!#REF!</f>
        <v>#REF!</v>
      </c>
      <c r="M369" s="55" t="e">
        <f t="array" ref="M369">_xlfn.IFS(Saisie!M369="OUI",1,Saisie!M369="NON",0)</f>
        <v>#N/A</v>
      </c>
      <c r="N369" s="64" t="e">
        <f>Saisie!#REF!</f>
        <v>#REF!</v>
      </c>
      <c r="O369" s="63" t="e">
        <f>Saisie!#REF!</f>
        <v>#REF!</v>
      </c>
      <c r="P369" s="63">
        <f>Saisie!N369</f>
        <v>0</v>
      </c>
      <c r="Q369" s="63" t="e">
        <f t="array" ref="Q369">_xlfn.IFS(Saisie!#REF!="OUI",1,Saisie!#REF!="NON",0)</f>
        <v>#REF!</v>
      </c>
      <c r="R369" s="63" t="e">
        <f>Saisie!#REF!</f>
        <v>#REF!</v>
      </c>
      <c r="S369" s="65" t="e">
        <f>Saisie!#REF!</f>
        <v>#REF!</v>
      </c>
      <c r="T369" s="63" t="e">
        <f>Saisie!#REF!</f>
        <v>#REF!</v>
      </c>
      <c r="U369" s="63" t="e">
        <f>Saisie!#REF!</f>
        <v>#REF!</v>
      </c>
      <c r="V369" s="63" t="e">
        <f t="array" ref="V369">_xlfn.IFS(Saisie!#REF!="OUI",1,Saisie!#REF!="NON",0)</f>
        <v>#REF!</v>
      </c>
      <c r="W369" s="63" t="e">
        <f t="array" ref="W369">_xlfn.IFS(Saisie!O369="OUI",1,Saisie!O369="NON",0)</f>
        <v>#N/A</v>
      </c>
      <c r="X369" s="63">
        <f>Saisie!P369</f>
        <v>0</v>
      </c>
      <c r="Y369" s="299">
        <f>Saisie!H369</f>
        <v>0</v>
      </c>
      <c r="Z369" s="58" t="e">
        <f>Saisie!#REF!</f>
        <v>#REF!</v>
      </c>
      <c r="AA369" s="299">
        <f>Saisie!Q369</f>
        <v>0</v>
      </c>
      <c r="AB369" s="63" t="e">
        <f t="array" ref="AB369">_xlfn.IFS(Saisie!R369="OUI",1,Saisie!R369="NON",0)</f>
        <v>#N/A</v>
      </c>
      <c r="AC369" s="63">
        <f>Saisie!S369</f>
        <v>0</v>
      </c>
      <c r="AD369" s="63" t="e">
        <f t="array" ref="AD369">_xlfn.IFS(Saisie!T369="OUI",1,Saisie!T369="NON",0)</f>
        <v>#N/A</v>
      </c>
      <c r="AE369" s="171">
        <f>Saisie!U369</f>
        <v>0</v>
      </c>
      <c r="AF369" s="262">
        <v>3</v>
      </c>
      <c r="AG369" s="129">
        <f>Saisie!W369</f>
        <v>0</v>
      </c>
      <c r="AH369" s="20">
        <f>Saisie!X369</f>
        <v>0</v>
      </c>
      <c r="AI369" s="21">
        <f>Saisie!Y369</f>
        <v>0</v>
      </c>
      <c r="AJ369" s="59">
        <f>Saisie!Z369</f>
        <v>0</v>
      </c>
      <c r="AK369" s="20">
        <f>Saisie!AA369</f>
        <v>0</v>
      </c>
      <c r="AL369" s="21">
        <f>Saisie!AB369</f>
        <v>0</v>
      </c>
      <c r="AM369" s="59">
        <f>Saisie!AC369</f>
        <v>0</v>
      </c>
      <c r="AN369" s="20">
        <f>Saisie!AD369</f>
        <v>0</v>
      </c>
      <c r="AO369" s="21">
        <f>Saisie!AE369</f>
        <v>0</v>
      </c>
      <c r="AP369" s="59">
        <f>Saisie!AF369</f>
        <v>0</v>
      </c>
      <c r="AQ369" s="129" t="e">
        <f t="array" ref="AQ369">_xlfn.IFS(Saisie!AG369="OUI",1,Saisie!AG369="NON",0)</f>
        <v>#N/A</v>
      </c>
      <c r="AR369" s="129" t="e">
        <f t="array" ref="AR369">_xlfn.IFS(Saisie!AH369="OUI",1,Saisie!AH369="NON",0)</f>
        <v>#N/A</v>
      </c>
      <c r="AS369" s="171">
        <f>Saisie!AI369</f>
        <v>0</v>
      </c>
      <c r="AT369" s="263" t="e">
        <f t="array" ref="AT369">_xlfn.IFS(Saisie!AJ369="OUI",1,Saisie!AJ369="NON",0)</f>
        <v>#N/A</v>
      </c>
      <c r="AU369" s="173">
        <f>Saisie!AK369</f>
        <v>0</v>
      </c>
      <c r="AV369" s="263" t="e">
        <f t="array" ref="AV369">_xlfn.IFS(Saisie!AL369="OUI",1,Saisie!AL369="NON",0)</f>
        <v>#N/A</v>
      </c>
      <c r="AW369" s="171">
        <f>Saisie!AM369</f>
        <v>0</v>
      </c>
      <c r="AX369" s="68">
        <f>Saisie!AN369</f>
        <v>0</v>
      </c>
      <c r="AY369" s="20">
        <f>Saisie!AO369</f>
        <v>0</v>
      </c>
      <c r="AZ369" s="21">
        <f>Saisie!AP369</f>
        <v>0</v>
      </c>
      <c r="BA369" s="298">
        <f>Saisie!AQ369</f>
        <v>0</v>
      </c>
      <c r="BB369" s="170">
        <f>Saisie!AR369</f>
        <v>0</v>
      </c>
      <c r="BC369" s="174">
        <f>Saisie!AS369</f>
        <v>0</v>
      </c>
      <c r="BD369" s="61">
        <f>Saisie!AT369</f>
        <v>0</v>
      </c>
      <c r="BE369" s="175" t="e">
        <f t="array" ref="BE369">_xlfn.IFS(Saisie!AU369="OUI",1,Saisie!AU369="NON",0)</f>
        <v>#N/A</v>
      </c>
      <c r="BF369" s="267">
        <f>Saisie!AV369</f>
        <v>0</v>
      </c>
      <c r="BG369" s="55">
        <f>Saisie!AW369</f>
        <v>0</v>
      </c>
      <c r="BH369" s="55" t="e">
        <f t="array" ref="BH369">_xlfn.IFS(Saisie!AX369="OUI",1,Saisie!AX369="NON",0)</f>
        <v>#N/A</v>
      </c>
      <c r="BI369" s="62">
        <f>Saisie!AY369</f>
        <v>0</v>
      </c>
      <c r="BJ369" s="55" t="e">
        <f t="array" ref="BJ369">_xlfn.IFS(Saisie!AZ369="OUI",1,Saisie!AZ369="NON",0)</f>
        <v>#N/A</v>
      </c>
      <c r="BK369" s="55" t="e">
        <f t="array" ref="BK369">_xlfn.IFS(Saisie!BA369="OUI",1,Saisie!BA369="NON",0)</f>
        <v>#N/A</v>
      </c>
      <c r="BL369" s="55">
        <f>Saisie!BB369</f>
        <v>0</v>
      </c>
      <c r="BM369" s="49" t="e">
        <f>Saisie!BC369</f>
        <v>#REF!</v>
      </c>
      <c r="BN369" s="175"/>
    </row>
    <row r="370" spans="1:66" s="176" customFormat="1" x14ac:dyDescent="0.45">
      <c r="A370" s="13">
        <v>365</v>
      </c>
      <c r="B370" s="150">
        <f>Saisie!B370</f>
        <v>0</v>
      </c>
      <c r="C370" s="150">
        <f>Saisie!C370</f>
        <v>0</v>
      </c>
      <c r="D370" s="150">
        <f>Saisie!D370</f>
        <v>0</v>
      </c>
      <c r="E370" s="150">
        <f>Saisie!E370</f>
        <v>0</v>
      </c>
      <c r="F370" s="150">
        <f>Saisie!F370</f>
        <v>0</v>
      </c>
      <c r="G370" s="150">
        <f>Saisie!G370</f>
        <v>0</v>
      </c>
      <c r="H370" s="150">
        <f>Saisie!I370</f>
        <v>0</v>
      </c>
      <c r="I370" s="150">
        <f>Saisie!J370</f>
        <v>0</v>
      </c>
      <c r="J370" s="150">
        <f>Saisie!K370</f>
        <v>0</v>
      </c>
      <c r="K370" s="150">
        <f>Saisie!L370</f>
        <v>0</v>
      </c>
      <c r="L370" s="150" t="e">
        <f>Saisie!#REF!</f>
        <v>#REF!</v>
      </c>
      <c r="M370" s="55" t="e">
        <f t="array" ref="M370">_xlfn.IFS(Saisie!M370="OUI",1,Saisie!M370="NON",0)</f>
        <v>#N/A</v>
      </c>
      <c r="N370" s="64" t="e">
        <f>Saisie!#REF!</f>
        <v>#REF!</v>
      </c>
      <c r="O370" s="63" t="e">
        <f>Saisie!#REF!</f>
        <v>#REF!</v>
      </c>
      <c r="P370" s="63">
        <f>Saisie!N370</f>
        <v>0</v>
      </c>
      <c r="Q370" s="63" t="e">
        <f t="array" ref="Q370">_xlfn.IFS(Saisie!#REF!="OUI",1,Saisie!#REF!="NON",0)</f>
        <v>#REF!</v>
      </c>
      <c r="R370" s="63" t="e">
        <f>Saisie!#REF!</f>
        <v>#REF!</v>
      </c>
      <c r="S370" s="65" t="e">
        <f>Saisie!#REF!</f>
        <v>#REF!</v>
      </c>
      <c r="T370" s="63" t="e">
        <f>Saisie!#REF!</f>
        <v>#REF!</v>
      </c>
      <c r="U370" s="63" t="e">
        <f>Saisie!#REF!</f>
        <v>#REF!</v>
      </c>
      <c r="V370" s="63" t="e">
        <f t="array" ref="V370">_xlfn.IFS(Saisie!#REF!="OUI",1,Saisie!#REF!="NON",0)</f>
        <v>#REF!</v>
      </c>
      <c r="W370" s="63" t="e">
        <f t="array" ref="W370">_xlfn.IFS(Saisie!O370="OUI",1,Saisie!O370="NON",0)</f>
        <v>#N/A</v>
      </c>
      <c r="X370" s="63">
        <f>Saisie!P370</f>
        <v>0</v>
      </c>
      <c r="Y370" s="299">
        <f>Saisie!H370</f>
        <v>0</v>
      </c>
      <c r="Z370" s="58" t="e">
        <f>Saisie!#REF!</f>
        <v>#REF!</v>
      </c>
      <c r="AA370" s="299">
        <f>Saisie!Q370</f>
        <v>0</v>
      </c>
      <c r="AB370" s="63" t="e">
        <f t="array" ref="AB370">_xlfn.IFS(Saisie!R370="OUI",1,Saisie!R370="NON",0)</f>
        <v>#N/A</v>
      </c>
      <c r="AC370" s="63">
        <f>Saisie!S370</f>
        <v>0</v>
      </c>
      <c r="AD370" s="63" t="e">
        <f t="array" ref="AD370">_xlfn.IFS(Saisie!T370="OUI",1,Saisie!T370="NON",0)</f>
        <v>#N/A</v>
      </c>
      <c r="AE370" s="171">
        <f>Saisie!U370</f>
        <v>0</v>
      </c>
      <c r="AF370" s="262">
        <v>3</v>
      </c>
      <c r="AG370" s="129">
        <f>Saisie!W370</f>
        <v>0</v>
      </c>
      <c r="AH370" s="20">
        <f>Saisie!X370</f>
        <v>0</v>
      </c>
      <c r="AI370" s="21">
        <f>Saisie!Y370</f>
        <v>0</v>
      </c>
      <c r="AJ370" s="59">
        <f>Saisie!Z370</f>
        <v>0</v>
      </c>
      <c r="AK370" s="20">
        <f>Saisie!AA370</f>
        <v>0</v>
      </c>
      <c r="AL370" s="21">
        <f>Saisie!AB370</f>
        <v>0</v>
      </c>
      <c r="AM370" s="59">
        <f>Saisie!AC370</f>
        <v>0</v>
      </c>
      <c r="AN370" s="20">
        <f>Saisie!AD370</f>
        <v>0</v>
      </c>
      <c r="AO370" s="21">
        <f>Saisie!AE370</f>
        <v>0</v>
      </c>
      <c r="AP370" s="59">
        <f>Saisie!AF370</f>
        <v>0</v>
      </c>
      <c r="AQ370" s="129" t="e">
        <f t="array" ref="AQ370">_xlfn.IFS(Saisie!AG370="OUI",1,Saisie!AG370="NON",0)</f>
        <v>#N/A</v>
      </c>
      <c r="AR370" s="129" t="e">
        <f t="array" ref="AR370">_xlfn.IFS(Saisie!AH370="OUI",1,Saisie!AH370="NON",0)</f>
        <v>#N/A</v>
      </c>
      <c r="AS370" s="171">
        <f>Saisie!AI370</f>
        <v>0</v>
      </c>
      <c r="AT370" s="263" t="e">
        <f t="array" ref="AT370">_xlfn.IFS(Saisie!AJ370="OUI",1,Saisie!AJ370="NON",0)</f>
        <v>#N/A</v>
      </c>
      <c r="AU370" s="173">
        <f>Saisie!AK370</f>
        <v>0</v>
      </c>
      <c r="AV370" s="263" t="e">
        <f t="array" ref="AV370">_xlfn.IFS(Saisie!AL370="OUI",1,Saisie!AL370="NON",0)</f>
        <v>#N/A</v>
      </c>
      <c r="AW370" s="171">
        <f>Saisie!AM370</f>
        <v>0</v>
      </c>
      <c r="AX370" s="68">
        <f>Saisie!AN370</f>
        <v>0</v>
      </c>
      <c r="AY370" s="20">
        <f>Saisie!AO370</f>
        <v>0</v>
      </c>
      <c r="AZ370" s="21">
        <f>Saisie!AP370</f>
        <v>0</v>
      </c>
      <c r="BA370" s="298">
        <f>Saisie!AQ370</f>
        <v>0</v>
      </c>
      <c r="BB370" s="170">
        <f>Saisie!AR370</f>
        <v>0</v>
      </c>
      <c r="BC370" s="174">
        <f>Saisie!AS370</f>
        <v>0</v>
      </c>
      <c r="BD370" s="61">
        <f>Saisie!AT370</f>
        <v>0</v>
      </c>
      <c r="BE370" s="175" t="e">
        <f t="array" ref="BE370">_xlfn.IFS(Saisie!AU370="OUI",1,Saisie!AU370="NON",0)</f>
        <v>#N/A</v>
      </c>
      <c r="BF370" s="267">
        <f>Saisie!AV370</f>
        <v>0</v>
      </c>
      <c r="BG370" s="55">
        <f>Saisie!AW370</f>
        <v>0</v>
      </c>
      <c r="BH370" s="55" t="e">
        <f t="array" ref="BH370">_xlfn.IFS(Saisie!AX370="OUI",1,Saisie!AX370="NON",0)</f>
        <v>#N/A</v>
      </c>
      <c r="BI370" s="62">
        <f>Saisie!AY370</f>
        <v>0</v>
      </c>
      <c r="BJ370" s="55" t="e">
        <f t="array" ref="BJ370">_xlfn.IFS(Saisie!AZ370="OUI",1,Saisie!AZ370="NON",0)</f>
        <v>#N/A</v>
      </c>
      <c r="BK370" s="55" t="e">
        <f t="array" ref="BK370">_xlfn.IFS(Saisie!BA370="OUI",1,Saisie!BA370="NON",0)</f>
        <v>#N/A</v>
      </c>
      <c r="BL370" s="55">
        <f>Saisie!BB370</f>
        <v>0</v>
      </c>
      <c r="BM370" s="49" t="e">
        <f>Saisie!BC370</f>
        <v>#REF!</v>
      </c>
      <c r="BN370" s="175"/>
    </row>
    <row r="371" spans="1:66" s="176" customFormat="1" x14ac:dyDescent="0.45">
      <c r="A371" s="13">
        <v>366</v>
      </c>
      <c r="B371" s="150">
        <f>Saisie!B371</f>
        <v>0</v>
      </c>
      <c r="C371" s="150">
        <f>Saisie!C371</f>
        <v>0</v>
      </c>
      <c r="D371" s="150">
        <f>Saisie!D371</f>
        <v>0</v>
      </c>
      <c r="E371" s="150">
        <f>Saisie!E371</f>
        <v>0</v>
      </c>
      <c r="F371" s="150">
        <f>Saisie!F371</f>
        <v>0</v>
      </c>
      <c r="G371" s="150">
        <f>Saisie!G371</f>
        <v>0</v>
      </c>
      <c r="H371" s="150">
        <f>Saisie!I371</f>
        <v>0</v>
      </c>
      <c r="I371" s="150">
        <f>Saisie!J371</f>
        <v>0</v>
      </c>
      <c r="J371" s="150">
        <f>Saisie!K371</f>
        <v>0</v>
      </c>
      <c r="K371" s="150">
        <f>Saisie!L371</f>
        <v>0</v>
      </c>
      <c r="L371" s="150" t="e">
        <f>Saisie!#REF!</f>
        <v>#REF!</v>
      </c>
      <c r="M371" s="55" t="e">
        <f t="array" ref="M371">_xlfn.IFS(Saisie!M371="OUI",1,Saisie!M371="NON",0)</f>
        <v>#N/A</v>
      </c>
      <c r="N371" s="64" t="e">
        <f>Saisie!#REF!</f>
        <v>#REF!</v>
      </c>
      <c r="O371" s="63" t="e">
        <f>Saisie!#REF!</f>
        <v>#REF!</v>
      </c>
      <c r="P371" s="63">
        <f>Saisie!N371</f>
        <v>0</v>
      </c>
      <c r="Q371" s="63" t="e">
        <f t="array" ref="Q371">_xlfn.IFS(Saisie!#REF!="OUI",1,Saisie!#REF!="NON",0)</f>
        <v>#REF!</v>
      </c>
      <c r="R371" s="63" t="e">
        <f>Saisie!#REF!</f>
        <v>#REF!</v>
      </c>
      <c r="S371" s="65" t="e">
        <f>Saisie!#REF!</f>
        <v>#REF!</v>
      </c>
      <c r="T371" s="63" t="e">
        <f>Saisie!#REF!</f>
        <v>#REF!</v>
      </c>
      <c r="U371" s="63" t="e">
        <f>Saisie!#REF!</f>
        <v>#REF!</v>
      </c>
      <c r="V371" s="63" t="e">
        <f t="array" ref="V371">_xlfn.IFS(Saisie!#REF!="OUI",1,Saisie!#REF!="NON",0)</f>
        <v>#REF!</v>
      </c>
      <c r="W371" s="63" t="e">
        <f t="array" ref="W371">_xlfn.IFS(Saisie!O371="OUI",1,Saisie!O371="NON",0)</f>
        <v>#N/A</v>
      </c>
      <c r="X371" s="63">
        <f>Saisie!P371</f>
        <v>0</v>
      </c>
      <c r="Y371" s="299">
        <f>Saisie!H371</f>
        <v>0</v>
      </c>
      <c r="Z371" s="58" t="e">
        <f>Saisie!#REF!</f>
        <v>#REF!</v>
      </c>
      <c r="AA371" s="299">
        <f>Saisie!Q371</f>
        <v>0</v>
      </c>
      <c r="AB371" s="63" t="e">
        <f t="array" ref="AB371">_xlfn.IFS(Saisie!R371="OUI",1,Saisie!R371="NON",0)</f>
        <v>#N/A</v>
      </c>
      <c r="AC371" s="63">
        <f>Saisie!S371</f>
        <v>0</v>
      </c>
      <c r="AD371" s="63" t="e">
        <f t="array" ref="AD371">_xlfn.IFS(Saisie!T371="OUI",1,Saisie!T371="NON",0)</f>
        <v>#N/A</v>
      </c>
      <c r="AE371" s="171">
        <f>Saisie!U371</f>
        <v>0</v>
      </c>
      <c r="AF371" s="262">
        <v>3</v>
      </c>
      <c r="AG371" s="129">
        <f>Saisie!W371</f>
        <v>0</v>
      </c>
      <c r="AH371" s="20">
        <f>Saisie!X371</f>
        <v>0</v>
      </c>
      <c r="AI371" s="21">
        <f>Saisie!Y371</f>
        <v>0</v>
      </c>
      <c r="AJ371" s="59">
        <f>Saisie!Z371</f>
        <v>0</v>
      </c>
      <c r="AK371" s="20">
        <f>Saisie!AA371</f>
        <v>0</v>
      </c>
      <c r="AL371" s="21">
        <f>Saisie!AB371</f>
        <v>0</v>
      </c>
      <c r="AM371" s="59">
        <f>Saisie!AC371</f>
        <v>0</v>
      </c>
      <c r="AN371" s="20">
        <f>Saisie!AD371</f>
        <v>0</v>
      </c>
      <c r="AO371" s="21">
        <f>Saisie!AE371</f>
        <v>0</v>
      </c>
      <c r="AP371" s="59">
        <f>Saisie!AF371</f>
        <v>0</v>
      </c>
      <c r="AQ371" s="129" t="e">
        <f t="array" ref="AQ371">_xlfn.IFS(Saisie!AG371="OUI",1,Saisie!AG371="NON",0)</f>
        <v>#N/A</v>
      </c>
      <c r="AR371" s="129" t="e">
        <f t="array" ref="AR371">_xlfn.IFS(Saisie!AH371="OUI",1,Saisie!AH371="NON",0)</f>
        <v>#N/A</v>
      </c>
      <c r="AS371" s="171">
        <f>Saisie!AI371</f>
        <v>0</v>
      </c>
      <c r="AT371" s="263" t="e">
        <f t="array" ref="AT371">_xlfn.IFS(Saisie!AJ371="OUI",1,Saisie!AJ371="NON",0)</f>
        <v>#N/A</v>
      </c>
      <c r="AU371" s="173">
        <f>Saisie!AK371</f>
        <v>0</v>
      </c>
      <c r="AV371" s="263" t="e">
        <f t="array" ref="AV371">_xlfn.IFS(Saisie!AL371="OUI",1,Saisie!AL371="NON",0)</f>
        <v>#N/A</v>
      </c>
      <c r="AW371" s="171">
        <f>Saisie!AM371</f>
        <v>0</v>
      </c>
      <c r="AX371" s="68">
        <f>Saisie!AN371</f>
        <v>0</v>
      </c>
      <c r="AY371" s="20">
        <f>Saisie!AO371</f>
        <v>0</v>
      </c>
      <c r="AZ371" s="21">
        <f>Saisie!AP371</f>
        <v>0</v>
      </c>
      <c r="BA371" s="298">
        <f>Saisie!AQ371</f>
        <v>0</v>
      </c>
      <c r="BB371" s="170">
        <f>Saisie!AR371</f>
        <v>0</v>
      </c>
      <c r="BC371" s="174">
        <f>Saisie!AS371</f>
        <v>0</v>
      </c>
      <c r="BD371" s="61">
        <f>Saisie!AT371</f>
        <v>0</v>
      </c>
      <c r="BE371" s="175" t="e">
        <f t="array" ref="BE371">_xlfn.IFS(Saisie!AU371="OUI",1,Saisie!AU371="NON",0)</f>
        <v>#N/A</v>
      </c>
      <c r="BF371" s="267">
        <f>Saisie!AV371</f>
        <v>0</v>
      </c>
      <c r="BG371" s="55">
        <f>Saisie!AW371</f>
        <v>0</v>
      </c>
      <c r="BH371" s="55" t="e">
        <f t="array" ref="BH371">_xlfn.IFS(Saisie!AX371="OUI",1,Saisie!AX371="NON",0)</f>
        <v>#N/A</v>
      </c>
      <c r="BI371" s="62">
        <f>Saisie!AY371</f>
        <v>0</v>
      </c>
      <c r="BJ371" s="55" t="e">
        <f t="array" ref="BJ371">_xlfn.IFS(Saisie!AZ371="OUI",1,Saisie!AZ371="NON",0)</f>
        <v>#N/A</v>
      </c>
      <c r="BK371" s="55" t="e">
        <f t="array" ref="BK371">_xlfn.IFS(Saisie!BA371="OUI",1,Saisie!BA371="NON",0)</f>
        <v>#N/A</v>
      </c>
      <c r="BL371" s="55">
        <f>Saisie!BB371</f>
        <v>0</v>
      </c>
      <c r="BM371" s="49" t="e">
        <f>Saisie!BC371</f>
        <v>#REF!</v>
      </c>
      <c r="BN371" s="175"/>
    </row>
    <row r="372" spans="1:66" s="176" customFormat="1" x14ac:dyDescent="0.45">
      <c r="A372" s="12">
        <v>367</v>
      </c>
      <c r="B372" s="150">
        <f>Saisie!B372</f>
        <v>0</v>
      </c>
      <c r="C372" s="150">
        <f>Saisie!C372</f>
        <v>0</v>
      </c>
      <c r="D372" s="150">
        <f>Saisie!D372</f>
        <v>0</v>
      </c>
      <c r="E372" s="150">
        <f>Saisie!E372</f>
        <v>0</v>
      </c>
      <c r="F372" s="150">
        <f>Saisie!F372</f>
        <v>0</v>
      </c>
      <c r="G372" s="150">
        <f>Saisie!G372</f>
        <v>0</v>
      </c>
      <c r="H372" s="150">
        <f>Saisie!I372</f>
        <v>0</v>
      </c>
      <c r="I372" s="150">
        <f>Saisie!J372</f>
        <v>0</v>
      </c>
      <c r="J372" s="150">
        <f>Saisie!K372</f>
        <v>0</v>
      </c>
      <c r="K372" s="150">
        <f>Saisie!L372</f>
        <v>0</v>
      </c>
      <c r="L372" s="150" t="e">
        <f>Saisie!#REF!</f>
        <v>#REF!</v>
      </c>
      <c r="M372" s="55" t="e">
        <f t="array" ref="M372">_xlfn.IFS(Saisie!M372="OUI",1,Saisie!M372="NON",0)</f>
        <v>#N/A</v>
      </c>
      <c r="N372" s="64" t="e">
        <f>Saisie!#REF!</f>
        <v>#REF!</v>
      </c>
      <c r="O372" s="63" t="e">
        <f>Saisie!#REF!</f>
        <v>#REF!</v>
      </c>
      <c r="P372" s="63">
        <f>Saisie!N372</f>
        <v>0</v>
      </c>
      <c r="Q372" s="63" t="e">
        <f t="array" ref="Q372">_xlfn.IFS(Saisie!#REF!="OUI",1,Saisie!#REF!="NON",0)</f>
        <v>#REF!</v>
      </c>
      <c r="R372" s="63" t="e">
        <f>Saisie!#REF!</f>
        <v>#REF!</v>
      </c>
      <c r="S372" s="65" t="e">
        <f>Saisie!#REF!</f>
        <v>#REF!</v>
      </c>
      <c r="T372" s="63" t="e">
        <f>Saisie!#REF!</f>
        <v>#REF!</v>
      </c>
      <c r="U372" s="63" t="e">
        <f>Saisie!#REF!</f>
        <v>#REF!</v>
      </c>
      <c r="V372" s="63" t="e">
        <f t="array" ref="V372">_xlfn.IFS(Saisie!#REF!="OUI",1,Saisie!#REF!="NON",0)</f>
        <v>#REF!</v>
      </c>
      <c r="W372" s="63" t="e">
        <f t="array" ref="W372">_xlfn.IFS(Saisie!O372="OUI",1,Saisie!O372="NON",0)</f>
        <v>#N/A</v>
      </c>
      <c r="X372" s="63">
        <f>Saisie!P372</f>
        <v>0</v>
      </c>
      <c r="Y372" s="299">
        <f>Saisie!H372</f>
        <v>0</v>
      </c>
      <c r="Z372" s="58" t="e">
        <f>Saisie!#REF!</f>
        <v>#REF!</v>
      </c>
      <c r="AA372" s="299">
        <f>Saisie!Q372</f>
        <v>0</v>
      </c>
      <c r="AB372" s="63" t="e">
        <f t="array" ref="AB372">_xlfn.IFS(Saisie!R372="OUI",1,Saisie!R372="NON",0)</f>
        <v>#N/A</v>
      </c>
      <c r="AC372" s="63">
        <f>Saisie!S372</f>
        <v>0</v>
      </c>
      <c r="AD372" s="63" t="e">
        <f t="array" ref="AD372">_xlfn.IFS(Saisie!T372="OUI",1,Saisie!T372="NON",0)</f>
        <v>#N/A</v>
      </c>
      <c r="AE372" s="171">
        <f>Saisie!U372</f>
        <v>0</v>
      </c>
      <c r="AF372" s="262">
        <v>3</v>
      </c>
      <c r="AG372" s="129">
        <f>Saisie!W372</f>
        <v>0</v>
      </c>
      <c r="AH372" s="20">
        <f>Saisie!X372</f>
        <v>0</v>
      </c>
      <c r="AI372" s="21">
        <f>Saisie!Y372</f>
        <v>0</v>
      </c>
      <c r="AJ372" s="59">
        <f>Saisie!Z372</f>
        <v>0</v>
      </c>
      <c r="AK372" s="20">
        <f>Saisie!AA372</f>
        <v>0</v>
      </c>
      <c r="AL372" s="21">
        <f>Saisie!AB372</f>
        <v>0</v>
      </c>
      <c r="AM372" s="59">
        <f>Saisie!AC372</f>
        <v>0</v>
      </c>
      <c r="AN372" s="20">
        <f>Saisie!AD372</f>
        <v>0</v>
      </c>
      <c r="AO372" s="21">
        <f>Saisie!AE372</f>
        <v>0</v>
      </c>
      <c r="AP372" s="59">
        <f>Saisie!AF372</f>
        <v>0</v>
      </c>
      <c r="AQ372" s="129" t="e">
        <f t="array" ref="AQ372">_xlfn.IFS(Saisie!AG372="OUI",1,Saisie!AG372="NON",0)</f>
        <v>#N/A</v>
      </c>
      <c r="AR372" s="129" t="e">
        <f t="array" ref="AR372">_xlfn.IFS(Saisie!AH372="OUI",1,Saisie!AH372="NON",0)</f>
        <v>#N/A</v>
      </c>
      <c r="AS372" s="171">
        <f>Saisie!AI372</f>
        <v>0</v>
      </c>
      <c r="AT372" s="263" t="e">
        <f t="array" ref="AT372">_xlfn.IFS(Saisie!AJ372="OUI",1,Saisie!AJ372="NON",0)</f>
        <v>#N/A</v>
      </c>
      <c r="AU372" s="173">
        <f>Saisie!AK372</f>
        <v>0</v>
      </c>
      <c r="AV372" s="263" t="e">
        <f t="array" ref="AV372">_xlfn.IFS(Saisie!AL372="OUI",1,Saisie!AL372="NON",0)</f>
        <v>#N/A</v>
      </c>
      <c r="AW372" s="171">
        <f>Saisie!AM372</f>
        <v>0</v>
      </c>
      <c r="AX372" s="68">
        <f>Saisie!AN372</f>
        <v>0</v>
      </c>
      <c r="AY372" s="20">
        <f>Saisie!AO372</f>
        <v>0</v>
      </c>
      <c r="AZ372" s="21">
        <f>Saisie!AP372</f>
        <v>0</v>
      </c>
      <c r="BA372" s="298">
        <f>Saisie!AQ372</f>
        <v>0</v>
      </c>
      <c r="BB372" s="170">
        <f>Saisie!AR372</f>
        <v>0</v>
      </c>
      <c r="BC372" s="174">
        <f>Saisie!AS372</f>
        <v>0</v>
      </c>
      <c r="BD372" s="61">
        <f>Saisie!AT372</f>
        <v>0</v>
      </c>
      <c r="BE372" s="175" t="e">
        <f t="array" ref="BE372">_xlfn.IFS(Saisie!AU372="OUI",1,Saisie!AU372="NON",0)</f>
        <v>#N/A</v>
      </c>
      <c r="BF372" s="267">
        <f>Saisie!AV372</f>
        <v>0</v>
      </c>
      <c r="BG372" s="55">
        <f>Saisie!AW372</f>
        <v>0</v>
      </c>
      <c r="BH372" s="55" t="e">
        <f t="array" ref="BH372">_xlfn.IFS(Saisie!AX372="OUI",1,Saisie!AX372="NON",0)</f>
        <v>#N/A</v>
      </c>
      <c r="BI372" s="62">
        <f>Saisie!AY372</f>
        <v>0</v>
      </c>
      <c r="BJ372" s="55" t="e">
        <f t="array" ref="BJ372">_xlfn.IFS(Saisie!AZ372="OUI",1,Saisie!AZ372="NON",0)</f>
        <v>#N/A</v>
      </c>
      <c r="BK372" s="55" t="e">
        <f t="array" ref="BK372">_xlfn.IFS(Saisie!BA372="OUI",1,Saisie!BA372="NON",0)</f>
        <v>#N/A</v>
      </c>
      <c r="BL372" s="55">
        <f>Saisie!BB372</f>
        <v>0</v>
      </c>
      <c r="BM372" s="49" t="e">
        <f>Saisie!BC372</f>
        <v>#REF!</v>
      </c>
      <c r="BN372" s="175"/>
    </row>
    <row r="373" spans="1:66" s="176" customFormat="1" x14ac:dyDescent="0.45">
      <c r="A373" s="13">
        <v>368</v>
      </c>
      <c r="B373" s="150">
        <f>Saisie!B373</f>
        <v>0</v>
      </c>
      <c r="C373" s="150">
        <f>Saisie!C373</f>
        <v>0</v>
      </c>
      <c r="D373" s="150">
        <f>Saisie!D373</f>
        <v>0</v>
      </c>
      <c r="E373" s="150">
        <f>Saisie!E373</f>
        <v>0</v>
      </c>
      <c r="F373" s="150">
        <f>Saisie!F373</f>
        <v>0</v>
      </c>
      <c r="G373" s="150">
        <f>Saisie!G373</f>
        <v>0</v>
      </c>
      <c r="H373" s="150">
        <f>Saisie!I373</f>
        <v>0</v>
      </c>
      <c r="I373" s="150">
        <f>Saisie!J373</f>
        <v>0</v>
      </c>
      <c r="J373" s="150">
        <f>Saisie!K373</f>
        <v>0</v>
      </c>
      <c r="K373" s="150">
        <f>Saisie!L373</f>
        <v>0</v>
      </c>
      <c r="L373" s="150" t="e">
        <f>Saisie!#REF!</f>
        <v>#REF!</v>
      </c>
      <c r="M373" s="55" t="e">
        <f t="array" ref="M373">_xlfn.IFS(Saisie!M373="OUI",1,Saisie!M373="NON",0)</f>
        <v>#N/A</v>
      </c>
      <c r="N373" s="64" t="e">
        <f>Saisie!#REF!</f>
        <v>#REF!</v>
      </c>
      <c r="O373" s="63" t="e">
        <f>Saisie!#REF!</f>
        <v>#REF!</v>
      </c>
      <c r="P373" s="63">
        <f>Saisie!N373</f>
        <v>0</v>
      </c>
      <c r="Q373" s="63" t="e">
        <f t="array" ref="Q373">_xlfn.IFS(Saisie!#REF!="OUI",1,Saisie!#REF!="NON",0)</f>
        <v>#REF!</v>
      </c>
      <c r="R373" s="63" t="e">
        <f>Saisie!#REF!</f>
        <v>#REF!</v>
      </c>
      <c r="S373" s="65" t="e">
        <f>Saisie!#REF!</f>
        <v>#REF!</v>
      </c>
      <c r="T373" s="63" t="e">
        <f>Saisie!#REF!</f>
        <v>#REF!</v>
      </c>
      <c r="U373" s="63" t="e">
        <f>Saisie!#REF!</f>
        <v>#REF!</v>
      </c>
      <c r="V373" s="63" t="e">
        <f t="array" ref="V373">_xlfn.IFS(Saisie!#REF!="OUI",1,Saisie!#REF!="NON",0)</f>
        <v>#REF!</v>
      </c>
      <c r="W373" s="63" t="e">
        <f t="array" ref="W373">_xlfn.IFS(Saisie!O373="OUI",1,Saisie!O373="NON",0)</f>
        <v>#N/A</v>
      </c>
      <c r="X373" s="63">
        <f>Saisie!P373</f>
        <v>0</v>
      </c>
      <c r="Y373" s="299">
        <f>Saisie!H373</f>
        <v>0</v>
      </c>
      <c r="Z373" s="58" t="e">
        <f>Saisie!#REF!</f>
        <v>#REF!</v>
      </c>
      <c r="AA373" s="299">
        <f>Saisie!Q373</f>
        <v>0</v>
      </c>
      <c r="AB373" s="63" t="e">
        <f t="array" ref="AB373">_xlfn.IFS(Saisie!R373="OUI",1,Saisie!R373="NON",0)</f>
        <v>#N/A</v>
      </c>
      <c r="AC373" s="63">
        <f>Saisie!S373</f>
        <v>0</v>
      </c>
      <c r="AD373" s="63" t="e">
        <f t="array" ref="AD373">_xlfn.IFS(Saisie!T373="OUI",1,Saisie!T373="NON",0)</f>
        <v>#N/A</v>
      </c>
      <c r="AE373" s="171">
        <f>Saisie!U373</f>
        <v>0</v>
      </c>
      <c r="AF373" s="262">
        <v>3</v>
      </c>
      <c r="AG373" s="129">
        <f>Saisie!W373</f>
        <v>0</v>
      </c>
      <c r="AH373" s="20">
        <f>Saisie!X373</f>
        <v>0</v>
      </c>
      <c r="AI373" s="21">
        <f>Saisie!Y373</f>
        <v>0</v>
      </c>
      <c r="AJ373" s="59">
        <f>Saisie!Z373</f>
        <v>0</v>
      </c>
      <c r="AK373" s="20">
        <f>Saisie!AA373</f>
        <v>0</v>
      </c>
      <c r="AL373" s="21">
        <f>Saisie!AB373</f>
        <v>0</v>
      </c>
      <c r="AM373" s="59">
        <f>Saisie!AC373</f>
        <v>0</v>
      </c>
      <c r="AN373" s="20">
        <f>Saisie!AD373</f>
        <v>0</v>
      </c>
      <c r="AO373" s="21">
        <f>Saisie!AE373</f>
        <v>0</v>
      </c>
      <c r="AP373" s="59">
        <f>Saisie!AF373</f>
        <v>0</v>
      </c>
      <c r="AQ373" s="129" t="e">
        <f t="array" ref="AQ373">_xlfn.IFS(Saisie!AG373="OUI",1,Saisie!AG373="NON",0)</f>
        <v>#N/A</v>
      </c>
      <c r="AR373" s="129" t="e">
        <f t="array" ref="AR373">_xlfn.IFS(Saisie!AH373="OUI",1,Saisie!AH373="NON",0)</f>
        <v>#N/A</v>
      </c>
      <c r="AS373" s="171">
        <f>Saisie!AI373</f>
        <v>0</v>
      </c>
      <c r="AT373" s="263" t="e">
        <f t="array" ref="AT373">_xlfn.IFS(Saisie!AJ373="OUI",1,Saisie!AJ373="NON",0)</f>
        <v>#N/A</v>
      </c>
      <c r="AU373" s="173">
        <f>Saisie!AK373</f>
        <v>0</v>
      </c>
      <c r="AV373" s="263" t="e">
        <f t="array" ref="AV373">_xlfn.IFS(Saisie!AL373="OUI",1,Saisie!AL373="NON",0)</f>
        <v>#N/A</v>
      </c>
      <c r="AW373" s="171">
        <f>Saisie!AM373</f>
        <v>0</v>
      </c>
      <c r="AX373" s="68">
        <f>Saisie!AN373</f>
        <v>0</v>
      </c>
      <c r="AY373" s="20">
        <f>Saisie!AO373</f>
        <v>0</v>
      </c>
      <c r="AZ373" s="21">
        <f>Saisie!AP373</f>
        <v>0</v>
      </c>
      <c r="BA373" s="298">
        <f>Saisie!AQ373</f>
        <v>0</v>
      </c>
      <c r="BB373" s="170">
        <f>Saisie!AR373</f>
        <v>0</v>
      </c>
      <c r="BC373" s="174">
        <f>Saisie!AS373</f>
        <v>0</v>
      </c>
      <c r="BD373" s="61">
        <f>Saisie!AT373</f>
        <v>0</v>
      </c>
      <c r="BE373" s="175" t="e">
        <f t="array" ref="BE373">_xlfn.IFS(Saisie!AU373="OUI",1,Saisie!AU373="NON",0)</f>
        <v>#N/A</v>
      </c>
      <c r="BF373" s="267">
        <f>Saisie!AV373</f>
        <v>0</v>
      </c>
      <c r="BG373" s="55">
        <f>Saisie!AW373</f>
        <v>0</v>
      </c>
      <c r="BH373" s="55" t="e">
        <f t="array" ref="BH373">_xlfn.IFS(Saisie!AX373="OUI",1,Saisie!AX373="NON",0)</f>
        <v>#N/A</v>
      </c>
      <c r="BI373" s="62">
        <f>Saisie!AY373</f>
        <v>0</v>
      </c>
      <c r="BJ373" s="55" t="e">
        <f t="array" ref="BJ373">_xlfn.IFS(Saisie!AZ373="OUI",1,Saisie!AZ373="NON",0)</f>
        <v>#N/A</v>
      </c>
      <c r="BK373" s="55" t="e">
        <f t="array" ref="BK373">_xlfn.IFS(Saisie!BA373="OUI",1,Saisie!BA373="NON",0)</f>
        <v>#N/A</v>
      </c>
      <c r="BL373" s="55">
        <f>Saisie!BB373</f>
        <v>0</v>
      </c>
      <c r="BM373" s="49" t="e">
        <f>Saisie!BC373</f>
        <v>#REF!</v>
      </c>
      <c r="BN373" s="175"/>
    </row>
    <row r="374" spans="1:66" s="176" customFormat="1" x14ac:dyDescent="0.45">
      <c r="A374" s="13">
        <v>369</v>
      </c>
      <c r="B374" s="150">
        <f>Saisie!B374</f>
        <v>0</v>
      </c>
      <c r="C374" s="150">
        <f>Saisie!C374</f>
        <v>0</v>
      </c>
      <c r="D374" s="150">
        <f>Saisie!D374</f>
        <v>0</v>
      </c>
      <c r="E374" s="150">
        <f>Saisie!E374</f>
        <v>0</v>
      </c>
      <c r="F374" s="150">
        <f>Saisie!F374</f>
        <v>0</v>
      </c>
      <c r="G374" s="150">
        <f>Saisie!G374</f>
        <v>0</v>
      </c>
      <c r="H374" s="150">
        <f>Saisie!I374</f>
        <v>0</v>
      </c>
      <c r="I374" s="150">
        <f>Saisie!J374</f>
        <v>0</v>
      </c>
      <c r="J374" s="150">
        <f>Saisie!K374</f>
        <v>0</v>
      </c>
      <c r="K374" s="150">
        <f>Saisie!L374</f>
        <v>0</v>
      </c>
      <c r="L374" s="150" t="e">
        <f>Saisie!#REF!</f>
        <v>#REF!</v>
      </c>
      <c r="M374" s="55" t="e">
        <f t="array" ref="M374">_xlfn.IFS(Saisie!M374="OUI",1,Saisie!M374="NON",0)</f>
        <v>#N/A</v>
      </c>
      <c r="N374" s="64" t="e">
        <f>Saisie!#REF!</f>
        <v>#REF!</v>
      </c>
      <c r="O374" s="63" t="e">
        <f>Saisie!#REF!</f>
        <v>#REF!</v>
      </c>
      <c r="P374" s="63">
        <f>Saisie!N374</f>
        <v>0</v>
      </c>
      <c r="Q374" s="63" t="e">
        <f t="array" ref="Q374">_xlfn.IFS(Saisie!#REF!="OUI",1,Saisie!#REF!="NON",0)</f>
        <v>#REF!</v>
      </c>
      <c r="R374" s="63" t="e">
        <f>Saisie!#REF!</f>
        <v>#REF!</v>
      </c>
      <c r="S374" s="65" t="e">
        <f>Saisie!#REF!</f>
        <v>#REF!</v>
      </c>
      <c r="T374" s="63" t="e">
        <f>Saisie!#REF!</f>
        <v>#REF!</v>
      </c>
      <c r="U374" s="63" t="e">
        <f>Saisie!#REF!</f>
        <v>#REF!</v>
      </c>
      <c r="V374" s="63" t="e">
        <f t="array" ref="V374">_xlfn.IFS(Saisie!#REF!="OUI",1,Saisie!#REF!="NON",0)</f>
        <v>#REF!</v>
      </c>
      <c r="W374" s="63" t="e">
        <f t="array" ref="W374">_xlfn.IFS(Saisie!O374="OUI",1,Saisie!O374="NON",0)</f>
        <v>#N/A</v>
      </c>
      <c r="X374" s="63">
        <f>Saisie!P374</f>
        <v>0</v>
      </c>
      <c r="Y374" s="299">
        <f>Saisie!H374</f>
        <v>0</v>
      </c>
      <c r="Z374" s="58" t="e">
        <f>Saisie!#REF!</f>
        <v>#REF!</v>
      </c>
      <c r="AA374" s="299">
        <f>Saisie!Q374</f>
        <v>0</v>
      </c>
      <c r="AB374" s="63" t="e">
        <f t="array" ref="AB374">_xlfn.IFS(Saisie!R374="OUI",1,Saisie!R374="NON",0)</f>
        <v>#N/A</v>
      </c>
      <c r="AC374" s="63">
        <f>Saisie!S374</f>
        <v>0</v>
      </c>
      <c r="AD374" s="63" t="e">
        <f t="array" ref="AD374">_xlfn.IFS(Saisie!T374="OUI",1,Saisie!T374="NON",0)</f>
        <v>#N/A</v>
      </c>
      <c r="AE374" s="171">
        <f>Saisie!U374</f>
        <v>0</v>
      </c>
      <c r="AF374" s="262">
        <v>3</v>
      </c>
      <c r="AG374" s="129">
        <f>Saisie!W374</f>
        <v>0</v>
      </c>
      <c r="AH374" s="20">
        <f>Saisie!X374</f>
        <v>0</v>
      </c>
      <c r="AI374" s="21">
        <f>Saisie!Y374</f>
        <v>0</v>
      </c>
      <c r="AJ374" s="59">
        <f>Saisie!Z374</f>
        <v>0</v>
      </c>
      <c r="AK374" s="20">
        <f>Saisie!AA374</f>
        <v>0</v>
      </c>
      <c r="AL374" s="21">
        <f>Saisie!AB374</f>
        <v>0</v>
      </c>
      <c r="AM374" s="59">
        <f>Saisie!AC374</f>
        <v>0</v>
      </c>
      <c r="AN374" s="20">
        <f>Saisie!AD374</f>
        <v>0</v>
      </c>
      <c r="AO374" s="21">
        <f>Saisie!AE374</f>
        <v>0</v>
      </c>
      <c r="AP374" s="59">
        <f>Saisie!AF374</f>
        <v>0</v>
      </c>
      <c r="AQ374" s="129" t="e">
        <f t="array" ref="AQ374">_xlfn.IFS(Saisie!AG374="OUI",1,Saisie!AG374="NON",0)</f>
        <v>#N/A</v>
      </c>
      <c r="AR374" s="129" t="e">
        <f t="array" ref="AR374">_xlfn.IFS(Saisie!AH374="OUI",1,Saisie!AH374="NON",0)</f>
        <v>#N/A</v>
      </c>
      <c r="AS374" s="171">
        <f>Saisie!AI374</f>
        <v>0</v>
      </c>
      <c r="AT374" s="263" t="e">
        <f t="array" ref="AT374">_xlfn.IFS(Saisie!AJ374="OUI",1,Saisie!AJ374="NON",0)</f>
        <v>#N/A</v>
      </c>
      <c r="AU374" s="173">
        <f>Saisie!AK374</f>
        <v>0</v>
      </c>
      <c r="AV374" s="263" t="e">
        <f t="array" ref="AV374">_xlfn.IFS(Saisie!AL374="OUI",1,Saisie!AL374="NON",0)</f>
        <v>#N/A</v>
      </c>
      <c r="AW374" s="171">
        <f>Saisie!AM374</f>
        <v>0</v>
      </c>
      <c r="AX374" s="68">
        <f>Saisie!AN374</f>
        <v>0</v>
      </c>
      <c r="AY374" s="20">
        <f>Saisie!AO374</f>
        <v>0</v>
      </c>
      <c r="AZ374" s="21">
        <f>Saisie!AP374</f>
        <v>0</v>
      </c>
      <c r="BA374" s="298">
        <f>Saisie!AQ374</f>
        <v>0</v>
      </c>
      <c r="BB374" s="170">
        <f>Saisie!AR374</f>
        <v>0</v>
      </c>
      <c r="BC374" s="174">
        <f>Saisie!AS374</f>
        <v>0</v>
      </c>
      <c r="BD374" s="61">
        <f>Saisie!AT374</f>
        <v>0</v>
      </c>
      <c r="BE374" s="175" t="e">
        <f t="array" ref="BE374">_xlfn.IFS(Saisie!AU374="OUI",1,Saisie!AU374="NON",0)</f>
        <v>#N/A</v>
      </c>
      <c r="BF374" s="267">
        <f>Saisie!AV374</f>
        <v>0</v>
      </c>
      <c r="BG374" s="55">
        <f>Saisie!AW374</f>
        <v>0</v>
      </c>
      <c r="BH374" s="55" t="e">
        <f t="array" ref="BH374">_xlfn.IFS(Saisie!AX374="OUI",1,Saisie!AX374="NON",0)</f>
        <v>#N/A</v>
      </c>
      <c r="BI374" s="62">
        <f>Saisie!AY374</f>
        <v>0</v>
      </c>
      <c r="BJ374" s="55" t="e">
        <f t="array" ref="BJ374">_xlfn.IFS(Saisie!AZ374="OUI",1,Saisie!AZ374="NON",0)</f>
        <v>#N/A</v>
      </c>
      <c r="BK374" s="55" t="e">
        <f t="array" ref="BK374">_xlfn.IFS(Saisie!BA374="OUI",1,Saisie!BA374="NON",0)</f>
        <v>#N/A</v>
      </c>
      <c r="BL374" s="55">
        <f>Saisie!BB374</f>
        <v>0</v>
      </c>
      <c r="BM374" s="49" t="e">
        <f>Saisie!BC374</f>
        <v>#REF!</v>
      </c>
      <c r="BN374" s="175"/>
    </row>
    <row r="375" spans="1:66" s="176" customFormat="1" x14ac:dyDescent="0.45">
      <c r="A375" s="12">
        <v>370</v>
      </c>
      <c r="B375" s="150">
        <f>Saisie!B375</f>
        <v>0</v>
      </c>
      <c r="C375" s="150">
        <f>Saisie!C375</f>
        <v>0</v>
      </c>
      <c r="D375" s="150">
        <f>Saisie!D375</f>
        <v>0</v>
      </c>
      <c r="E375" s="150">
        <f>Saisie!E375</f>
        <v>0</v>
      </c>
      <c r="F375" s="150">
        <f>Saisie!F375</f>
        <v>0</v>
      </c>
      <c r="G375" s="150">
        <f>Saisie!G375</f>
        <v>0</v>
      </c>
      <c r="H375" s="150">
        <f>Saisie!I375</f>
        <v>0</v>
      </c>
      <c r="I375" s="150">
        <f>Saisie!J375</f>
        <v>0</v>
      </c>
      <c r="J375" s="150">
        <f>Saisie!K375</f>
        <v>0</v>
      </c>
      <c r="K375" s="150">
        <f>Saisie!L375</f>
        <v>0</v>
      </c>
      <c r="L375" s="150" t="e">
        <f>Saisie!#REF!</f>
        <v>#REF!</v>
      </c>
      <c r="M375" s="55" t="e">
        <f t="array" ref="M375">_xlfn.IFS(Saisie!M375="OUI",1,Saisie!M375="NON",0)</f>
        <v>#N/A</v>
      </c>
      <c r="N375" s="64" t="e">
        <f>Saisie!#REF!</f>
        <v>#REF!</v>
      </c>
      <c r="O375" s="63" t="e">
        <f>Saisie!#REF!</f>
        <v>#REF!</v>
      </c>
      <c r="P375" s="63">
        <f>Saisie!N375</f>
        <v>0</v>
      </c>
      <c r="Q375" s="63" t="e">
        <f t="array" ref="Q375">_xlfn.IFS(Saisie!#REF!="OUI",1,Saisie!#REF!="NON",0)</f>
        <v>#REF!</v>
      </c>
      <c r="R375" s="63" t="e">
        <f>Saisie!#REF!</f>
        <v>#REF!</v>
      </c>
      <c r="S375" s="65" t="e">
        <f>Saisie!#REF!</f>
        <v>#REF!</v>
      </c>
      <c r="T375" s="63" t="e">
        <f>Saisie!#REF!</f>
        <v>#REF!</v>
      </c>
      <c r="U375" s="63" t="e">
        <f>Saisie!#REF!</f>
        <v>#REF!</v>
      </c>
      <c r="V375" s="63" t="e">
        <f t="array" ref="V375">_xlfn.IFS(Saisie!#REF!="OUI",1,Saisie!#REF!="NON",0)</f>
        <v>#REF!</v>
      </c>
      <c r="W375" s="63" t="e">
        <f t="array" ref="W375">_xlfn.IFS(Saisie!O375="OUI",1,Saisie!O375="NON",0)</f>
        <v>#N/A</v>
      </c>
      <c r="X375" s="63">
        <f>Saisie!P375</f>
        <v>0</v>
      </c>
      <c r="Y375" s="299">
        <f>Saisie!H375</f>
        <v>0</v>
      </c>
      <c r="Z375" s="58" t="e">
        <f>Saisie!#REF!</f>
        <v>#REF!</v>
      </c>
      <c r="AA375" s="299">
        <f>Saisie!Q375</f>
        <v>0</v>
      </c>
      <c r="AB375" s="63" t="e">
        <f t="array" ref="AB375">_xlfn.IFS(Saisie!R375="OUI",1,Saisie!R375="NON",0)</f>
        <v>#N/A</v>
      </c>
      <c r="AC375" s="63">
        <f>Saisie!S375</f>
        <v>0</v>
      </c>
      <c r="AD375" s="63" t="e">
        <f t="array" ref="AD375">_xlfn.IFS(Saisie!T375="OUI",1,Saisie!T375="NON",0)</f>
        <v>#N/A</v>
      </c>
      <c r="AE375" s="171">
        <f>Saisie!U375</f>
        <v>0</v>
      </c>
      <c r="AF375" s="262">
        <v>3</v>
      </c>
      <c r="AG375" s="129">
        <f>Saisie!W375</f>
        <v>0</v>
      </c>
      <c r="AH375" s="20">
        <f>Saisie!X375</f>
        <v>0</v>
      </c>
      <c r="AI375" s="21">
        <f>Saisie!Y375</f>
        <v>0</v>
      </c>
      <c r="AJ375" s="59">
        <f>Saisie!Z375</f>
        <v>0</v>
      </c>
      <c r="AK375" s="20">
        <f>Saisie!AA375</f>
        <v>0</v>
      </c>
      <c r="AL375" s="21">
        <f>Saisie!AB375</f>
        <v>0</v>
      </c>
      <c r="AM375" s="59">
        <f>Saisie!AC375</f>
        <v>0</v>
      </c>
      <c r="AN375" s="20">
        <f>Saisie!AD375</f>
        <v>0</v>
      </c>
      <c r="AO375" s="21">
        <f>Saisie!AE375</f>
        <v>0</v>
      </c>
      <c r="AP375" s="59">
        <f>Saisie!AF375</f>
        <v>0</v>
      </c>
      <c r="AQ375" s="129" t="e">
        <f t="array" ref="AQ375">_xlfn.IFS(Saisie!AG375="OUI",1,Saisie!AG375="NON",0)</f>
        <v>#N/A</v>
      </c>
      <c r="AR375" s="129" t="e">
        <f t="array" ref="AR375">_xlfn.IFS(Saisie!AH375="OUI",1,Saisie!AH375="NON",0)</f>
        <v>#N/A</v>
      </c>
      <c r="AS375" s="171">
        <f>Saisie!AI375</f>
        <v>0</v>
      </c>
      <c r="AT375" s="263" t="e">
        <f t="array" ref="AT375">_xlfn.IFS(Saisie!AJ375="OUI",1,Saisie!AJ375="NON",0)</f>
        <v>#N/A</v>
      </c>
      <c r="AU375" s="173">
        <f>Saisie!AK375</f>
        <v>0</v>
      </c>
      <c r="AV375" s="263" t="e">
        <f t="array" ref="AV375">_xlfn.IFS(Saisie!AL375="OUI",1,Saisie!AL375="NON",0)</f>
        <v>#N/A</v>
      </c>
      <c r="AW375" s="171">
        <f>Saisie!AM375</f>
        <v>0</v>
      </c>
      <c r="AX375" s="68">
        <f>Saisie!AN375</f>
        <v>0</v>
      </c>
      <c r="AY375" s="20">
        <f>Saisie!AO375</f>
        <v>0</v>
      </c>
      <c r="AZ375" s="21">
        <f>Saisie!AP375</f>
        <v>0</v>
      </c>
      <c r="BA375" s="298">
        <f>Saisie!AQ375</f>
        <v>0</v>
      </c>
      <c r="BB375" s="170">
        <f>Saisie!AR375</f>
        <v>0</v>
      </c>
      <c r="BC375" s="174">
        <f>Saisie!AS375</f>
        <v>0</v>
      </c>
      <c r="BD375" s="61">
        <f>Saisie!AT375</f>
        <v>0</v>
      </c>
      <c r="BE375" s="175" t="e">
        <f t="array" ref="BE375">_xlfn.IFS(Saisie!AU375="OUI",1,Saisie!AU375="NON",0)</f>
        <v>#N/A</v>
      </c>
      <c r="BF375" s="267">
        <f>Saisie!AV375</f>
        <v>0</v>
      </c>
      <c r="BG375" s="55">
        <f>Saisie!AW375</f>
        <v>0</v>
      </c>
      <c r="BH375" s="55" t="e">
        <f t="array" ref="BH375">_xlfn.IFS(Saisie!AX375="OUI",1,Saisie!AX375="NON",0)</f>
        <v>#N/A</v>
      </c>
      <c r="BI375" s="62">
        <f>Saisie!AY375</f>
        <v>0</v>
      </c>
      <c r="BJ375" s="55" t="e">
        <f t="array" ref="BJ375">_xlfn.IFS(Saisie!AZ375="OUI",1,Saisie!AZ375="NON",0)</f>
        <v>#N/A</v>
      </c>
      <c r="BK375" s="55" t="e">
        <f t="array" ref="BK375">_xlfn.IFS(Saisie!BA375="OUI",1,Saisie!BA375="NON",0)</f>
        <v>#N/A</v>
      </c>
      <c r="BL375" s="55">
        <f>Saisie!BB375</f>
        <v>0</v>
      </c>
      <c r="BM375" s="49" t="e">
        <f>Saisie!BC375</f>
        <v>#REF!</v>
      </c>
      <c r="BN375" s="175"/>
    </row>
    <row r="376" spans="1:66" s="176" customFormat="1" x14ac:dyDescent="0.45">
      <c r="A376" s="13">
        <v>371</v>
      </c>
      <c r="B376" s="150">
        <f>Saisie!B376</f>
        <v>0</v>
      </c>
      <c r="C376" s="150">
        <f>Saisie!C376</f>
        <v>0</v>
      </c>
      <c r="D376" s="150">
        <f>Saisie!D376</f>
        <v>0</v>
      </c>
      <c r="E376" s="150">
        <f>Saisie!E376</f>
        <v>0</v>
      </c>
      <c r="F376" s="150">
        <f>Saisie!F376</f>
        <v>0</v>
      </c>
      <c r="G376" s="150">
        <f>Saisie!G376</f>
        <v>0</v>
      </c>
      <c r="H376" s="150">
        <f>Saisie!I376</f>
        <v>0</v>
      </c>
      <c r="I376" s="150">
        <f>Saisie!J376</f>
        <v>0</v>
      </c>
      <c r="J376" s="150">
        <f>Saisie!K376</f>
        <v>0</v>
      </c>
      <c r="K376" s="150">
        <f>Saisie!L376</f>
        <v>0</v>
      </c>
      <c r="L376" s="150" t="e">
        <f>Saisie!#REF!</f>
        <v>#REF!</v>
      </c>
      <c r="M376" s="55" t="e">
        <f t="array" ref="M376">_xlfn.IFS(Saisie!M376="OUI",1,Saisie!M376="NON",0)</f>
        <v>#N/A</v>
      </c>
      <c r="N376" s="64" t="e">
        <f>Saisie!#REF!</f>
        <v>#REF!</v>
      </c>
      <c r="O376" s="63" t="e">
        <f>Saisie!#REF!</f>
        <v>#REF!</v>
      </c>
      <c r="P376" s="63">
        <f>Saisie!N376</f>
        <v>0</v>
      </c>
      <c r="Q376" s="63" t="e">
        <f t="array" ref="Q376">_xlfn.IFS(Saisie!#REF!="OUI",1,Saisie!#REF!="NON",0)</f>
        <v>#REF!</v>
      </c>
      <c r="R376" s="63" t="e">
        <f>Saisie!#REF!</f>
        <v>#REF!</v>
      </c>
      <c r="S376" s="65" t="e">
        <f>Saisie!#REF!</f>
        <v>#REF!</v>
      </c>
      <c r="T376" s="63" t="e">
        <f>Saisie!#REF!</f>
        <v>#REF!</v>
      </c>
      <c r="U376" s="63" t="e">
        <f>Saisie!#REF!</f>
        <v>#REF!</v>
      </c>
      <c r="V376" s="63" t="e">
        <f t="array" ref="V376">_xlfn.IFS(Saisie!#REF!="OUI",1,Saisie!#REF!="NON",0)</f>
        <v>#REF!</v>
      </c>
      <c r="W376" s="63" t="e">
        <f t="array" ref="W376">_xlfn.IFS(Saisie!O376="OUI",1,Saisie!O376="NON",0)</f>
        <v>#N/A</v>
      </c>
      <c r="X376" s="63">
        <f>Saisie!P376</f>
        <v>0</v>
      </c>
      <c r="Y376" s="299">
        <f>Saisie!H376</f>
        <v>0</v>
      </c>
      <c r="Z376" s="58" t="e">
        <f>Saisie!#REF!</f>
        <v>#REF!</v>
      </c>
      <c r="AA376" s="299">
        <f>Saisie!Q376</f>
        <v>0</v>
      </c>
      <c r="AB376" s="63" t="e">
        <f t="array" ref="AB376">_xlfn.IFS(Saisie!R376="OUI",1,Saisie!R376="NON",0)</f>
        <v>#N/A</v>
      </c>
      <c r="AC376" s="63">
        <f>Saisie!S376</f>
        <v>0</v>
      </c>
      <c r="AD376" s="63" t="e">
        <f t="array" ref="AD376">_xlfn.IFS(Saisie!T376="OUI",1,Saisie!T376="NON",0)</f>
        <v>#N/A</v>
      </c>
      <c r="AE376" s="171">
        <f>Saisie!U376</f>
        <v>0</v>
      </c>
      <c r="AF376" s="262">
        <v>3</v>
      </c>
      <c r="AG376" s="129">
        <f>Saisie!W376</f>
        <v>0</v>
      </c>
      <c r="AH376" s="20">
        <f>Saisie!X376</f>
        <v>0</v>
      </c>
      <c r="AI376" s="21">
        <f>Saisie!Y376</f>
        <v>0</v>
      </c>
      <c r="AJ376" s="59">
        <f>Saisie!Z376</f>
        <v>0</v>
      </c>
      <c r="AK376" s="20">
        <f>Saisie!AA376</f>
        <v>0</v>
      </c>
      <c r="AL376" s="21">
        <f>Saisie!AB376</f>
        <v>0</v>
      </c>
      <c r="AM376" s="59">
        <f>Saisie!AC376</f>
        <v>0</v>
      </c>
      <c r="AN376" s="20">
        <f>Saisie!AD376</f>
        <v>0</v>
      </c>
      <c r="AO376" s="21">
        <f>Saisie!AE376</f>
        <v>0</v>
      </c>
      <c r="AP376" s="59">
        <f>Saisie!AF376</f>
        <v>0</v>
      </c>
      <c r="AQ376" s="129" t="e">
        <f t="array" ref="AQ376">_xlfn.IFS(Saisie!AG376="OUI",1,Saisie!AG376="NON",0)</f>
        <v>#N/A</v>
      </c>
      <c r="AR376" s="129" t="e">
        <f t="array" ref="AR376">_xlfn.IFS(Saisie!AH376="OUI",1,Saisie!AH376="NON",0)</f>
        <v>#N/A</v>
      </c>
      <c r="AS376" s="171">
        <f>Saisie!AI376</f>
        <v>0</v>
      </c>
      <c r="AT376" s="263" t="e">
        <f t="array" ref="AT376">_xlfn.IFS(Saisie!AJ376="OUI",1,Saisie!AJ376="NON",0)</f>
        <v>#N/A</v>
      </c>
      <c r="AU376" s="173">
        <f>Saisie!AK376</f>
        <v>0</v>
      </c>
      <c r="AV376" s="263" t="e">
        <f t="array" ref="AV376">_xlfn.IFS(Saisie!AL376="OUI",1,Saisie!AL376="NON",0)</f>
        <v>#N/A</v>
      </c>
      <c r="AW376" s="171">
        <f>Saisie!AM376</f>
        <v>0</v>
      </c>
      <c r="AX376" s="68">
        <f>Saisie!AN376</f>
        <v>0</v>
      </c>
      <c r="AY376" s="20">
        <f>Saisie!AO376</f>
        <v>0</v>
      </c>
      <c r="AZ376" s="21">
        <f>Saisie!AP376</f>
        <v>0</v>
      </c>
      <c r="BA376" s="298">
        <f>Saisie!AQ376</f>
        <v>0</v>
      </c>
      <c r="BB376" s="170">
        <f>Saisie!AR376</f>
        <v>0</v>
      </c>
      <c r="BC376" s="174">
        <f>Saisie!AS376</f>
        <v>0</v>
      </c>
      <c r="BD376" s="61">
        <f>Saisie!AT376</f>
        <v>0</v>
      </c>
      <c r="BE376" s="175" t="e">
        <f t="array" ref="BE376">_xlfn.IFS(Saisie!AU376="OUI",1,Saisie!AU376="NON",0)</f>
        <v>#N/A</v>
      </c>
      <c r="BF376" s="267">
        <f>Saisie!AV376</f>
        <v>0</v>
      </c>
      <c r="BG376" s="55">
        <f>Saisie!AW376</f>
        <v>0</v>
      </c>
      <c r="BH376" s="55" t="e">
        <f t="array" ref="BH376">_xlfn.IFS(Saisie!AX376="OUI",1,Saisie!AX376="NON",0)</f>
        <v>#N/A</v>
      </c>
      <c r="BI376" s="62">
        <f>Saisie!AY376</f>
        <v>0</v>
      </c>
      <c r="BJ376" s="55" t="e">
        <f t="array" ref="BJ376">_xlfn.IFS(Saisie!AZ376="OUI",1,Saisie!AZ376="NON",0)</f>
        <v>#N/A</v>
      </c>
      <c r="BK376" s="55" t="e">
        <f t="array" ref="BK376">_xlfn.IFS(Saisie!BA376="OUI",1,Saisie!BA376="NON",0)</f>
        <v>#N/A</v>
      </c>
      <c r="BL376" s="55">
        <f>Saisie!BB376</f>
        <v>0</v>
      </c>
      <c r="BM376" s="49" t="e">
        <f>Saisie!BC376</f>
        <v>#REF!</v>
      </c>
      <c r="BN376" s="175"/>
    </row>
    <row r="377" spans="1:66" s="176" customFormat="1" x14ac:dyDescent="0.45">
      <c r="A377" s="13">
        <v>372</v>
      </c>
      <c r="B377" s="150">
        <f>Saisie!B377</f>
        <v>0</v>
      </c>
      <c r="C377" s="150">
        <f>Saisie!C377</f>
        <v>0</v>
      </c>
      <c r="D377" s="150">
        <f>Saisie!D377</f>
        <v>0</v>
      </c>
      <c r="E377" s="150">
        <f>Saisie!E377</f>
        <v>0</v>
      </c>
      <c r="F377" s="150">
        <f>Saisie!F377</f>
        <v>0</v>
      </c>
      <c r="G377" s="150">
        <f>Saisie!G377</f>
        <v>0</v>
      </c>
      <c r="H377" s="150">
        <f>Saisie!I377</f>
        <v>0</v>
      </c>
      <c r="I377" s="150">
        <f>Saisie!J377</f>
        <v>0</v>
      </c>
      <c r="J377" s="150">
        <f>Saisie!K377</f>
        <v>0</v>
      </c>
      <c r="K377" s="150">
        <f>Saisie!L377</f>
        <v>0</v>
      </c>
      <c r="L377" s="150" t="e">
        <f>Saisie!#REF!</f>
        <v>#REF!</v>
      </c>
      <c r="M377" s="55" t="e">
        <f t="array" ref="M377">_xlfn.IFS(Saisie!M377="OUI",1,Saisie!M377="NON",0)</f>
        <v>#N/A</v>
      </c>
      <c r="N377" s="64" t="e">
        <f>Saisie!#REF!</f>
        <v>#REF!</v>
      </c>
      <c r="O377" s="63" t="e">
        <f>Saisie!#REF!</f>
        <v>#REF!</v>
      </c>
      <c r="P377" s="63">
        <f>Saisie!N377</f>
        <v>0</v>
      </c>
      <c r="Q377" s="63" t="e">
        <f t="array" ref="Q377">_xlfn.IFS(Saisie!#REF!="OUI",1,Saisie!#REF!="NON",0)</f>
        <v>#REF!</v>
      </c>
      <c r="R377" s="63" t="e">
        <f>Saisie!#REF!</f>
        <v>#REF!</v>
      </c>
      <c r="S377" s="65" t="e">
        <f>Saisie!#REF!</f>
        <v>#REF!</v>
      </c>
      <c r="T377" s="63" t="e">
        <f>Saisie!#REF!</f>
        <v>#REF!</v>
      </c>
      <c r="U377" s="63" t="e">
        <f>Saisie!#REF!</f>
        <v>#REF!</v>
      </c>
      <c r="V377" s="63" t="e">
        <f t="array" ref="V377">_xlfn.IFS(Saisie!#REF!="OUI",1,Saisie!#REF!="NON",0)</f>
        <v>#REF!</v>
      </c>
      <c r="W377" s="63" t="e">
        <f t="array" ref="W377">_xlfn.IFS(Saisie!O377="OUI",1,Saisie!O377="NON",0)</f>
        <v>#N/A</v>
      </c>
      <c r="X377" s="63">
        <f>Saisie!P377</f>
        <v>0</v>
      </c>
      <c r="Y377" s="299">
        <f>Saisie!H377</f>
        <v>0</v>
      </c>
      <c r="Z377" s="58" t="e">
        <f>Saisie!#REF!</f>
        <v>#REF!</v>
      </c>
      <c r="AA377" s="299">
        <f>Saisie!Q377</f>
        <v>0</v>
      </c>
      <c r="AB377" s="63" t="e">
        <f t="array" ref="AB377">_xlfn.IFS(Saisie!R377="OUI",1,Saisie!R377="NON",0)</f>
        <v>#N/A</v>
      </c>
      <c r="AC377" s="63">
        <f>Saisie!S377</f>
        <v>0</v>
      </c>
      <c r="AD377" s="63" t="e">
        <f t="array" ref="AD377">_xlfn.IFS(Saisie!T377="OUI",1,Saisie!T377="NON",0)</f>
        <v>#N/A</v>
      </c>
      <c r="AE377" s="171">
        <f>Saisie!U377</f>
        <v>0</v>
      </c>
      <c r="AF377" s="262">
        <v>3</v>
      </c>
      <c r="AG377" s="129">
        <f>Saisie!W377</f>
        <v>0</v>
      </c>
      <c r="AH377" s="20">
        <f>Saisie!X377</f>
        <v>0</v>
      </c>
      <c r="AI377" s="21">
        <f>Saisie!Y377</f>
        <v>0</v>
      </c>
      <c r="AJ377" s="59">
        <f>Saisie!Z377</f>
        <v>0</v>
      </c>
      <c r="AK377" s="20">
        <f>Saisie!AA377</f>
        <v>0</v>
      </c>
      <c r="AL377" s="21">
        <f>Saisie!AB377</f>
        <v>0</v>
      </c>
      <c r="AM377" s="59">
        <f>Saisie!AC377</f>
        <v>0</v>
      </c>
      <c r="AN377" s="20">
        <f>Saisie!AD377</f>
        <v>0</v>
      </c>
      <c r="AO377" s="21">
        <f>Saisie!AE377</f>
        <v>0</v>
      </c>
      <c r="AP377" s="59">
        <f>Saisie!AF377</f>
        <v>0</v>
      </c>
      <c r="AQ377" s="129" t="e">
        <f t="array" ref="AQ377">_xlfn.IFS(Saisie!AG377="OUI",1,Saisie!AG377="NON",0)</f>
        <v>#N/A</v>
      </c>
      <c r="AR377" s="129" t="e">
        <f t="array" ref="AR377">_xlfn.IFS(Saisie!AH377="OUI",1,Saisie!AH377="NON",0)</f>
        <v>#N/A</v>
      </c>
      <c r="AS377" s="171">
        <f>Saisie!AI377</f>
        <v>0</v>
      </c>
      <c r="AT377" s="263" t="e">
        <f t="array" ref="AT377">_xlfn.IFS(Saisie!AJ377="OUI",1,Saisie!AJ377="NON",0)</f>
        <v>#N/A</v>
      </c>
      <c r="AU377" s="173">
        <f>Saisie!AK377</f>
        <v>0</v>
      </c>
      <c r="AV377" s="263" t="e">
        <f t="array" ref="AV377">_xlfn.IFS(Saisie!AL377="OUI",1,Saisie!AL377="NON",0)</f>
        <v>#N/A</v>
      </c>
      <c r="AW377" s="171">
        <f>Saisie!AM377</f>
        <v>0</v>
      </c>
      <c r="AX377" s="68">
        <f>Saisie!AN377</f>
        <v>0</v>
      </c>
      <c r="AY377" s="20">
        <f>Saisie!AO377</f>
        <v>0</v>
      </c>
      <c r="AZ377" s="21">
        <f>Saisie!AP377</f>
        <v>0</v>
      </c>
      <c r="BA377" s="298">
        <f>Saisie!AQ377</f>
        <v>0</v>
      </c>
      <c r="BB377" s="170">
        <f>Saisie!AR377</f>
        <v>0</v>
      </c>
      <c r="BC377" s="174">
        <f>Saisie!AS377</f>
        <v>0</v>
      </c>
      <c r="BD377" s="61">
        <f>Saisie!AT377</f>
        <v>0</v>
      </c>
      <c r="BE377" s="175" t="e">
        <f t="array" ref="BE377">_xlfn.IFS(Saisie!AU377="OUI",1,Saisie!AU377="NON",0)</f>
        <v>#N/A</v>
      </c>
      <c r="BF377" s="267">
        <f>Saisie!AV377</f>
        <v>0</v>
      </c>
      <c r="BG377" s="55">
        <f>Saisie!AW377</f>
        <v>0</v>
      </c>
      <c r="BH377" s="55" t="e">
        <f t="array" ref="BH377">_xlfn.IFS(Saisie!AX377="OUI",1,Saisie!AX377="NON",0)</f>
        <v>#N/A</v>
      </c>
      <c r="BI377" s="62">
        <f>Saisie!AY377</f>
        <v>0</v>
      </c>
      <c r="BJ377" s="55" t="e">
        <f t="array" ref="BJ377">_xlfn.IFS(Saisie!AZ377="OUI",1,Saisie!AZ377="NON",0)</f>
        <v>#N/A</v>
      </c>
      <c r="BK377" s="55" t="e">
        <f t="array" ref="BK377">_xlfn.IFS(Saisie!BA377="OUI",1,Saisie!BA377="NON",0)</f>
        <v>#N/A</v>
      </c>
      <c r="BL377" s="55">
        <f>Saisie!BB377</f>
        <v>0</v>
      </c>
      <c r="BM377" s="49" t="e">
        <f>Saisie!BC377</f>
        <v>#REF!</v>
      </c>
      <c r="BN377" s="175"/>
    </row>
    <row r="378" spans="1:66" s="176" customFormat="1" x14ac:dyDescent="0.45">
      <c r="A378" s="12">
        <v>373</v>
      </c>
      <c r="B378" s="150">
        <f>Saisie!B378</f>
        <v>0</v>
      </c>
      <c r="C378" s="150">
        <f>Saisie!C378</f>
        <v>0</v>
      </c>
      <c r="D378" s="150">
        <f>Saisie!D378</f>
        <v>0</v>
      </c>
      <c r="E378" s="150">
        <f>Saisie!E378</f>
        <v>0</v>
      </c>
      <c r="F378" s="150">
        <f>Saisie!F378</f>
        <v>0</v>
      </c>
      <c r="G378" s="150">
        <f>Saisie!G378</f>
        <v>0</v>
      </c>
      <c r="H378" s="150">
        <f>Saisie!I378</f>
        <v>0</v>
      </c>
      <c r="I378" s="150">
        <f>Saisie!J378</f>
        <v>0</v>
      </c>
      <c r="J378" s="150">
        <f>Saisie!K378</f>
        <v>0</v>
      </c>
      <c r="K378" s="150">
        <f>Saisie!L378</f>
        <v>0</v>
      </c>
      <c r="L378" s="150" t="e">
        <f>Saisie!#REF!</f>
        <v>#REF!</v>
      </c>
      <c r="M378" s="55" t="e">
        <f t="array" ref="M378">_xlfn.IFS(Saisie!M378="OUI",1,Saisie!M378="NON",0)</f>
        <v>#N/A</v>
      </c>
      <c r="N378" s="64" t="e">
        <f>Saisie!#REF!</f>
        <v>#REF!</v>
      </c>
      <c r="O378" s="63" t="e">
        <f>Saisie!#REF!</f>
        <v>#REF!</v>
      </c>
      <c r="P378" s="63">
        <f>Saisie!N378</f>
        <v>0</v>
      </c>
      <c r="Q378" s="63" t="e">
        <f t="array" ref="Q378">_xlfn.IFS(Saisie!#REF!="OUI",1,Saisie!#REF!="NON",0)</f>
        <v>#REF!</v>
      </c>
      <c r="R378" s="63" t="e">
        <f>Saisie!#REF!</f>
        <v>#REF!</v>
      </c>
      <c r="S378" s="65" t="e">
        <f>Saisie!#REF!</f>
        <v>#REF!</v>
      </c>
      <c r="T378" s="63" t="e">
        <f>Saisie!#REF!</f>
        <v>#REF!</v>
      </c>
      <c r="U378" s="63" t="e">
        <f>Saisie!#REF!</f>
        <v>#REF!</v>
      </c>
      <c r="V378" s="63" t="e">
        <f t="array" ref="V378">_xlfn.IFS(Saisie!#REF!="OUI",1,Saisie!#REF!="NON",0)</f>
        <v>#REF!</v>
      </c>
      <c r="W378" s="63" t="e">
        <f t="array" ref="W378">_xlfn.IFS(Saisie!O378="OUI",1,Saisie!O378="NON",0)</f>
        <v>#N/A</v>
      </c>
      <c r="X378" s="63">
        <f>Saisie!P378</f>
        <v>0</v>
      </c>
      <c r="Y378" s="299">
        <f>Saisie!H378</f>
        <v>0</v>
      </c>
      <c r="Z378" s="58" t="e">
        <f>Saisie!#REF!</f>
        <v>#REF!</v>
      </c>
      <c r="AA378" s="299">
        <f>Saisie!Q378</f>
        <v>0</v>
      </c>
      <c r="AB378" s="63" t="e">
        <f t="array" ref="AB378">_xlfn.IFS(Saisie!R378="OUI",1,Saisie!R378="NON",0)</f>
        <v>#N/A</v>
      </c>
      <c r="AC378" s="63">
        <f>Saisie!S378</f>
        <v>0</v>
      </c>
      <c r="AD378" s="63" t="e">
        <f t="array" ref="AD378">_xlfn.IFS(Saisie!T378="OUI",1,Saisie!T378="NON",0)</f>
        <v>#N/A</v>
      </c>
      <c r="AE378" s="171">
        <f>Saisie!U378</f>
        <v>0</v>
      </c>
      <c r="AF378" s="262">
        <v>3</v>
      </c>
      <c r="AG378" s="129">
        <f>Saisie!W378</f>
        <v>0</v>
      </c>
      <c r="AH378" s="20">
        <f>Saisie!X378</f>
        <v>0</v>
      </c>
      <c r="AI378" s="21">
        <f>Saisie!Y378</f>
        <v>0</v>
      </c>
      <c r="AJ378" s="59">
        <f>Saisie!Z378</f>
        <v>0</v>
      </c>
      <c r="AK378" s="20">
        <f>Saisie!AA378</f>
        <v>0</v>
      </c>
      <c r="AL378" s="21">
        <f>Saisie!AB378</f>
        <v>0</v>
      </c>
      <c r="AM378" s="59">
        <f>Saisie!AC378</f>
        <v>0</v>
      </c>
      <c r="AN378" s="20">
        <f>Saisie!AD378</f>
        <v>0</v>
      </c>
      <c r="AO378" s="21">
        <f>Saisie!AE378</f>
        <v>0</v>
      </c>
      <c r="AP378" s="59">
        <f>Saisie!AF378</f>
        <v>0</v>
      </c>
      <c r="AQ378" s="129" t="e">
        <f t="array" ref="AQ378">_xlfn.IFS(Saisie!AG378="OUI",1,Saisie!AG378="NON",0)</f>
        <v>#N/A</v>
      </c>
      <c r="AR378" s="129" t="e">
        <f t="array" ref="AR378">_xlfn.IFS(Saisie!AH378="OUI",1,Saisie!AH378="NON",0)</f>
        <v>#N/A</v>
      </c>
      <c r="AS378" s="171">
        <f>Saisie!AI378</f>
        <v>0</v>
      </c>
      <c r="AT378" s="263" t="e">
        <f t="array" ref="AT378">_xlfn.IFS(Saisie!AJ378="OUI",1,Saisie!AJ378="NON",0)</f>
        <v>#N/A</v>
      </c>
      <c r="AU378" s="173">
        <f>Saisie!AK378</f>
        <v>0</v>
      </c>
      <c r="AV378" s="263" t="e">
        <f t="array" ref="AV378">_xlfn.IFS(Saisie!AL378="OUI",1,Saisie!AL378="NON",0)</f>
        <v>#N/A</v>
      </c>
      <c r="AW378" s="171">
        <f>Saisie!AM378</f>
        <v>0</v>
      </c>
      <c r="AX378" s="68">
        <f>Saisie!AN378</f>
        <v>0</v>
      </c>
      <c r="AY378" s="20">
        <f>Saisie!AO378</f>
        <v>0</v>
      </c>
      <c r="AZ378" s="21">
        <f>Saisie!AP378</f>
        <v>0</v>
      </c>
      <c r="BA378" s="298">
        <f>Saisie!AQ378</f>
        <v>0</v>
      </c>
      <c r="BB378" s="170">
        <f>Saisie!AR378</f>
        <v>0</v>
      </c>
      <c r="BC378" s="174">
        <f>Saisie!AS378</f>
        <v>0</v>
      </c>
      <c r="BD378" s="61">
        <f>Saisie!AT378</f>
        <v>0</v>
      </c>
      <c r="BE378" s="175" t="e">
        <f t="array" ref="BE378">_xlfn.IFS(Saisie!AU378="OUI",1,Saisie!AU378="NON",0)</f>
        <v>#N/A</v>
      </c>
      <c r="BF378" s="267">
        <f>Saisie!AV378</f>
        <v>0</v>
      </c>
      <c r="BG378" s="55">
        <f>Saisie!AW378</f>
        <v>0</v>
      </c>
      <c r="BH378" s="55" t="e">
        <f t="array" ref="BH378">_xlfn.IFS(Saisie!AX378="OUI",1,Saisie!AX378="NON",0)</f>
        <v>#N/A</v>
      </c>
      <c r="BI378" s="62">
        <f>Saisie!AY378</f>
        <v>0</v>
      </c>
      <c r="BJ378" s="55" t="e">
        <f t="array" ref="BJ378">_xlfn.IFS(Saisie!AZ378="OUI",1,Saisie!AZ378="NON",0)</f>
        <v>#N/A</v>
      </c>
      <c r="BK378" s="55" t="e">
        <f t="array" ref="BK378">_xlfn.IFS(Saisie!BA378="OUI",1,Saisie!BA378="NON",0)</f>
        <v>#N/A</v>
      </c>
      <c r="BL378" s="55">
        <f>Saisie!BB378</f>
        <v>0</v>
      </c>
      <c r="BM378" s="49" t="e">
        <f>Saisie!BC378</f>
        <v>#REF!</v>
      </c>
      <c r="BN378" s="175"/>
    </row>
    <row r="379" spans="1:66" s="176" customFormat="1" x14ac:dyDescent="0.45">
      <c r="A379" s="13">
        <v>374</v>
      </c>
      <c r="B379" s="150">
        <f>Saisie!B379</f>
        <v>0</v>
      </c>
      <c r="C379" s="150">
        <f>Saisie!C379</f>
        <v>0</v>
      </c>
      <c r="D379" s="150">
        <f>Saisie!D379</f>
        <v>0</v>
      </c>
      <c r="E379" s="150">
        <f>Saisie!E379</f>
        <v>0</v>
      </c>
      <c r="F379" s="150">
        <f>Saisie!F379</f>
        <v>0</v>
      </c>
      <c r="G379" s="150">
        <f>Saisie!G379</f>
        <v>0</v>
      </c>
      <c r="H379" s="150">
        <f>Saisie!I379</f>
        <v>0</v>
      </c>
      <c r="I379" s="150">
        <f>Saisie!J379</f>
        <v>0</v>
      </c>
      <c r="J379" s="150">
        <f>Saisie!K379</f>
        <v>0</v>
      </c>
      <c r="K379" s="150">
        <f>Saisie!L379</f>
        <v>0</v>
      </c>
      <c r="L379" s="150" t="e">
        <f>Saisie!#REF!</f>
        <v>#REF!</v>
      </c>
      <c r="M379" s="55" t="e">
        <f t="array" ref="M379">_xlfn.IFS(Saisie!M379="OUI",1,Saisie!M379="NON",0)</f>
        <v>#N/A</v>
      </c>
      <c r="N379" s="64" t="e">
        <f>Saisie!#REF!</f>
        <v>#REF!</v>
      </c>
      <c r="O379" s="63" t="e">
        <f>Saisie!#REF!</f>
        <v>#REF!</v>
      </c>
      <c r="P379" s="63">
        <f>Saisie!N379</f>
        <v>0</v>
      </c>
      <c r="Q379" s="63" t="e">
        <f t="array" ref="Q379">_xlfn.IFS(Saisie!#REF!="OUI",1,Saisie!#REF!="NON",0)</f>
        <v>#REF!</v>
      </c>
      <c r="R379" s="63" t="e">
        <f>Saisie!#REF!</f>
        <v>#REF!</v>
      </c>
      <c r="S379" s="65" t="e">
        <f>Saisie!#REF!</f>
        <v>#REF!</v>
      </c>
      <c r="T379" s="63" t="e">
        <f>Saisie!#REF!</f>
        <v>#REF!</v>
      </c>
      <c r="U379" s="63" t="e">
        <f>Saisie!#REF!</f>
        <v>#REF!</v>
      </c>
      <c r="V379" s="63" t="e">
        <f t="array" ref="V379">_xlfn.IFS(Saisie!#REF!="OUI",1,Saisie!#REF!="NON",0)</f>
        <v>#REF!</v>
      </c>
      <c r="W379" s="63" t="e">
        <f t="array" ref="W379">_xlfn.IFS(Saisie!O379="OUI",1,Saisie!O379="NON",0)</f>
        <v>#N/A</v>
      </c>
      <c r="X379" s="63">
        <f>Saisie!P379</f>
        <v>0</v>
      </c>
      <c r="Y379" s="299">
        <f>Saisie!H379</f>
        <v>0</v>
      </c>
      <c r="Z379" s="58" t="e">
        <f>Saisie!#REF!</f>
        <v>#REF!</v>
      </c>
      <c r="AA379" s="299">
        <f>Saisie!Q379</f>
        <v>0</v>
      </c>
      <c r="AB379" s="63" t="e">
        <f t="array" ref="AB379">_xlfn.IFS(Saisie!R379="OUI",1,Saisie!R379="NON",0)</f>
        <v>#N/A</v>
      </c>
      <c r="AC379" s="63">
        <f>Saisie!S379</f>
        <v>0</v>
      </c>
      <c r="AD379" s="63" t="e">
        <f t="array" ref="AD379">_xlfn.IFS(Saisie!T379="OUI",1,Saisie!T379="NON",0)</f>
        <v>#N/A</v>
      </c>
      <c r="AE379" s="171">
        <f>Saisie!U379</f>
        <v>0</v>
      </c>
      <c r="AF379" s="262">
        <v>3</v>
      </c>
      <c r="AG379" s="129">
        <f>Saisie!W379</f>
        <v>0</v>
      </c>
      <c r="AH379" s="20">
        <f>Saisie!X379</f>
        <v>0</v>
      </c>
      <c r="AI379" s="21">
        <f>Saisie!Y379</f>
        <v>0</v>
      </c>
      <c r="AJ379" s="59">
        <f>Saisie!Z379</f>
        <v>0</v>
      </c>
      <c r="AK379" s="20">
        <f>Saisie!AA379</f>
        <v>0</v>
      </c>
      <c r="AL379" s="21">
        <f>Saisie!AB379</f>
        <v>0</v>
      </c>
      <c r="AM379" s="59">
        <f>Saisie!AC379</f>
        <v>0</v>
      </c>
      <c r="AN379" s="20">
        <f>Saisie!AD379</f>
        <v>0</v>
      </c>
      <c r="AO379" s="21">
        <f>Saisie!AE379</f>
        <v>0</v>
      </c>
      <c r="AP379" s="59">
        <f>Saisie!AF379</f>
        <v>0</v>
      </c>
      <c r="AQ379" s="129" t="e">
        <f t="array" ref="AQ379">_xlfn.IFS(Saisie!AG379="OUI",1,Saisie!AG379="NON",0)</f>
        <v>#N/A</v>
      </c>
      <c r="AR379" s="129" t="e">
        <f t="array" ref="AR379">_xlfn.IFS(Saisie!AH379="OUI",1,Saisie!AH379="NON",0)</f>
        <v>#N/A</v>
      </c>
      <c r="AS379" s="171">
        <f>Saisie!AI379</f>
        <v>0</v>
      </c>
      <c r="AT379" s="263" t="e">
        <f t="array" ref="AT379">_xlfn.IFS(Saisie!AJ379="OUI",1,Saisie!AJ379="NON",0)</f>
        <v>#N/A</v>
      </c>
      <c r="AU379" s="173">
        <f>Saisie!AK379</f>
        <v>0</v>
      </c>
      <c r="AV379" s="263" t="e">
        <f t="array" ref="AV379">_xlfn.IFS(Saisie!AL379="OUI",1,Saisie!AL379="NON",0)</f>
        <v>#N/A</v>
      </c>
      <c r="AW379" s="171">
        <f>Saisie!AM379</f>
        <v>0</v>
      </c>
      <c r="AX379" s="68">
        <f>Saisie!AN379</f>
        <v>0</v>
      </c>
      <c r="AY379" s="20">
        <f>Saisie!AO379</f>
        <v>0</v>
      </c>
      <c r="AZ379" s="21">
        <f>Saisie!AP379</f>
        <v>0</v>
      </c>
      <c r="BA379" s="298">
        <f>Saisie!AQ379</f>
        <v>0</v>
      </c>
      <c r="BB379" s="170">
        <f>Saisie!AR379</f>
        <v>0</v>
      </c>
      <c r="BC379" s="174">
        <f>Saisie!AS379</f>
        <v>0</v>
      </c>
      <c r="BD379" s="61">
        <f>Saisie!AT379</f>
        <v>0</v>
      </c>
      <c r="BE379" s="175" t="e">
        <f t="array" ref="BE379">_xlfn.IFS(Saisie!AU379="OUI",1,Saisie!AU379="NON",0)</f>
        <v>#N/A</v>
      </c>
      <c r="BF379" s="267">
        <f>Saisie!AV379</f>
        <v>0</v>
      </c>
      <c r="BG379" s="55">
        <f>Saisie!AW379</f>
        <v>0</v>
      </c>
      <c r="BH379" s="55" t="e">
        <f t="array" ref="BH379">_xlfn.IFS(Saisie!AX379="OUI",1,Saisie!AX379="NON",0)</f>
        <v>#N/A</v>
      </c>
      <c r="BI379" s="62">
        <f>Saisie!AY379</f>
        <v>0</v>
      </c>
      <c r="BJ379" s="55" t="e">
        <f t="array" ref="BJ379">_xlfn.IFS(Saisie!AZ379="OUI",1,Saisie!AZ379="NON",0)</f>
        <v>#N/A</v>
      </c>
      <c r="BK379" s="55" t="e">
        <f t="array" ref="BK379">_xlfn.IFS(Saisie!BA379="OUI",1,Saisie!BA379="NON",0)</f>
        <v>#N/A</v>
      </c>
      <c r="BL379" s="55">
        <f>Saisie!BB379</f>
        <v>0</v>
      </c>
      <c r="BM379" s="49" t="e">
        <f>Saisie!BC379</f>
        <v>#REF!</v>
      </c>
      <c r="BN379" s="175"/>
    </row>
    <row r="380" spans="1:66" s="176" customFormat="1" x14ac:dyDescent="0.45">
      <c r="A380" s="13">
        <v>375</v>
      </c>
      <c r="B380" s="150">
        <f>Saisie!B380</f>
        <v>0</v>
      </c>
      <c r="C380" s="150">
        <f>Saisie!C380</f>
        <v>0</v>
      </c>
      <c r="D380" s="150">
        <f>Saisie!D380</f>
        <v>0</v>
      </c>
      <c r="E380" s="150">
        <f>Saisie!E380</f>
        <v>0</v>
      </c>
      <c r="F380" s="150">
        <f>Saisie!F380</f>
        <v>0</v>
      </c>
      <c r="G380" s="150">
        <f>Saisie!G380</f>
        <v>0</v>
      </c>
      <c r="H380" s="150">
        <f>Saisie!I380</f>
        <v>0</v>
      </c>
      <c r="I380" s="150">
        <f>Saisie!J380</f>
        <v>0</v>
      </c>
      <c r="J380" s="150">
        <f>Saisie!K380</f>
        <v>0</v>
      </c>
      <c r="K380" s="150">
        <f>Saisie!L380</f>
        <v>0</v>
      </c>
      <c r="L380" s="150" t="e">
        <f>Saisie!#REF!</f>
        <v>#REF!</v>
      </c>
      <c r="M380" s="55" t="e">
        <f t="array" ref="M380">_xlfn.IFS(Saisie!M380="OUI",1,Saisie!M380="NON",0)</f>
        <v>#N/A</v>
      </c>
      <c r="N380" s="64" t="e">
        <f>Saisie!#REF!</f>
        <v>#REF!</v>
      </c>
      <c r="O380" s="63" t="e">
        <f>Saisie!#REF!</f>
        <v>#REF!</v>
      </c>
      <c r="P380" s="63">
        <f>Saisie!N380</f>
        <v>0</v>
      </c>
      <c r="Q380" s="63" t="e">
        <f t="array" ref="Q380">_xlfn.IFS(Saisie!#REF!="OUI",1,Saisie!#REF!="NON",0)</f>
        <v>#REF!</v>
      </c>
      <c r="R380" s="63" t="e">
        <f>Saisie!#REF!</f>
        <v>#REF!</v>
      </c>
      <c r="S380" s="65" t="e">
        <f>Saisie!#REF!</f>
        <v>#REF!</v>
      </c>
      <c r="T380" s="63" t="e">
        <f>Saisie!#REF!</f>
        <v>#REF!</v>
      </c>
      <c r="U380" s="63" t="e">
        <f>Saisie!#REF!</f>
        <v>#REF!</v>
      </c>
      <c r="V380" s="63" t="e">
        <f t="array" ref="V380">_xlfn.IFS(Saisie!#REF!="OUI",1,Saisie!#REF!="NON",0)</f>
        <v>#REF!</v>
      </c>
      <c r="W380" s="63" t="e">
        <f t="array" ref="W380">_xlfn.IFS(Saisie!O380="OUI",1,Saisie!O380="NON",0)</f>
        <v>#N/A</v>
      </c>
      <c r="X380" s="63">
        <f>Saisie!P380</f>
        <v>0</v>
      </c>
      <c r="Y380" s="299">
        <f>Saisie!H380</f>
        <v>0</v>
      </c>
      <c r="Z380" s="58" t="e">
        <f>Saisie!#REF!</f>
        <v>#REF!</v>
      </c>
      <c r="AA380" s="299">
        <f>Saisie!Q380</f>
        <v>0</v>
      </c>
      <c r="AB380" s="63" t="e">
        <f t="array" ref="AB380">_xlfn.IFS(Saisie!R380="OUI",1,Saisie!R380="NON",0)</f>
        <v>#N/A</v>
      </c>
      <c r="AC380" s="63">
        <f>Saisie!S380</f>
        <v>0</v>
      </c>
      <c r="AD380" s="63" t="e">
        <f t="array" ref="AD380">_xlfn.IFS(Saisie!T380="OUI",1,Saisie!T380="NON",0)</f>
        <v>#N/A</v>
      </c>
      <c r="AE380" s="171">
        <f>Saisie!U380</f>
        <v>0</v>
      </c>
      <c r="AF380" s="262">
        <v>3</v>
      </c>
      <c r="AG380" s="129">
        <f>Saisie!W380</f>
        <v>0</v>
      </c>
      <c r="AH380" s="20">
        <f>Saisie!X380</f>
        <v>0</v>
      </c>
      <c r="AI380" s="21">
        <f>Saisie!Y380</f>
        <v>0</v>
      </c>
      <c r="AJ380" s="59">
        <f>Saisie!Z380</f>
        <v>0</v>
      </c>
      <c r="AK380" s="20">
        <f>Saisie!AA380</f>
        <v>0</v>
      </c>
      <c r="AL380" s="21">
        <f>Saisie!AB380</f>
        <v>0</v>
      </c>
      <c r="AM380" s="59">
        <f>Saisie!AC380</f>
        <v>0</v>
      </c>
      <c r="AN380" s="20">
        <f>Saisie!AD380</f>
        <v>0</v>
      </c>
      <c r="AO380" s="21">
        <f>Saisie!AE380</f>
        <v>0</v>
      </c>
      <c r="AP380" s="59">
        <f>Saisie!AF380</f>
        <v>0</v>
      </c>
      <c r="AQ380" s="129" t="e">
        <f t="array" ref="AQ380">_xlfn.IFS(Saisie!AG380="OUI",1,Saisie!AG380="NON",0)</f>
        <v>#N/A</v>
      </c>
      <c r="AR380" s="129" t="e">
        <f t="array" ref="AR380">_xlfn.IFS(Saisie!AH380="OUI",1,Saisie!AH380="NON",0)</f>
        <v>#N/A</v>
      </c>
      <c r="AS380" s="171">
        <f>Saisie!AI380</f>
        <v>0</v>
      </c>
      <c r="AT380" s="263" t="e">
        <f t="array" ref="AT380">_xlfn.IFS(Saisie!AJ380="OUI",1,Saisie!AJ380="NON",0)</f>
        <v>#N/A</v>
      </c>
      <c r="AU380" s="173">
        <f>Saisie!AK380</f>
        <v>0</v>
      </c>
      <c r="AV380" s="263" t="e">
        <f t="array" ref="AV380">_xlfn.IFS(Saisie!AL380="OUI",1,Saisie!AL380="NON",0)</f>
        <v>#N/A</v>
      </c>
      <c r="AW380" s="171">
        <f>Saisie!AM380</f>
        <v>0</v>
      </c>
      <c r="AX380" s="68">
        <f>Saisie!AN380</f>
        <v>0</v>
      </c>
      <c r="AY380" s="20">
        <f>Saisie!AO380</f>
        <v>0</v>
      </c>
      <c r="AZ380" s="21">
        <f>Saisie!AP380</f>
        <v>0</v>
      </c>
      <c r="BA380" s="298">
        <f>Saisie!AQ380</f>
        <v>0</v>
      </c>
      <c r="BB380" s="170">
        <f>Saisie!AR380</f>
        <v>0</v>
      </c>
      <c r="BC380" s="174">
        <f>Saisie!AS380</f>
        <v>0</v>
      </c>
      <c r="BD380" s="61">
        <f>Saisie!AT380</f>
        <v>0</v>
      </c>
      <c r="BE380" s="175" t="e">
        <f t="array" ref="BE380">_xlfn.IFS(Saisie!AU380="OUI",1,Saisie!AU380="NON",0)</f>
        <v>#N/A</v>
      </c>
      <c r="BF380" s="267">
        <f>Saisie!AV380</f>
        <v>0</v>
      </c>
      <c r="BG380" s="55">
        <f>Saisie!AW380</f>
        <v>0</v>
      </c>
      <c r="BH380" s="55" t="e">
        <f t="array" ref="BH380">_xlfn.IFS(Saisie!AX380="OUI",1,Saisie!AX380="NON",0)</f>
        <v>#N/A</v>
      </c>
      <c r="BI380" s="62">
        <f>Saisie!AY380</f>
        <v>0</v>
      </c>
      <c r="BJ380" s="55" t="e">
        <f t="array" ref="BJ380">_xlfn.IFS(Saisie!AZ380="OUI",1,Saisie!AZ380="NON",0)</f>
        <v>#N/A</v>
      </c>
      <c r="BK380" s="55" t="e">
        <f t="array" ref="BK380">_xlfn.IFS(Saisie!BA380="OUI",1,Saisie!BA380="NON",0)</f>
        <v>#N/A</v>
      </c>
      <c r="BL380" s="55">
        <f>Saisie!BB380</f>
        <v>0</v>
      </c>
      <c r="BM380" s="49" t="e">
        <f>Saisie!BC380</f>
        <v>#REF!</v>
      </c>
      <c r="BN380" s="175"/>
    </row>
    <row r="381" spans="1:66" s="176" customFormat="1" x14ac:dyDescent="0.45">
      <c r="A381" s="12">
        <v>376</v>
      </c>
      <c r="B381" s="150">
        <f>Saisie!B381</f>
        <v>0</v>
      </c>
      <c r="C381" s="150">
        <f>Saisie!C381</f>
        <v>0</v>
      </c>
      <c r="D381" s="150">
        <f>Saisie!D381</f>
        <v>0</v>
      </c>
      <c r="E381" s="150">
        <f>Saisie!E381</f>
        <v>0</v>
      </c>
      <c r="F381" s="150">
        <f>Saisie!F381</f>
        <v>0</v>
      </c>
      <c r="G381" s="150">
        <f>Saisie!G381</f>
        <v>0</v>
      </c>
      <c r="H381" s="150">
        <f>Saisie!I381</f>
        <v>0</v>
      </c>
      <c r="I381" s="150">
        <f>Saisie!J381</f>
        <v>0</v>
      </c>
      <c r="J381" s="150">
        <f>Saisie!K381</f>
        <v>0</v>
      </c>
      <c r="K381" s="150">
        <f>Saisie!L381</f>
        <v>0</v>
      </c>
      <c r="L381" s="150" t="e">
        <f>Saisie!#REF!</f>
        <v>#REF!</v>
      </c>
      <c r="M381" s="55" t="e">
        <f t="array" ref="M381">_xlfn.IFS(Saisie!M381="OUI",1,Saisie!M381="NON",0)</f>
        <v>#N/A</v>
      </c>
      <c r="N381" s="64" t="e">
        <f>Saisie!#REF!</f>
        <v>#REF!</v>
      </c>
      <c r="O381" s="63" t="e">
        <f>Saisie!#REF!</f>
        <v>#REF!</v>
      </c>
      <c r="P381" s="63">
        <f>Saisie!N381</f>
        <v>0</v>
      </c>
      <c r="Q381" s="63" t="e">
        <f t="array" ref="Q381">_xlfn.IFS(Saisie!#REF!="OUI",1,Saisie!#REF!="NON",0)</f>
        <v>#REF!</v>
      </c>
      <c r="R381" s="63" t="e">
        <f>Saisie!#REF!</f>
        <v>#REF!</v>
      </c>
      <c r="S381" s="65" t="e">
        <f>Saisie!#REF!</f>
        <v>#REF!</v>
      </c>
      <c r="T381" s="63" t="e">
        <f>Saisie!#REF!</f>
        <v>#REF!</v>
      </c>
      <c r="U381" s="63" t="e">
        <f>Saisie!#REF!</f>
        <v>#REF!</v>
      </c>
      <c r="V381" s="63" t="e">
        <f t="array" ref="V381">_xlfn.IFS(Saisie!#REF!="OUI",1,Saisie!#REF!="NON",0)</f>
        <v>#REF!</v>
      </c>
      <c r="W381" s="63" t="e">
        <f t="array" ref="W381">_xlfn.IFS(Saisie!O381="OUI",1,Saisie!O381="NON",0)</f>
        <v>#N/A</v>
      </c>
      <c r="X381" s="63">
        <f>Saisie!P381</f>
        <v>0</v>
      </c>
      <c r="Y381" s="299">
        <f>Saisie!H381</f>
        <v>0</v>
      </c>
      <c r="Z381" s="58" t="e">
        <f>Saisie!#REF!</f>
        <v>#REF!</v>
      </c>
      <c r="AA381" s="299">
        <f>Saisie!Q381</f>
        <v>0</v>
      </c>
      <c r="AB381" s="63" t="e">
        <f t="array" ref="AB381">_xlfn.IFS(Saisie!R381="OUI",1,Saisie!R381="NON",0)</f>
        <v>#N/A</v>
      </c>
      <c r="AC381" s="63">
        <f>Saisie!S381</f>
        <v>0</v>
      </c>
      <c r="AD381" s="63" t="e">
        <f t="array" ref="AD381">_xlfn.IFS(Saisie!T381="OUI",1,Saisie!T381="NON",0)</f>
        <v>#N/A</v>
      </c>
      <c r="AE381" s="171">
        <f>Saisie!U381</f>
        <v>0</v>
      </c>
      <c r="AF381" s="262">
        <v>3</v>
      </c>
      <c r="AG381" s="129">
        <f>Saisie!W381</f>
        <v>0</v>
      </c>
      <c r="AH381" s="20">
        <f>Saisie!X381</f>
        <v>0</v>
      </c>
      <c r="AI381" s="21">
        <f>Saisie!Y381</f>
        <v>0</v>
      </c>
      <c r="AJ381" s="59">
        <f>Saisie!Z381</f>
        <v>0</v>
      </c>
      <c r="AK381" s="20">
        <f>Saisie!AA381</f>
        <v>0</v>
      </c>
      <c r="AL381" s="21">
        <f>Saisie!AB381</f>
        <v>0</v>
      </c>
      <c r="AM381" s="59">
        <f>Saisie!AC381</f>
        <v>0</v>
      </c>
      <c r="AN381" s="20">
        <f>Saisie!AD381</f>
        <v>0</v>
      </c>
      <c r="AO381" s="21">
        <f>Saisie!AE381</f>
        <v>0</v>
      </c>
      <c r="AP381" s="59">
        <f>Saisie!AF381</f>
        <v>0</v>
      </c>
      <c r="AQ381" s="129" t="e">
        <f t="array" ref="AQ381">_xlfn.IFS(Saisie!AG381="OUI",1,Saisie!AG381="NON",0)</f>
        <v>#N/A</v>
      </c>
      <c r="AR381" s="129" t="e">
        <f t="array" ref="AR381">_xlfn.IFS(Saisie!AH381="OUI",1,Saisie!AH381="NON",0)</f>
        <v>#N/A</v>
      </c>
      <c r="AS381" s="171">
        <f>Saisie!AI381</f>
        <v>0</v>
      </c>
      <c r="AT381" s="263" t="e">
        <f t="array" ref="AT381">_xlfn.IFS(Saisie!AJ381="OUI",1,Saisie!AJ381="NON",0)</f>
        <v>#N/A</v>
      </c>
      <c r="AU381" s="173">
        <f>Saisie!AK381</f>
        <v>0</v>
      </c>
      <c r="AV381" s="263" t="e">
        <f t="array" ref="AV381">_xlfn.IFS(Saisie!AL381="OUI",1,Saisie!AL381="NON",0)</f>
        <v>#N/A</v>
      </c>
      <c r="AW381" s="171">
        <f>Saisie!AM381</f>
        <v>0</v>
      </c>
      <c r="AX381" s="68">
        <f>Saisie!AN381</f>
        <v>0</v>
      </c>
      <c r="AY381" s="20">
        <f>Saisie!AO381</f>
        <v>0</v>
      </c>
      <c r="AZ381" s="21">
        <f>Saisie!AP381</f>
        <v>0</v>
      </c>
      <c r="BA381" s="298">
        <f>Saisie!AQ381</f>
        <v>0</v>
      </c>
      <c r="BB381" s="170">
        <f>Saisie!AR381</f>
        <v>0</v>
      </c>
      <c r="BC381" s="174">
        <f>Saisie!AS381</f>
        <v>0</v>
      </c>
      <c r="BD381" s="61">
        <f>Saisie!AT381</f>
        <v>0</v>
      </c>
      <c r="BE381" s="175" t="e">
        <f t="array" ref="BE381">_xlfn.IFS(Saisie!AU381="OUI",1,Saisie!AU381="NON",0)</f>
        <v>#N/A</v>
      </c>
      <c r="BF381" s="267">
        <f>Saisie!AV381</f>
        <v>0</v>
      </c>
      <c r="BG381" s="55">
        <f>Saisie!AW381</f>
        <v>0</v>
      </c>
      <c r="BH381" s="55" t="e">
        <f t="array" ref="BH381">_xlfn.IFS(Saisie!AX381="OUI",1,Saisie!AX381="NON",0)</f>
        <v>#N/A</v>
      </c>
      <c r="BI381" s="62">
        <f>Saisie!AY381</f>
        <v>0</v>
      </c>
      <c r="BJ381" s="55" t="e">
        <f t="array" ref="BJ381">_xlfn.IFS(Saisie!AZ381="OUI",1,Saisie!AZ381="NON",0)</f>
        <v>#N/A</v>
      </c>
      <c r="BK381" s="55" t="e">
        <f t="array" ref="BK381">_xlfn.IFS(Saisie!BA381="OUI",1,Saisie!BA381="NON",0)</f>
        <v>#N/A</v>
      </c>
      <c r="BL381" s="55">
        <f>Saisie!BB381</f>
        <v>0</v>
      </c>
      <c r="BM381" s="49" t="e">
        <f>Saisie!BC381</f>
        <v>#REF!</v>
      </c>
      <c r="BN381" s="175"/>
    </row>
    <row r="382" spans="1:66" s="176" customFormat="1" x14ac:dyDescent="0.45">
      <c r="A382" s="13">
        <v>377</v>
      </c>
      <c r="B382" s="150">
        <f>Saisie!B382</f>
        <v>0</v>
      </c>
      <c r="C382" s="150">
        <f>Saisie!C382</f>
        <v>0</v>
      </c>
      <c r="D382" s="150">
        <f>Saisie!D382</f>
        <v>0</v>
      </c>
      <c r="E382" s="150">
        <f>Saisie!E382</f>
        <v>0</v>
      </c>
      <c r="F382" s="150">
        <f>Saisie!F382</f>
        <v>0</v>
      </c>
      <c r="G382" s="150">
        <f>Saisie!G382</f>
        <v>0</v>
      </c>
      <c r="H382" s="150">
        <f>Saisie!I382</f>
        <v>0</v>
      </c>
      <c r="I382" s="150">
        <f>Saisie!J382</f>
        <v>0</v>
      </c>
      <c r="J382" s="150">
        <f>Saisie!K382</f>
        <v>0</v>
      </c>
      <c r="K382" s="150">
        <f>Saisie!L382</f>
        <v>0</v>
      </c>
      <c r="L382" s="150" t="e">
        <f>Saisie!#REF!</f>
        <v>#REF!</v>
      </c>
      <c r="M382" s="55" t="e">
        <f t="array" ref="M382">_xlfn.IFS(Saisie!M382="OUI",1,Saisie!M382="NON",0)</f>
        <v>#N/A</v>
      </c>
      <c r="N382" s="64" t="e">
        <f>Saisie!#REF!</f>
        <v>#REF!</v>
      </c>
      <c r="O382" s="63" t="e">
        <f>Saisie!#REF!</f>
        <v>#REF!</v>
      </c>
      <c r="P382" s="63">
        <f>Saisie!N382</f>
        <v>0</v>
      </c>
      <c r="Q382" s="63" t="e">
        <f t="array" ref="Q382">_xlfn.IFS(Saisie!#REF!="OUI",1,Saisie!#REF!="NON",0)</f>
        <v>#REF!</v>
      </c>
      <c r="R382" s="63" t="e">
        <f>Saisie!#REF!</f>
        <v>#REF!</v>
      </c>
      <c r="S382" s="65" t="e">
        <f>Saisie!#REF!</f>
        <v>#REF!</v>
      </c>
      <c r="T382" s="63" t="e">
        <f>Saisie!#REF!</f>
        <v>#REF!</v>
      </c>
      <c r="U382" s="63" t="e">
        <f>Saisie!#REF!</f>
        <v>#REF!</v>
      </c>
      <c r="V382" s="63" t="e">
        <f t="array" ref="V382">_xlfn.IFS(Saisie!#REF!="OUI",1,Saisie!#REF!="NON",0)</f>
        <v>#REF!</v>
      </c>
      <c r="W382" s="63" t="e">
        <f t="array" ref="W382">_xlfn.IFS(Saisie!O382="OUI",1,Saisie!O382="NON",0)</f>
        <v>#N/A</v>
      </c>
      <c r="X382" s="63">
        <f>Saisie!P382</f>
        <v>0</v>
      </c>
      <c r="Y382" s="299">
        <f>Saisie!H382</f>
        <v>0</v>
      </c>
      <c r="Z382" s="58" t="e">
        <f>Saisie!#REF!</f>
        <v>#REF!</v>
      </c>
      <c r="AA382" s="299">
        <f>Saisie!Q382</f>
        <v>0</v>
      </c>
      <c r="AB382" s="63" t="e">
        <f t="array" ref="AB382">_xlfn.IFS(Saisie!R382="OUI",1,Saisie!R382="NON",0)</f>
        <v>#N/A</v>
      </c>
      <c r="AC382" s="63">
        <f>Saisie!S382</f>
        <v>0</v>
      </c>
      <c r="AD382" s="63" t="e">
        <f t="array" ref="AD382">_xlfn.IFS(Saisie!T382="OUI",1,Saisie!T382="NON",0)</f>
        <v>#N/A</v>
      </c>
      <c r="AE382" s="171">
        <f>Saisie!U382</f>
        <v>0</v>
      </c>
      <c r="AF382" s="262">
        <v>3</v>
      </c>
      <c r="AG382" s="129">
        <f>Saisie!W382</f>
        <v>0</v>
      </c>
      <c r="AH382" s="20">
        <f>Saisie!X382</f>
        <v>0</v>
      </c>
      <c r="AI382" s="21">
        <f>Saisie!Y382</f>
        <v>0</v>
      </c>
      <c r="AJ382" s="59">
        <f>Saisie!Z382</f>
        <v>0</v>
      </c>
      <c r="AK382" s="20">
        <f>Saisie!AA382</f>
        <v>0</v>
      </c>
      <c r="AL382" s="21">
        <f>Saisie!AB382</f>
        <v>0</v>
      </c>
      <c r="AM382" s="59">
        <f>Saisie!AC382</f>
        <v>0</v>
      </c>
      <c r="AN382" s="20">
        <f>Saisie!AD382</f>
        <v>0</v>
      </c>
      <c r="AO382" s="21">
        <f>Saisie!AE382</f>
        <v>0</v>
      </c>
      <c r="AP382" s="59">
        <f>Saisie!AF382</f>
        <v>0</v>
      </c>
      <c r="AQ382" s="129" t="e">
        <f t="array" ref="AQ382">_xlfn.IFS(Saisie!AG382="OUI",1,Saisie!AG382="NON",0)</f>
        <v>#N/A</v>
      </c>
      <c r="AR382" s="129" t="e">
        <f t="array" ref="AR382">_xlfn.IFS(Saisie!AH382="OUI",1,Saisie!AH382="NON",0)</f>
        <v>#N/A</v>
      </c>
      <c r="AS382" s="171">
        <f>Saisie!AI382</f>
        <v>0</v>
      </c>
      <c r="AT382" s="263" t="e">
        <f t="array" ref="AT382">_xlfn.IFS(Saisie!AJ382="OUI",1,Saisie!AJ382="NON",0)</f>
        <v>#N/A</v>
      </c>
      <c r="AU382" s="173">
        <f>Saisie!AK382</f>
        <v>0</v>
      </c>
      <c r="AV382" s="263" t="e">
        <f t="array" ref="AV382">_xlfn.IFS(Saisie!AL382="OUI",1,Saisie!AL382="NON",0)</f>
        <v>#N/A</v>
      </c>
      <c r="AW382" s="171">
        <f>Saisie!AM382</f>
        <v>0</v>
      </c>
      <c r="AX382" s="68">
        <f>Saisie!AN382</f>
        <v>0</v>
      </c>
      <c r="AY382" s="20">
        <f>Saisie!AO382</f>
        <v>0</v>
      </c>
      <c r="AZ382" s="21">
        <f>Saisie!AP382</f>
        <v>0</v>
      </c>
      <c r="BA382" s="298">
        <f>Saisie!AQ382</f>
        <v>0</v>
      </c>
      <c r="BB382" s="170">
        <f>Saisie!AR382</f>
        <v>0</v>
      </c>
      <c r="BC382" s="174">
        <f>Saisie!AS382</f>
        <v>0</v>
      </c>
      <c r="BD382" s="61">
        <f>Saisie!AT382</f>
        <v>0</v>
      </c>
      <c r="BE382" s="175" t="e">
        <f t="array" ref="BE382">_xlfn.IFS(Saisie!AU382="OUI",1,Saisie!AU382="NON",0)</f>
        <v>#N/A</v>
      </c>
      <c r="BF382" s="267">
        <f>Saisie!AV382</f>
        <v>0</v>
      </c>
      <c r="BG382" s="55">
        <f>Saisie!AW382</f>
        <v>0</v>
      </c>
      <c r="BH382" s="55" t="e">
        <f t="array" ref="BH382">_xlfn.IFS(Saisie!AX382="OUI",1,Saisie!AX382="NON",0)</f>
        <v>#N/A</v>
      </c>
      <c r="BI382" s="62">
        <f>Saisie!AY382</f>
        <v>0</v>
      </c>
      <c r="BJ382" s="55" t="e">
        <f t="array" ref="BJ382">_xlfn.IFS(Saisie!AZ382="OUI",1,Saisie!AZ382="NON",0)</f>
        <v>#N/A</v>
      </c>
      <c r="BK382" s="55" t="e">
        <f t="array" ref="BK382">_xlfn.IFS(Saisie!BA382="OUI",1,Saisie!BA382="NON",0)</f>
        <v>#N/A</v>
      </c>
      <c r="BL382" s="55">
        <f>Saisie!BB382</f>
        <v>0</v>
      </c>
      <c r="BM382" s="49" t="e">
        <f>Saisie!BC382</f>
        <v>#REF!</v>
      </c>
      <c r="BN382" s="175"/>
    </row>
    <row r="383" spans="1:66" s="176" customFormat="1" x14ac:dyDescent="0.45">
      <c r="A383" s="13">
        <v>378</v>
      </c>
      <c r="B383" s="150">
        <f>Saisie!B383</f>
        <v>0</v>
      </c>
      <c r="C383" s="150">
        <f>Saisie!C383</f>
        <v>0</v>
      </c>
      <c r="D383" s="150">
        <f>Saisie!D383</f>
        <v>0</v>
      </c>
      <c r="E383" s="150">
        <f>Saisie!E383</f>
        <v>0</v>
      </c>
      <c r="F383" s="150">
        <f>Saisie!F383</f>
        <v>0</v>
      </c>
      <c r="G383" s="150">
        <f>Saisie!G383</f>
        <v>0</v>
      </c>
      <c r="H383" s="150">
        <f>Saisie!I383</f>
        <v>0</v>
      </c>
      <c r="I383" s="150">
        <f>Saisie!J383</f>
        <v>0</v>
      </c>
      <c r="J383" s="150">
        <f>Saisie!K383</f>
        <v>0</v>
      </c>
      <c r="K383" s="150">
        <f>Saisie!L383</f>
        <v>0</v>
      </c>
      <c r="L383" s="150" t="e">
        <f>Saisie!#REF!</f>
        <v>#REF!</v>
      </c>
      <c r="M383" s="55" t="e">
        <f t="array" ref="M383">_xlfn.IFS(Saisie!M383="OUI",1,Saisie!M383="NON",0)</f>
        <v>#N/A</v>
      </c>
      <c r="N383" s="64" t="e">
        <f>Saisie!#REF!</f>
        <v>#REF!</v>
      </c>
      <c r="O383" s="63" t="e">
        <f>Saisie!#REF!</f>
        <v>#REF!</v>
      </c>
      <c r="P383" s="63">
        <f>Saisie!N383</f>
        <v>0</v>
      </c>
      <c r="Q383" s="63" t="e">
        <f t="array" ref="Q383">_xlfn.IFS(Saisie!#REF!="OUI",1,Saisie!#REF!="NON",0)</f>
        <v>#REF!</v>
      </c>
      <c r="R383" s="63" t="e">
        <f>Saisie!#REF!</f>
        <v>#REF!</v>
      </c>
      <c r="S383" s="65" t="e">
        <f>Saisie!#REF!</f>
        <v>#REF!</v>
      </c>
      <c r="T383" s="63" t="e">
        <f>Saisie!#REF!</f>
        <v>#REF!</v>
      </c>
      <c r="U383" s="63" t="e">
        <f>Saisie!#REF!</f>
        <v>#REF!</v>
      </c>
      <c r="V383" s="63" t="e">
        <f t="array" ref="V383">_xlfn.IFS(Saisie!#REF!="OUI",1,Saisie!#REF!="NON",0)</f>
        <v>#REF!</v>
      </c>
      <c r="W383" s="63" t="e">
        <f t="array" ref="W383">_xlfn.IFS(Saisie!O383="OUI",1,Saisie!O383="NON",0)</f>
        <v>#N/A</v>
      </c>
      <c r="X383" s="63">
        <f>Saisie!P383</f>
        <v>0</v>
      </c>
      <c r="Y383" s="299">
        <f>Saisie!H383</f>
        <v>0</v>
      </c>
      <c r="Z383" s="58" t="e">
        <f>Saisie!#REF!</f>
        <v>#REF!</v>
      </c>
      <c r="AA383" s="299">
        <f>Saisie!Q383</f>
        <v>0</v>
      </c>
      <c r="AB383" s="63" t="e">
        <f t="array" ref="AB383">_xlfn.IFS(Saisie!R383="OUI",1,Saisie!R383="NON",0)</f>
        <v>#N/A</v>
      </c>
      <c r="AC383" s="63">
        <f>Saisie!S383</f>
        <v>0</v>
      </c>
      <c r="AD383" s="63" t="e">
        <f t="array" ref="AD383">_xlfn.IFS(Saisie!T383="OUI",1,Saisie!T383="NON",0)</f>
        <v>#N/A</v>
      </c>
      <c r="AE383" s="171">
        <f>Saisie!U383</f>
        <v>0</v>
      </c>
      <c r="AF383" s="262">
        <v>3</v>
      </c>
      <c r="AG383" s="129">
        <f>Saisie!W383</f>
        <v>0</v>
      </c>
      <c r="AH383" s="20">
        <f>Saisie!X383</f>
        <v>0</v>
      </c>
      <c r="AI383" s="21">
        <f>Saisie!Y383</f>
        <v>0</v>
      </c>
      <c r="AJ383" s="59">
        <f>Saisie!Z383</f>
        <v>0</v>
      </c>
      <c r="AK383" s="20">
        <f>Saisie!AA383</f>
        <v>0</v>
      </c>
      <c r="AL383" s="21">
        <f>Saisie!AB383</f>
        <v>0</v>
      </c>
      <c r="AM383" s="59">
        <f>Saisie!AC383</f>
        <v>0</v>
      </c>
      <c r="AN383" s="20">
        <f>Saisie!AD383</f>
        <v>0</v>
      </c>
      <c r="AO383" s="21">
        <f>Saisie!AE383</f>
        <v>0</v>
      </c>
      <c r="AP383" s="59">
        <f>Saisie!AF383</f>
        <v>0</v>
      </c>
      <c r="AQ383" s="129" t="e">
        <f t="array" ref="AQ383">_xlfn.IFS(Saisie!AG383="OUI",1,Saisie!AG383="NON",0)</f>
        <v>#N/A</v>
      </c>
      <c r="AR383" s="129" t="e">
        <f t="array" ref="AR383">_xlfn.IFS(Saisie!AH383="OUI",1,Saisie!AH383="NON",0)</f>
        <v>#N/A</v>
      </c>
      <c r="AS383" s="171">
        <f>Saisie!AI383</f>
        <v>0</v>
      </c>
      <c r="AT383" s="263" t="e">
        <f t="array" ref="AT383">_xlfn.IFS(Saisie!AJ383="OUI",1,Saisie!AJ383="NON",0)</f>
        <v>#N/A</v>
      </c>
      <c r="AU383" s="173">
        <f>Saisie!AK383</f>
        <v>0</v>
      </c>
      <c r="AV383" s="263" t="e">
        <f t="array" ref="AV383">_xlfn.IFS(Saisie!AL383="OUI",1,Saisie!AL383="NON",0)</f>
        <v>#N/A</v>
      </c>
      <c r="AW383" s="171">
        <f>Saisie!AM383</f>
        <v>0</v>
      </c>
      <c r="AX383" s="68">
        <f>Saisie!AN383</f>
        <v>0</v>
      </c>
      <c r="AY383" s="20">
        <f>Saisie!AO383</f>
        <v>0</v>
      </c>
      <c r="AZ383" s="21">
        <f>Saisie!AP383</f>
        <v>0</v>
      </c>
      <c r="BA383" s="298">
        <f>Saisie!AQ383</f>
        <v>0</v>
      </c>
      <c r="BB383" s="170">
        <f>Saisie!AR383</f>
        <v>0</v>
      </c>
      <c r="BC383" s="174">
        <f>Saisie!AS383</f>
        <v>0</v>
      </c>
      <c r="BD383" s="61">
        <f>Saisie!AT383</f>
        <v>0</v>
      </c>
      <c r="BE383" s="175" t="e">
        <f t="array" ref="BE383">_xlfn.IFS(Saisie!AU383="OUI",1,Saisie!AU383="NON",0)</f>
        <v>#N/A</v>
      </c>
      <c r="BF383" s="267">
        <f>Saisie!AV383</f>
        <v>0</v>
      </c>
      <c r="BG383" s="55">
        <f>Saisie!AW383</f>
        <v>0</v>
      </c>
      <c r="BH383" s="55" t="e">
        <f t="array" ref="BH383">_xlfn.IFS(Saisie!AX383="OUI",1,Saisie!AX383="NON",0)</f>
        <v>#N/A</v>
      </c>
      <c r="BI383" s="62">
        <f>Saisie!AY383</f>
        <v>0</v>
      </c>
      <c r="BJ383" s="55" t="e">
        <f t="array" ref="BJ383">_xlfn.IFS(Saisie!AZ383="OUI",1,Saisie!AZ383="NON",0)</f>
        <v>#N/A</v>
      </c>
      <c r="BK383" s="55" t="e">
        <f t="array" ref="BK383">_xlfn.IFS(Saisie!BA383="OUI",1,Saisie!BA383="NON",0)</f>
        <v>#N/A</v>
      </c>
      <c r="BL383" s="55">
        <f>Saisie!BB383</f>
        <v>0</v>
      </c>
      <c r="BM383" s="49" t="e">
        <f>Saisie!BC383</f>
        <v>#REF!</v>
      </c>
      <c r="BN383" s="175"/>
    </row>
    <row r="384" spans="1:66" s="176" customFormat="1" x14ac:dyDescent="0.45">
      <c r="A384" s="12">
        <v>379</v>
      </c>
      <c r="B384" s="150">
        <f>Saisie!B384</f>
        <v>0</v>
      </c>
      <c r="C384" s="150">
        <f>Saisie!C384</f>
        <v>0</v>
      </c>
      <c r="D384" s="150">
        <f>Saisie!D384</f>
        <v>0</v>
      </c>
      <c r="E384" s="150">
        <f>Saisie!E384</f>
        <v>0</v>
      </c>
      <c r="F384" s="150">
        <f>Saisie!F384</f>
        <v>0</v>
      </c>
      <c r="G384" s="150">
        <f>Saisie!G384</f>
        <v>0</v>
      </c>
      <c r="H384" s="150">
        <f>Saisie!I384</f>
        <v>0</v>
      </c>
      <c r="I384" s="150">
        <f>Saisie!J384</f>
        <v>0</v>
      </c>
      <c r="J384" s="150">
        <f>Saisie!K384</f>
        <v>0</v>
      </c>
      <c r="K384" s="150">
        <f>Saisie!L384</f>
        <v>0</v>
      </c>
      <c r="L384" s="150" t="e">
        <f>Saisie!#REF!</f>
        <v>#REF!</v>
      </c>
      <c r="M384" s="55" t="e">
        <f t="array" ref="M384">_xlfn.IFS(Saisie!M384="OUI",1,Saisie!M384="NON",0)</f>
        <v>#N/A</v>
      </c>
      <c r="N384" s="64" t="e">
        <f>Saisie!#REF!</f>
        <v>#REF!</v>
      </c>
      <c r="O384" s="63" t="e">
        <f>Saisie!#REF!</f>
        <v>#REF!</v>
      </c>
      <c r="P384" s="63">
        <f>Saisie!N384</f>
        <v>0</v>
      </c>
      <c r="Q384" s="63" t="e">
        <f t="array" ref="Q384">_xlfn.IFS(Saisie!#REF!="OUI",1,Saisie!#REF!="NON",0)</f>
        <v>#REF!</v>
      </c>
      <c r="R384" s="63" t="e">
        <f>Saisie!#REF!</f>
        <v>#REF!</v>
      </c>
      <c r="S384" s="65" t="e">
        <f>Saisie!#REF!</f>
        <v>#REF!</v>
      </c>
      <c r="T384" s="63" t="e">
        <f>Saisie!#REF!</f>
        <v>#REF!</v>
      </c>
      <c r="U384" s="63" t="e">
        <f>Saisie!#REF!</f>
        <v>#REF!</v>
      </c>
      <c r="V384" s="63" t="e">
        <f t="array" ref="V384">_xlfn.IFS(Saisie!#REF!="OUI",1,Saisie!#REF!="NON",0)</f>
        <v>#REF!</v>
      </c>
      <c r="W384" s="63" t="e">
        <f t="array" ref="W384">_xlfn.IFS(Saisie!O384="OUI",1,Saisie!O384="NON",0)</f>
        <v>#N/A</v>
      </c>
      <c r="X384" s="63">
        <f>Saisie!P384</f>
        <v>0</v>
      </c>
      <c r="Y384" s="299">
        <f>Saisie!H384</f>
        <v>0</v>
      </c>
      <c r="Z384" s="58" t="e">
        <f>Saisie!#REF!</f>
        <v>#REF!</v>
      </c>
      <c r="AA384" s="299">
        <f>Saisie!Q384</f>
        <v>0</v>
      </c>
      <c r="AB384" s="63" t="e">
        <f t="array" ref="AB384">_xlfn.IFS(Saisie!R384="OUI",1,Saisie!R384="NON",0)</f>
        <v>#N/A</v>
      </c>
      <c r="AC384" s="63">
        <f>Saisie!S384</f>
        <v>0</v>
      </c>
      <c r="AD384" s="63" t="e">
        <f t="array" ref="AD384">_xlfn.IFS(Saisie!T384="OUI",1,Saisie!T384="NON",0)</f>
        <v>#N/A</v>
      </c>
      <c r="AE384" s="171">
        <f>Saisie!U384</f>
        <v>0</v>
      </c>
      <c r="AF384" s="262">
        <v>1</v>
      </c>
      <c r="AG384" s="129">
        <f>Saisie!W384</f>
        <v>0</v>
      </c>
      <c r="AH384" s="20">
        <f>Saisie!X384</f>
        <v>0</v>
      </c>
      <c r="AI384" s="21">
        <f>Saisie!Y384</f>
        <v>0</v>
      </c>
      <c r="AJ384" s="59">
        <f>Saisie!Z384</f>
        <v>0</v>
      </c>
      <c r="AK384" s="20">
        <f>Saisie!AA384</f>
        <v>0</v>
      </c>
      <c r="AL384" s="21">
        <f>Saisie!AB384</f>
        <v>0</v>
      </c>
      <c r="AM384" s="59">
        <f>Saisie!AC384</f>
        <v>0</v>
      </c>
      <c r="AN384" s="20">
        <f>Saisie!AD384</f>
        <v>0</v>
      </c>
      <c r="AO384" s="21">
        <f>Saisie!AE384</f>
        <v>0</v>
      </c>
      <c r="AP384" s="59">
        <f>Saisie!AF384</f>
        <v>0</v>
      </c>
      <c r="AQ384" s="129" t="e">
        <f t="array" ref="AQ384">_xlfn.IFS(Saisie!AG384="OUI",1,Saisie!AG384="NON",0)</f>
        <v>#N/A</v>
      </c>
      <c r="AR384" s="129" t="e">
        <f t="array" ref="AR384">_xlfn.IFS(Saisie!AH384="OUI",1,Saisie!AH384="NON",0)</f>
        <v>#N/A</v>
      </c>
      <c r="AS384" s="171">
        <f>Saisie!AI384</f>
        <v>0</v>
      </c>
      <c r="AT384" s="263" t="e">
        <f t="array" ref="AT384">_xlfn.IFS(Saisie!AJ384="OUI",1,Saisie!AJ384="NON",0)</f>
        <v>#N/A</v>
      </c>
      <c r="AU384" s="173">
        <f>Saisie!AK384</f>
        <v>0</v>
      </c>
      <c r="AV384" s="263" t="e">
        <f t="array" ref="AV384">_xlfn.IFS(Saisie!AL384="OUI",1,Saisie!AL384="NON",0)</f>
        <v>#N/A</v>
      </c>
      <c r="AW384" s="171">
        <f>Saisie!AM384</f>
        <v>0</v>
      </c>
      <c r="AX384" s="68">
        <f>Saisie!AN384</f>
        <v>0</v>
      </c>
      <c r="AY384" s="20">
        <f>Saisie!AO384</f>
        <v>0</v>
      </c>
      <c r="AZ384" s="21">
        <f>Saisie!AP384</f>
        <v>0</v>
      </c>
      <c r="BA384" s="298">
        <f>Saisie!AQ384</f>
        <v>0</v>
      </c>
      <c r="BB384" s="170">
        <f>Saisie!AR384</f>
        <v>0</v>
      </c>
      <c r="BC384" s="174">
        <f>Saisie!AS384</f>
        <v>0</v>
      </c>
      <c r="BD384" s="61">
        <f>Saisie!AT384</f>
        <v>0</v>
      </c>
      <c r="BE384" s="175" t="e">
        <f t="array" ref="BE384">_xlfn.IFS(Saisie!AU384="OUI",1,Saisie!AU384="NON",0)</f>
        <v>#N/A</v>
      </c>
      <c r="BF384" s="267">
        <f>Saisie!AV384</f>
        <v>0</v>
      </c>
      <c r="BG384" s="55">
        <f>Saisie!AW384</f>
        <v>0</v>
      </c>
      <c r="BH384" s="55" t="e">
        <f t="array" ref="BH384">_xlfn.IFS(Saisie!AX384="OUI",1,Saisie!AX384="NON",0)</f>
        <v>#N/A</v>
      </c>
      <c r="BI384" s="62">
        <f>Saisie!AY384</f>
        <v>0</v>
      </c>
      <c r="BJ384" s="55" t="e">
        <f t="array" ref="BJ384">_xlfn.IFS(Saisie!AZ384="OUI",1,Saisie!AZ384="NON",0)</f>
        <v>#N/A</v>
      </c>
      <c r="BK384" s="55" t="e">
        <f t="array" ref="BK384">_xlfn.IFS(Saisie!BA384="OUI",1,Saisie!BA384="NON",0)</f>
        <v>#N/A</v>
      </c>
      <c r="BL384" s="55">
        <f>Saisie!BB384</f>
        <v>0</v>
      </c>
      <c r="BM384" s="49" t="e">
        <f>Saisie!BC384</f>
        <v>#REF!</v>
      </c>
      <c r="BN384" s="175"/>
    </row>
    <row r="385" spans="1:66" s="176" customFormat="1" x14ac:dyDescent="0.45">
      <c r="A385" s="13">
        <v>380</v>
      </c>
      <c r="B385" s="150">
        <f>Saisie!B385</f>
        <v>0</v>
      </c>
      <c r="C385" s="150">
        <f>Saisie!C385</f>
        <v>0</v>
      </c>
      <c r="D385" s="150">
        <f>Saisie!D385</f>
        <v>0</v>
      </c>
      <c r="E385" s="150">
        <f>Saisie!E385</f>
        <v>0</v>
      </c>
      <c r="F385" s="150">
        <f>Saisie!F385</f>
        <v>0</v>
      </c>
      <c r="G385" s="150">
        <f>Saisie!G385</f>
        <v>0</v>
      </c>
      <c r="H385" s="150">
        <f>Saisie!I385</f>
        <v>0</v>
      </c>
      <c r="I385" s="150">
        <f>Saisie!J385</f>
        <v>0</v>
      </c>
      <c r="J385" s="150">
        <f>Saisie!K385</f>
        <v>0</v>
      </c>
      <c r="K385" s="150">
        <f>Saisie!L385</f>
        <v>0</v>
      </c>
      <c r="L385" s="150" t="e">
        <f>Saisie!#REF!</f>
        <v>#REF!</v>
      </c>
      <c r="M385" s="55" t="e">
        <f t="array" ref="M385">_xlfn.IFS(Saisie!M385="OUI",1,Saisie!M385="NON",0)</f>
        <v>#N/A</v>
      </c>
      <c r="N385" s="64" t="e">
        <f>Saisie!#REF!</f>
        <v>#REF!</v>
      </c>
      <c r="O385" s="63" t="e">
        <f>Saisie!#REF!</f>
        <v>#REF!</v>
      </c>
      <c r="P385" s="63">
        <f>Saisie!N385</f>
        <v>0</v>
      </c>
      <c r="Q385" s="63" t="e">
        <f t="array" ref="Q385">_xlfn.IFS(Saisie!#REF!="OUI",1,Saisie!#REF!="NON",0)</f>
        <v>#REF!</v>
      </c>
      <c r="R385" s="63" t="e">
        <f>Saisie!#REF!</f>
        <v>#REF!</v>
      </c>
      <c r="S385" s="65" t="e">
        <f>Saisie!#REF!</f>
        <v>#REF!</v>
      </c>
      <c r="T385" s="63" t="e">
        <f>Saisie!#REF!</f>
        <v>#REF!</v>
      </c>
      <c r="U385" s="63" t="e">
        <f>Saisie!#REF!</f>
        <v>#REF!</v>
      </c>
      <c r="V385" s="63" t="e">
        <f t="array" ref="V385">_xlfn.IFS(Saisie!#REF!="OUI",1,Saisie!#REF!="NON",0)</f>
        <v>#REF!</v>
      </c>
      <c r="W385" s="63" t="e">
        <f t="array" ref="W385">_xlfn.IFS(Saisie!O385="OUI",1,Saisie!O385="NON",0)</f>
        <v>#N/A</v>
      </c>
      <c r="X385" s="63">
        <f>Saisie!P385</f>
        <v>0</v>
      </c>
      <c r="Y385" s="299">
        <f>Saisie!H385</f>
        <v>0</v>
      </c>
      <c r="Z385" s="58" t="e">
        <f>Saisie!#REF!</f>
        <v>#REF!</v>
      </c>
      <c r="AA385" s="299">
        <f>Saisie!Q385</f>
        <v>0</v>
      </c>
      <c r="AB385" s="63" t="e">
        <f t="array" ref="AB385">_xlfn.IFS(Saisie!R385="OUI",1,Saisie!R385="NON",0)</f>
        <v>#N/A</v>
      </c>
      <c r="AC385" s="63">
        <f>Saisie!S385</f>
        <v>0</v>
      </c>
      <c r="AD385" s="63" t="e">
        <f t="array" ref="AD385">_xlfn.IFS(Saisie!T385="OUI",1,Saisie!T385="NON",0)</f>
        <v>#N/A</v>
      </c>
      <c r="AE385" s="171">
        <f>Saisie!U385</f>
        <v>0</v>
      </c>
      <c r="AF385" s="262">
        <v>3</v>
      </c>
      <c r="AG385" s="129">
        <f>Saisie!W385</f>
        <v>0</v>
      </c>
      <c r="AH385" s="20">
        <f>Saisie!X385</f>
        <v>0</v>
      </c>
      <c r="AI385" s="21">
        <f>Saisie!Y385</f>
        <v>0</v>
      </c>
      <c r="AJ385" s="59">
        <f>Saisie!Z385</f>
        <v>0</v>
      </c>
      <c r="AK385" s="20">
        <f>Saisie!AA385</f>
        <v>0</v>
      </c>
      <c r="AL385" s="21">
        <f>Saisie!AB385</f>
        <v>0</v>
      </c>
      <c r="AM385" s="59">
        <f>Saisie!AC385</f>
        <v>0</v>
      </c>
      <c r="AN385" s="20">
        <f>Saisie!AD385</f>
        <v>0</v>
      </c>
      <c r="AO385" s="21">
        <f>Saisie!AE385</f>
        <v>0</v>
      </c>
      <c r="AP385" s="59">
        <f>Saisie!AF385</f>
        <v>0</v>
      </c>
      <c r="AQ385" s="129" t="e">
        <f t="array" ref="AQ385">_xlfn.IFS(Saisie!AG385="OUI",1,Saisie!AG385="NON",0)</f>
        <v>#N/A</v>
      </c>
      <c r="AR385" s="129" t="e">
        <f t="array" ref="AR385">_xlfn.IFS(Saisie!AH385="OUI",1,Saisie!AH385="NON",0)</f>
        <v>#N/A</v>
      </c>
      <c r="AS385" s="171">
        <f>Saisie!AI385</f>
        <v>0</v>
      </c>
      <c r="AT385" s="263" t="e">
        <f t="array" ref="AT385">_xlfn.IFS(Saisie!AJ385="OUI",1,Saisie!AJ385="NON",0)</f>
        <v>#N/A</v>
      </c>
      <c r="AU385" s="173">
        <f>Saisie!AK385</f>
        <v>0</v>
      </c>
      <c r="AV385" s="263" t="e">
        <f t="array" ref="AV385">_xlfn.IFS(Saisie!AL385="OUI",1,Saisie!AL385="NON",0)</f>
        <v>#N/A</v>
      </c>
      <c r="AW385" s="171">
        <f>Saisie!AM385</f>
        <v>0</v>
      </c>
      <c r="AX385" s="68">
        <f>Saisie!AN385</f>
        <v>0</v>
      </c>
      <c r="AY385" s="20">
        <f>Saisie!AO385</f>
        <v>0</v>
      </c>
      <c r="AZ385" s="21">
        <f>Saisie!AP385</f>
        <v>0</v>
      </c>
      <c r="BA385" s="298">
        <f>Saisie!AQ385</f>
        <v>0</v>
      </c>
      <c r="BB385" s="170">
        <f>Saisie!AR385</f>
        <v>0</v>
      </c>
      <c r="BC385" s="174">
        <f>Saisie!AS385</f>
        <v>0</v>
      </c>
      <c r="BD385" s="61">
        <f>Saisie!AT385</f>
        <v>0</v>
      </c>
      <c r="BE385" s="175" t="e">
        <f t="array" ref="BE385">_xlfn.IFS(Saisie!AU385="OUI",1,Saisie!AU385="NON",0)</f>
        <v>#N/A</v>
      </c>
      <c r="BF385" s="267">
        <f>Saisie!AV385</f>
        <v>0</v>
      </c>
      <c r="BG385" s="55">
        <f>Saisie!AW385</f>
        <v>0</v>
      </c>
      <c r="BH385" s="55" t="e">
        <f t="array" ref="BH385">_xlfn.IFS(Saisie!AX385="OUI",1,Saisie!AX385="NON",0)</f>
        <v>#N/A</v>
      </c>
      <c r="BI385" s="62">
        <f>Saisie!AY385</f>
        <v>0</v>
      </c>
      <c r="BJ385" s="55" t="e">
        <f t="array" ref="BJ385">_xlfn.IFS(Saisie!AZ385="OUI",1,Saisie!AZ385="NON",0)</f>
        <v>#N/A</v>
      </c>
      <c r="BK385" s="55" t="e">
        <f t="array" ref="BK385">_xlfn.IFS(Saisie!BA385="OUI",1,Saisie!BA385="NON",0)</f>
        <v>#N/A</v>
      </c>
      <c r="BL385" s="55">
        <f>Saisie!BB385</f>
        <v>0</v>
      </c>
      <c r="BM385" s="49" t="e">
        <f>Saisie!BC385</f>
        <v>#REF!</v>
      </c>
      <c r="BN385" s="175"/>
    </row>
    <row r="386" spans="1:66" s="176" customFormat="1" x14ac:dyDescent="0.45">
      <c r="A386" s="13">
        <v>381</v>
      </c>
      <c r="B386" s="150">
        <f>Saisie!B386</f>
        <v>0</v>
      </c>
      <c r="C386" s="150">
        <f>Saisie!C386</f>
        <v>0</v>
      </c>
      <c r="D386" s="150">
        <f>Saisie!D386</f>
        <v>0</v>
      </c>
      <c r="E386" s="150">
        <f>Saisie!E386</f>
        <v>0</v>
      </c>
      <c r="F386" s="150">
        <f>Saisie!F386</f>
        <v>0</v>
      </c>
      <c r="G386" s="150">
        <f>Saisie!G386</f>
        <v>0</v>
      </c>
      <c r="H386" s="150">
        <f>Saisie!I386</f>
        <v>0</v>
      </c>
      <c r="I386" s="150">
        <f>Saisie!J386</f>
        <v>0</v>
      </c>
      <c r="J386" s="150">
        <f>Saisie!K386</f>
        <v>0</v>
      </c>
      <c r="K386" s="150">
        <f>Saisie!L386</f>
        <v>0</v>
      </c>
      <c r="L386" s="150" t="e">
        <f>Saisie!#REF!</f>
        <v>#REF!</v>
      </c>
      <c r="M386" s="55" t="e">
        <f t="array" ref="M386">_xlfn.IFS(Saisie!M386="OUI",1,Saisie!M386="NON",0)</f>
        <v>#N/A</v>
      </c>
      <c r="N386" s="64" t="e">
        <f>Saisie!#REF!</f>
        <v>#REF!</v>
      </c>
      <c r="O386" s="63" t="e">
        <f>Saisie!#REF!</f>
        <v>#REF!</v>
      </c>
      <c r="P386" s="63">
        <f>Saisie!N386</f>
        <v>0</v>
      </c>
      <c r="Q386" s="63" t="e">
        <f t="array" ref="Q386">_xlfn.IFS(Saisie!#REF!="OUI",1,Saisie!#REF!="NON",0)</f>
        <v>#REF!</v>
      </c>
      <c r="R386" s="63" t="e">
        <f>Saisie!#REF!</f>
        <v>#REF!</v>
      </c>
      <c r="S386" s="65" t="e">
        <f>Saisie!#REF!</f>
        <v>#REF!</v>
      </c>
      <c r="T386" s="63" t="e">
        <f>Saisie!#REF!</f>
        <v>#REF!</v>
      </c>
      <c r="U386" s="63" t="e">
        <f>Saisie!#REF!</f>
        <v>#REF!</v>
      </c>
      <c r="V386" s="63" t="e">
        <f t="array" ref="V386">_xlfn.IFS(Saisie!#REF!="OUI",1,Saisie!#REF!="NON",0)</f>
        <v>#REF!</v>
      </c>
      <c r="W386" s="63" t="e">
        <f t="array" ref="W386">_xlfn.IFS(Saisie!O386="OUI",1,Saisie!O386="NON",0)</f>
        <v>#N/A</v>
      </c>
      <c r="X386" s="63">
        <f>Saisie!P386</f>
        <v>0</v>
      </c>
      <c r="Y386" s="299">
        <f>Saisie!H386</f>
        <v>0</v>
      </c>
      <c r="Z386" s="58" t="e">
        <f>Saisie!#REF!</f>
        <v>#REF!</v>
      </c>
      <c r="AA386" s="299">
        <f>Saisie!Q386</f>
        <v>0</v>
      </c>
      <c r="AB386" s="63" t="e">
        <f t="array" ref="AB386">_xlfn.IFS(Saisie!R386="OUI",1,Saisie!R386="NON",0)</f>
        <v>#N/A</v>
      </c>
      <c r="AC386" s="63">
        <f>Saisie!S386</f>
        <v>0</v>
      </c>
      <c r="AD386" s="63" t="e">
        <f t="array" ref="AD386">_xlfn.IFS(Saisie!T386="OUI",1,Saisie!T386="NON",0)</f>
        <v>#N/A</v>
      </c>
      <c r="AE386" s="171">
        <f>Saisie!U386</f>
        <v>0</v>
      </c>
      <c r="AF386" s="262">
        <v>3</v>
      </c>
      <c r="AG386" s="129">
        <f>Saisie!W386</f>
        <v>0</v>
      </c>
      <c r="AH386" s="20">
        <f>Saisie!X386</f>
        <v>0</v>
      </c>
      <c r="AI386" s="21">
        <f>Saisie!Y386</f>
        <v>0</v>
      </c>
      <c r="AJ386" s="59">
        <f>Saisie!Z386</f>
        <v>0</v>
      </c>
      <c r="AK386" s="20">
        <f>Saisie!AA386</f>
        <v>0</v>
      </c>
      <c r="AL386" s="21">
        <f>Saisie!AB386</f>
        <v>0</v>
      </c>
      <c r="AM386" s="59">
        <f>Saisie!AC386</f>
        <v>0</v>
      </c>
      <c r="AN386" s="20">
        <f>Saisie!AD386</f>
        <v>0</v>
      </c>
      <c r="AO386" s="21">
        <f>Saisie!AE386</f>
        <v>0</v>
      </c>
      <c r="AP386" s="59">
        <f>Saisie!AF386</f>
        <v>0</v>
      </c>
      <c r="AQ386" s="129" t="e">
        <f t="array" ref="AQ386">_xlfn.IFS(Saisie!AG386="OUI",1,Saisie!AG386="NON",0)</f>
        <v>#N/A</v>
      </c>
      <c r="AR386" s="129" t="e">
        <f t="array" ref="AR386">_xlfn.IFS(Saisie!AH386="OUI",1,Saisie!AH386="NON",0)</f>
        <v>#N/A</v>
      </c>
      <c r="AS386" s="171">
        <f>Saisie!AI386</f>
        <v>0</v>
      </c>
      <c r="AT386" s="263" t="e">
        <f t="array" ref="AT386">_xlfn.IFS(Saisie!AJ386="OUI",1,Saisie!AJ386="NON",0)</f>
        <v>#N/A</v>
      </c>
      <c r="AU386" s="173">
        <f>Saisie!AK386</f>
        <v>0</v>
      </c>
      <c r="AV386" s="263" t="e">
        <f t="array" ref="AV386">_xlfn.IFS(Saisie!AL386="OUI",1,Saisie!AL386="NON",0)</f>
        <v>#N/A</v>
      </c>
      <c r="AW386" s="171">
        <f>Saisie!AM386</f>
        <v>0</v>
      </c>
      <c r="AX386" s="68">
        <f>Saisie!AN386</f>
        <v>0</v>
      </c>
      <c r="AY386" s="20">
        <f>Saisie!AO386</f>
        <v>0</v>
      </c>
      <c r="AZ386" s="21">
        <f>Saisie!AP386</f>
        <v>0</v>
      </c>
      <c r="BA386" s="298">
        <f>Saisie!AQ386</f>
        <v>0</v>
      </c>
      <c r="BB386" s="170">
        <f>Saisie!AR386</f>
        <v>0</v>
      </c>
      <c r="BC386" s="174">
        <f>Saisie!AS386</f>
        <v>0</v>
      </c>
      <c r="BD386" s="61">
        <f>Saisie!AT386</f>
        <v>0</v>
      </c>
      <c r="BE386" s="175" t="e">
        <f t="array" ref="BE386">_xlfn.IFS(Saisie!AU386="OUI",1,Saisie!AU386="NON",0)</f>
        <v>#N/A</v>
      </c>
      <c r="BF386" s="267">
        <f>Saisie!AV386</f>
        <v>0</v>
      </c>
      <c r="BG386" s="55">
        <f>Saisie!AW386</f>
        <v>0</v>
      </c>
      <c r="BH386" s="55" t="e">
        <f t="array" ref="BH386">_xlfn.IFS(Saisie!AX386="OUI",1,Saisie!AX386="NON",0)</f>
        <v>#N/A</v>
      </c>
      <c r="BI386" s="62">
        <f>Saisie!AY386</f>
        <v>0</v>
      </c>
      <c r="BJ386" s="55" t="e">
        <f t="array" ref="BJ386">_xlfn.IFS(Saisie!AZ386="OUI",1,Saisie!AZ386="NON",0)</f>
        <v>#N/A</v>
      </c>
      <c r="BK386" s="55" t="e">
        <f t="array" ref="BK386">_xlfn.IFS(Saisie!BA386="OUI",1,Saisie!BA386="NON",0)</f>
        <v>#N/A</v>
      </c>
      <c r="BL386" s="55">
        <f>Saisie!BB386</f>
        <v>0</v>
      </c>
      <c r="BM386" s="49">
        <f>Saisie!BC386</f>
        <v>0</v>
      </c>
      <c r="BN386" s="175"/>
    </row>
    <row r="387" spans="1:66" s="176" customFormat="1" x14ac:dyDescent="0.45">
      <c r="A387" s="12">
        <v>382</v>
      </c>
      <c r="B387" s="150">
        <f>Saisie!B387</f>
        <v>0</v>
      </c>
      <c r="C387" s="150">
        <f>Saisie!C387</f>
        <v>0</v>
      </c>
      <c r="D387" s="150">
        <f>Saisie!D387</f>
        <v>0</v>
      </c>
      <c r="E387" s="150">
        <f>Saisie!E387</f>
        <v>0</v>
      </c>
      <c r="F387" s="150">
        <f>Saisie!F387</f>
        <v>0</v>
      </c>
      <c r="G387" s="150">
        <f>Saisie!G387</f>
        <v>0</v>
      </c>
      <c r="H387" s="150">
        <f>Saisie!I387</f>
        <v>0</v>
      </c>
      <c r="I387" s="150">
        <f>Saisie!J387</f>
        <v>0</v>
      </c>
      <c r="J387" s="150">
        <f>Saisie!K387</f>
        <v>0</v>
      </c>
      <c r="K387" s="150">
        <f>Saisie!L387</f>
        <v>0</v>
      </c>
      <c r="L387" s="150" t="e">
        <f>Saisie!#REF!</f>
        <v>#REF!</v>
      </c>
      <c r="M387" s="55" t="e">
        <f t="array" ref="M387">_xlfn.IFS(Saisie!M387="OUI",1,Saisie!M387="NON",0)</f>
        <v>#N/A</v>
      </c>
      <c r="N387" s="64" t="e">
        <f>Saisie!#REF!</f>
        <v>#REF!</v>
      </c>
      <c r="O387" s="63" t="e">
        <f>Saisie!#REF!</f>
        <v>#REF!</v>
      </c>
      <c r="P387" s="63">
        <f>Saisie!N387</f>
        <v>0</v>
      </c>
      <c r="Q387" s="63" t="e">
        <f t="array" ref="Q387">_xlfn.IFS(Saisie!#REF!="OUI",1,Saisie!#REF!="NON",0)</f>
        <v>#REF!</v>
      </c>
      <c r="R387" s="63" t="e">
        <f>Saisie!#REF!</f>
        <v>#REF!</v>
      </c>
      <c r="S387" s="65" t="e">
        <f>Saisie!#REF!</f>
        <v>#REF!</v>
      </c>
      <c r="T387" s="63" t="e">
        <f>Saisie!#REF!</f>
        <v>#REF!</v>
      </c>
      <c r="U387" s="63" t="e">
        <f>Saisie!#REF!</f>
        <v>#REF!</v>
      </c>
      <c r="V387" s="63" t="e">
        <f t="array" ref="V387">_xlfn.IFS(Saisie!#REF!="OUI",1,Saisie!#REF!="NON",0)</f>
        <v>#REF!</v>
      </c>
      <c r="W387" s="63" t="e">
        <f t="array" ref="W387">_xlfn.IFS(Saisie!O387="OUI",1,Saisie!O387="NON",0)</f>
        <v>#N/A</v>
      </c>
      <c r="X387" s="63">
        <f>Saisie!P387</f>
        <v>0</v>
      </c>
      <c r="Y387" s="299">
        <f>Saisie!H387</f>
        <v>0</v>
      </c>
      <c r="Z387" s="58" t="e">
        <f>Saisie!#REF!</f>
        <v>#REF!</v>
      </c>
      <c r="AA387" s="299">
        <f>Saisie!Q387</f>
        <v>0</v>
      </c>
      <c r="AB387" s="63" t="e">
        <f t="array" ref="AB387">_xlfn.IFS(Saisie!R387="OUI",1,Saisie!R387="NON",0)</f>
        <v>#N/A</v>
      </c>
      <c r="AC387" s="63">
        <f>Saisie!S387</f>
        <v>0</v>
      </c>
      <c r="AD387" s="63" t="e">
        <f t="array" ref="AD387">_xlfn.IFS(Saisie!T387="OUI",1,Saisie!T387="NON",0)</f>
        <v>#N/A</v>
      </c>
      <c r="AE387" s="171">
        <f>Saisie!U387</f>
        <v>0</v>
      </c>
      <c r="AF387" s="262">
        <v>3</v>
      </c>
      <c r="AG387" s="129">
        <f>Saisie!W387</f>
        <v>0</v>
      </c>
      <c r="AH387" s="20">
        <f>Saisie!X387</f>
        <v>0</v>
      </c>
      <c r="AI387" s="21">
        <f>Saisie!Y387</f>
        <v>0</v>
      </c>
      <c r="AJ387" s="59">
        <f>Saisie!Z387</f>
        <v>0</v>
      </c>
      <c r="AK387" s="20">
        <f>Saisie!AA387</f>
        <v>0</v>
      </c>
      <c r="AL387" s="21">
        <f>Saisie!AB387</f>
        <v>0</v>
      </c>
      <c r="AM387" s="59">
        <f>Saisie!AC387</f>
        <v>0</v>
      </c>
      <c r="AN387" s="20">
        <f>Saisie!AD387</f>
        <v>0</v>
      </c>
      <c r="AO387" s="21">
        <f>Saisie!AE387</f>
        <v>0</v>
      </c>
      <c r="AP387" s="59">
        <f>Saisie!AF387</f>
        <v>0</v>
      </c>
      <c r="AQ387" s="129" t="e">
        <f t="array" ref="AQ387">_xlfn.IFS(Saisie!AG387="OUI",1,Saisie!AG387="NON",0)</f>
        <v>#N/A</v>
      </c>
      <c r="AR387" s="129" t="e">
        <f t="array" ref="AR387">_xlfn.IFS(Saisie!AH387="OUI",1,Saisie!AH387="NON",0)</f>
        <v>#N/A</v>
      </c>
      <c r="AS387" s="171">
        <f>Saisie!AI387</f>
        <v>0</v>
      </c>
      <c r="AT387" s="263" t="e">
        <f t="array" ref="AT387">_xlfn.IFS(Saisie!AJ387="OUI",1,Saisie!AJ387="NON",0)</f>
        <v>#N/A</v>
      </c>
      <c r="AU387" s="173">
        <f>Saisie!AK387</f>
        <v>0</v>
      </c>
      <c r="AV387" s="263" t="e">
        <f t="array" ref="AV387">_xlfn.IFS(Saisie!AL387="OUI",1,Saisie!AL387="NON",0)</f>
        <v>#N/A</v>
      </c>
      <c r="AW387" s="171">
        <f>Saisie!AM387</f>
        <v>0</v>
      </c>
      <c r="AX387" s="68">
        <f>Saisie!AN387</f>
        <v>0</v>
      </c>
      <c r="AY387" s="20">
        <f>Saisie!AO387</f>
        <v>0</v>
      </c>
      <c r="AZ387" s="21">
        <f>Saisie!AP387</f>
        <v>0</v>
      </c>
      <c r="BA387" s="298">
        <f>Saisie!AQ387</f>
        <v>0</v>
      </c>
      <c r="BB387" s="170">
        <f>Saisie!AR387</f>
        <v>0</v>
      </c>
      <c r="BC387" s="174">
        <f>Saisie!AS387</f>
        <v>0</v>
      </c>
      <c r="BD387" s="61">
        <f>Saisie!AT387</f>
        <v>0</v>
      </c>
      <c r="BE387" s="175" t="e">
        <f t="array" ref="BE387">_xlfn.IFS(Saisie!AU387="OUI",1,Saisie!AU387="NON",0)</f>
        <v>#N/A</v>
      </c>
      <c r="BF387" s="267">
        <f>Saisie!AV387</f>
        <v>0</v>
      </c>
      <c r="BG387" s="55">
        <f>Saisie!AW387</f>
        <v>0</v>
      </c>
      <c r="BH387" s="55" t="e">
        <f t="array" ref="BH387">_xlfn.IFS(Saisie!AX387="OUI",1,Saisie!AX387="NON",0)</f>
        <v>#N/A</v>
      </c>
      <c r="BI387" s="62">
        <f>Saisie!AY387</f>
        <v>0</v>
      </c>
      <c r="BJ387" s="55" t="e">
        <f t="array" ref="BJ387">_xlfn.IFS(Saisie!AZ387="OUI",1,Saisie!AZ387="NON",0)</f>
        <v>#N/A</v>
      </c>
      <c r="BK387" s="55" t="e">
        <f t="array" ref="BK387">_xlfn.IFS(Saisie!BA387="OUI",1,Saisie!BA387="NON",0)</f>
        <v>#N/A</v>
      </c>
      <c r="BL387" s="55">
        <f>Saisie!BB387</f>
        <v>0</v>
      </c>
      <c r="BM387" s="49">
        <f>Saisie!BC387</f>
        <v>0</v>
      </c>
      <c r="BN387" s="175"/>
    </row>
    <row r="388" spans="1:66" s="176" customFormat="1" x14ac:dyDescent="0.45">
      <c r="A388" s="13">
        <v>383</v>
      </c>
      <c r="B388" s="150">
        <f>Saisie!B388</f>
        <v>0</v>
      </c>
      <c r="C388" s="150">
        <f>Saisie!C388</f>
        <v>0</v>
      </c>
      <c r="D388" s="150">
        <f>Saisie!D388</f>
        <v>0</v>
      </c>
      <c r="E388" s="150">
        <f>Saisie!E388</f>
        <v>0</v>
      </c>
      <c r="F388" s="150">
        <f>Saisie!F388</f>
        <v>0</v>
      </c>
      <c r="G388" s="150">
        <f>Saisie!G388</f>
        <v>0</v>
      </c>
      <c r="H388" s="150">
        <f>Saisie!I388</f>
        <v>0</v>
      </c>
      <c r="I388" s="150">
        <f>Saisie!J388</f>
        <v>0</v>
      </c>
      <c r="J388" s="150">
        <f>Saisie!K388</f>
        <v>0</v>
      </c>
      <c r="K388" s="150">
        <f>Saisie!L388</f>
        <v>0</v>
      </c>
      <c r="L388" s="150" t="e">
        <f>Saisie!#REF!</f>
        <v>#REF!</v>
      </c>
      <c r="M388" s="55" t="e">
        <f t="array" ref="M388">_xlfn.IFS(Saisie!M388="OUI",1,Saisie!M388="NON",0)</f>
        <v>#N/A</v>
      </c>
      <c r="N388" s="64" t="e">
        <f>Saisie!#REF!</f>
        <v>#REF!</v>
      </c>
      <c r="O388" s="63" t="e">
        <f>Saisie!#REF!</f>
        <v>#REF!</v>
      </c>
      <c r="P388" s="63">
        <f>Saisie!N388</f>
        <v>0</v>
      </c>
      <c r="Q388" s="63" t="e">
        <f t="array" ref="Q388">_xlfn.IFS(Saisie!#REF!="OUI",1,Saisie!#REF!="NON",0)</f>
        <v>#REF!</v>
      </c>
      <c r="R388" s="63" t="e">
        <f>Saisie!#REF!</f>
        <v>#REF!</v>
      </c>
      <c r="S388" s="65" t="e">
        <f>Saisie!#REF!</f>
        <v>#REF!</v>
      </c>
      <c r="T388" s="63" t="e">
        <f>Saisie!#REF!</f>
        <v>#REF!</v>
      </c>
      <c r="U388" s="63" t="e">
        <f>Saisie!#REF!</f>
        <v>#REF!</v>
      </c>
      <c r="V388" s="63" t="e">
        <f t="array" ref="V388">_xlfn.IFS(Saisie!#REF!="OUI",1,Saisie!#REF!="NON",0)</f>
        <v>#REF!</v>
      </c>
      <c r="W388" s="63" t="e">
        <f t="array" ref="W388">_xlfn.IFS(Saisie!O388="OUI",1,Saisie!O388="NON",0)</f>
        <v>#N/A</v>
      </c>
      <c r="X388" s="63">
        <f>Saisie!P388</f>
        <v>0</v>
      </c>
      <c r="Y388" s="299">
        <f>Saisie!H388</f>
        <v>0</v>
      </c>
      <c r="Z388" s="58" t="e">
        <f>Saisie!#REF!</f>
        <v>#REF!</v>
      </c>
      <c r="AA388" s="299">
        <f>Saisie!Q388</f>
        <v>0</v>
      </c>
      <c r="AB388" s="63" t="e">
        <f t="array" ref="AB388">_xlfn.IFS(Saisie!R388="OUI",1,Saisie!R388="NON",0)</f>
        <v>#N/A</v>
      </c>
      <c r="AC388" s="63">
        <f>Saisie!S388</f>
        <v>0</v>
      </c>
      <c r="AD388" s="63" t="e">
        <f t="array" ref="AD388">_xlfn.IFS(Saisie!T388="OUI",1,Saisie!T388="NON",0)</f>
        <v>#N/A</v>
      </c>
      <c r="AE388" s="171">
        <f>Saisie!U388</f>
        <v>0</v>
      </c>
      <c r="AF388" s="262">
        <v>3</v>
      </c>
      <c r="AG388" s="129">
        <f>Saisie!W388</f>
        <v>0</v>
      </c>
      <c r="AH388" s="20">
        <f>Saisie!X388</f>
        <v>0</v>
      </c>
      <c r="AI388" s="21">
        <f>Saisie!Y388</f>
        <v>0</v>
      </c>
      <c r="AJ388" s="59">
        <f>Saisie!Z388</f>
        <v>0</v>
      </c>
      <c r="AK388" s="20">
        <f>Saisie!AA388</f>
        <v>0</v>
      </c>
      <c r="AL388" s="21">
        <f>Saisie!AB388</f>
        <v>0</v>
      </c>
      <c r="AM388" s="59">
        <f>Saisie!AC388</f>
        <v>0</v>
      </c>
      <c r="AN388" s="20">
        <f>Saisie!AD388</f>
        <v>0</v>
      </c>
      <c r="AO388" s="21">
        <f>Saisie!AE388</f>
        <v>0</v>
      </c>
      <c r="AP388" s="59">
        <f>Saisie!AF388</f>
        <v>0</v>
      </c>
      <c r="AQ388" s="129" t="e">
        <f t="array" ref="AQ388">_xlfn.IFS(Saisie!AG388="OUI",1,Saisie!AG388="NON",0)</f>
        <v>#N/A</v>
      </c>
      <c r="AR388" s="129" t="e">
        <f t="array" ref="AR388">_xlfn.IFS(Saisie!AH388="OUI",1,Saisie!AH388="NON",0)</f>
        <v>#N/A</v>
      </c>
      <c r="AS388" s="171">
        <f>Saisie!AI388</f>
        <v>0</v>
      </c>
      <c r="AT388" s="263" t="e">
        <f t="array" ref="AT388">_xlfn.IFS(Saisie!AJ388="OUI",1,Saisie!AJ388="NON",0)</f>
        <v>#N/A</v>
      </c>
      <c r="AU388" s="173">
        <f>Saisie!AK388</f>
        <v>0</v>
      </c>
      <c r="AV388" s="263" t="e">
        <f t="array" ref="AV388">_xlfn.IFS(Saisie!AL388="OUI",1,Saisie!AL388="NON",0)</f>
        <v>#N/A</v>
      </c>
      <c r="AW388" s="171">
        <f>Saisie!AM388</f>
        <v>0</v>
      </c>
      <c r="AX388" s="68">
        <f>Saisie!AN388</f>
        <v>0</v>
      </c>
      <c r="AY388" s="20">
        <f>Saisie!AO388</f>
        <v>0</v>
      </c>
      <c r="AZ388" s="21">
        <f>Saisie!AP388</f>
        <v>0</v>
      </c>
      <c r="BA388" s="298">
        <f>Saisie!AQ388</f>
        <v>0</v>
      </c>
      <c r="BB388" s="170">
        <f>Saisie!AR388</f>
        <v>0</v>
      </c>
      <c r="BC388" s="174">
        <f>Saisie!AS388</f>
        <v>0</v>
      </c>
      <c r="BD388" s="61">
        <f>Saisie!AT388</f>
        <v>0</v>
      </c>
      <c r="BE388" s="175" t="e">
        <f t="array" ref="BE388">_xlfn.IFS(Saisie!AU388="OUI",1,Saisie!AU388="NON",0)</f>
        <v>#N/A</v>
      </c>
      <c r="BF388" s="267">
        <f>Saisie!AV388</f>
        <v>0</v>
      </c>
      <c r="BG388" s="55">
        <f>Saisie!AW388</f>
        <v>0</v>
      </c>
      <c r="BH388" s="55" t="e">
        <f t="array" ref="BH388">_xlfn.IFS(Saisie!AX388="OUI",1,Saisie!AX388="NON",0)</f>
        <v>#N/A</v>
      </c>
      <c r="BI388" s="62">
        <f>Saisie!AY388</f>
        <v>0</v>
      </c>
      <c r="BJ388" s="55" t="e">
        <f t="array" ref="BJ388">_xlfn.IFS(Saisie!AZ388="OUI",1,Saisie!AZ388="NON",0)</f>
        <v>#N/A</v>
      </c>
      <c r="BK388" s="55" t="e">
        <f t="array" ref="BK388">_xlfn.IFS(Saisie!BA388="OUI",1,Saisie!BA388="NON",0)</f>
        <v>#N/A</v>
      </c>
      <c r="BL388" s="55">
        <f>Saisie!BB388</f>
        <v>0</v>
      </c>
      <c r="BM388" s="49">
        <f>Saisie!BC388</f>
        <v>0</v>
      </c>
      <c r="BN388" s="175"/>
    </row>
    <row r="389" spans="1:66" s="176" customFormat="1" x14ac:dyDescent="0.45">
      <c r="A389" s="13">
        <v>384</v>
      </c>
      <c r="B389" s="150">
        <f>Saisie!B389</f>
        <v>0</v>
      </c>
      <c r="C389" s="150">
        <f>Saisie!C389</f>
        <v>0</v>
      </c>
      <c r="D389" s="150">
        <f>Saisie!D389</f>
        <v>0</v>
      </c>
      <c r="E389" s="150">
        <f>Saisie!E389</f>
        <v>0</v>
      </c>
      <c r="F389" s="150">
        <f>Saisie!F389</f>
        <v>0</v>
      </c>
      <c r="G389" s="150">
        <f>Saisie!G389</f>
        <v>0</v>
      </c>
      <c r="H389" s="150">
        <f>Saisie!I389</f>
        <v>0</v>
      </c>
      <c r="I389" s="150">
        <f>Saisie!J389</f>
        <v>0</v>
      </c>
      <c r="J389" s="150">
        <f>Saisie!K389</f>
        <v>0</v>
      </c>
      <c r="K389" s="150">
        <f>Saisie!L389</f>
        <v>0</v>
      </c>
      <c r="L389" s="150" t="e">
        <f>Saisie!#REF!</f>
        <v>#REF!</v>
      </c>
      <c r="M389" s="55" t="e">
        <f t="array" ref="M389">_xlfn.IFS(Saisie!M389="OUI",1,Saisie!M389="NON",0)</f>
        <v>#N/A</v>
      </c>
      <c r="N389" s="64" t="e">
        <f>Saisie!#REF!</f>
        <v>#REF!</v>
      </c>
      <c r="O389" s="63" t="e">
        <f>Saisie!#REF!</f>
        <v>#REF!</v>
      </c>
      <c r="P389" s="63">
        <f>Saisie!N389</f>
        <v>0</v>
      </c>
      <c r="Q389" s="63" t="e">
        <f t="array" ref="Q389">_xlfn.IFS(Saisie!#REF!="OUI",1,Saisie!#REF!="NON",0)</f>
        <v>#REF!</v>
      </c>
      <c r="R389" s="63" t="e">
        <f>Saisie!#REF!</f>
        <v>#REF!</v>
      </c>
      <c r="S389" s="65" t="e">
        <f>Saisie!#REF!</f>
        <v>#REF!</v>
      </c>
      <c r="T389" s="63" t="e">
        <f>Saisie!#REF!</f>
        <v>#REF!</v>
      </c>
      <c r="U389" s="63" t="e">
        <f>Saisie!#REF!</f>
        <v>#REF!</v>
      </c>
      <c r="V389" s="63" t="e">
        <f t="array" ref="V389">_xlfn.IFS(Saisie!#REF!="OUI",1,Saisie!#REF!="NON",0)</f>
        <v>#REF!</v>
      </c>
      <c r="W389" s="63" t="e">
        <f t="array" ref="W389">_xlfn.IFS(Saisie!O389="OUI",1,Saisie!O389="NON",0)</f>
        <v>#N/A</v>
      </c>
      <c r="X389" s="63">
        <f>Saisie!P389</f>
        <v>0</v>
      </c>
      <c r="Y389" s="299">
        <f>Saisie!H389</f>
        <v>0</v>
      </c>
      <c r="Z389" s="58" t="e">
        <f>Saisie!#REF!</f>
        <v>#REF!</v>
      </c>
      <c r="AA389" s="299">
        <f>Saisie!Q389</f>
        <v>0</v>
      </c>
      <c r="AB389" s="63" t="e">
        <f t="array" ref="AB389">_xlfn.IFS(Saisie!R389="OUI",1,Saisie!R389="NON",0)</f>
        <v>#N/A</v>
      </c>
      <c r="AC389" s="63">
        <f>Saisie!S389</f>
        <v>0</v>
      </c>
      <c r="AD389" s="63" t="e">
        <f t="array" ref="AD389">_xlfn.IFS(Saisie!T389="OUI",1,Saisie!T389="NON",0)</f>
        <v>#N/A</v>
      </c>
      <c r="AE389" s="171">
        <f>Saisie!U389</f>
        <v>0</v>
      </c>
      <c r="AF389" s="262">
        <v>3</v>
      </c>
      <c r="AG389" s="129">
        <f>Saisie!W389</f>
        <v>0</v>
      </c>
      <c r="AH389" s="20">
        <f>Saisie!X389</f>
        <v>0</v>
      </c>
      <c r="AI389" s="21">
        <f>Saisie!Y389</f>
        <v>0</v>
      </c>
      <c r="AJ389" s="59">
        <f>Saisie!Z389</f>
        <v>0</v>
      </c>
      <c r="AK389" s="20">
        <f>Saisie!AA389</f>
        <v>0</v>
      </c>
      <c r="AL389" s="21">
        <f>Saisie!AB389</f>
        <v>0</v>
      </c>
      <c r="AM389" s="59">
        <f>Saisie!AC389</f>
        <v>0</v>
      </c>
      <c r="AN389" s="20">
        <f>Saisie!AD389</f>
        <v>0</v>
      </c>
      <c r="AO389" s="21">
        <f>Saisie!AE389</f>
        <v>0</v>
      </c>
      <c r="AP389" s="59">
        <f>Saisie!AF389</f>
        <v>0</v>
      </c>
      <c r="AQ389" s="129" t="e">
        <f t="array" ref="AQ389">_xlfn.IFS(Saisie!AG389="OUI",1,Saisie!AG389="NON",0)</f>
        <v>#N/A</v>
      </c>
      <c r="AR389" s="129" t="e">
        <f t="array" ref="AR389">_xlfn.IFS(Saisie!AH389="OUI",1,Saisie!AH389="NON",0)</f>
        <v>#N/A</v>
      </c>
      <c r="AS389" s="171">
        <f>Saisie!AI389</f>
        <v>0</v>
      </c>
      <c r="AT389" s="263" t="e">
        <f t="array" ref="AT389">_xlfn.IFS(Saisie!AJ389="OUI",1,Saisie!AJ389="NON",0)</f>
        <v>#N/A</v>
      </c>
      <c r="AU389" s="173">
        <f>Saisie!AK389</f>
        <v>0</v>
      </c>
      <c r="AV389" s="263" t="e">
        <f t="array" ref="AV389">_xlfn.IFS(Saisie!AL389="OUI",1,Saisie!AL389="NON",0)</f>
        <v>#N/A</v>
      </c>
      <c r="AW389" s="171">
        <f>Saisie!AM389</f>
        <v>0</v>
      </c>
      <c r="AX389" s="68">
        <f>Saisie!AN389</f>
        <v>0</v>
      </c>
      <c r="AY389" s="20">
        <f>Saisie!AO389</f>
        <v>0</v>
      </c>
      <c r="AZ389" s="21">
        <f>Saisie!AP389</f>
        <v>0</v>
      </c>
      <c r="BA389" s="298">
        <f>Saisie!AQ389</f>
        <v>0</v>
      </c>
      <c r="BB389" s="170">
        <f>Saisie!AR389</f>
        <v>0</v>
      </c>
      <c r="BC389" s="174">
        <f>Saisie!AS389</f>
        <v>0</v>
      </c>
      <c r="BD389" s="61">
        <f>Saisie!AT389</f>
        <v>0</v>
      </c>
      <c r="BE389" s="175" t="e">
        <f t="array" ref="BE389">_xlfn.IFS(Saisie!AU389="OUI",1,Saisie!AU389="NON",0)</f>
        <v>#N/A</v>
      </c>
      <c r="BF389" s="267">
        <f>Saisie!AV389</f>
        <v>0</v>
      </c>
      <c r="BG389" s="55">
        <f>Saisie!AW389</f>
        <v>0</v>
      </c>
      <c r="BH389" s="55" t="e">
        <f t="array" ref="BH389">_xlfn.IFS(Saisie!AX389="OUI",1,Saisie!AX389="NON",0)</f>
        <v>#N/A</v>
      </c>
      <c r="BI389" s="62">
        <f>Saisie!AY389</f>
        <v>0</v>
      </c>
      <c r="BJ389" s="55" t="e">
        <f t="array" ref="BJ389">_xlfn.IFS(Saisie!AZ389="OUI",1,Saisie!AZ389="NON",0)</f>
        <v>#N/A</v>
      </c>
      <c r="BK389" s="55" t="e">
        <f t="array" ref="BK389">_xlfn.IFS(Saisie!BA389="OUI",1,Saisie!BA389="NON",0)</f>
        <v>#N/A</v>
      </c>
      <c r="BL389" s="55">
        <f>Saisie!BB389</f>
        <v>0</v>
      </c>
      <c r="BM389" s="49" t="e">
        <f>Saisie!BC389</f>
        <v>#REF!</v>
      </c>
      <c r="BN389" s="175"/>
    </row>
    <row r="390" spans="1:66" s="176" customFormat="1" x14ac:dyDescent="0.45">
      <c r="A390" s="12">
        <v>385</v>
      </c>
      <c r="B390" s="150">
        <f>Saisie!B390</f>
        <v>0</v>
      </c>
      <c r="C390" s="150">
        <f>Saisie!C390</f>
        <v>0</v>
      </c>
      <c r="D390" s="150">
        <f>Saisie!D390</f>
        <v>0</v>
      </c>
      <c r="E390" s="150">
        <f>Saisie!E390</f>
        <v>0</v>
      </c>
      <c r="F390" s="150">
        <f>Saisie!F390</f>
        <v>0</v>
      </c>
      <c r="G390" s="150">
        <f>Saisie!G390</f>
        <v>0</v>
      </c>
      <c r="H390" s="150">
        <f>Saisie!I390</f>
        <v>0</v>
      </c>
      <c r="I390" s="150">
        <f>Saisie!J390</f>
        <v>0</v>
      </c>
      <c r="J390" s="150">
        <f>Saisie!K390</f>
        <v>0</v>
      </c>
      <c r="K390" s="150">
        <f>Saisie!L390</f>
        <v>0</v>
      </c>
      <c r="L390" s="150" t="e">
        <f>Saisie!#REF!</f>
        <v>#REF!</v>
      </c>
      <c r="M390" s="55" t="e">
        <f t="array" ref="M390">_xlfn.IFS(Saisie!M390="OUI",1,Saisie!M390="NON",0)</f>
        <v>#N/A</v>
      </c>
      <c r="N390" s="64" t="e">
        <f>Saisie!#REF!</f>
        <v>#REF!</v>
      </c>
      <c r="O390" s="63" t="e">
        <f>Saisie!#REF!</f>
        <v>#REF!</v>
      </c>
      <c r="P390" s="63">
        <f>Saisie!N390</f>
        <v>0</v>
      </c>
      <c r="Q390" s="63" t="e">
        <f t="array" ref="Q390">_xlfn.IFS(Saisie!#REF!="OUI",1,Saisie!#REF!="NON",0)</f>
        <v>#REF!</v>
      </c>
      <c r="R390" s="63" t="e">
        <f>Saisie!#REF!</f>
        <v>#REF!</v>
      </c>
      <c r="S390" s="65" t="e">
        <f>Saisie!#REF!</f>
        <v>#REF!</v>
      </c>
      <c r="T390" s="63" t="e">
        <f>Saisie!#REF!</f>
        <v>#REF!</v>
      </c>
      <c r="U390" s="63" t="e">
        <f>Saisie!#REF!</f>
        <v>#REF!</v>
      </c>
      <c r="V390" s="63" t="e">
        <f t="array" ref="V390">_xlfn.IFS(Saisie!#REF!="OUI",1,Saisie!#REF!="NON",0)</f>
        <v>#REF!</v>
      </c>
      <c r="W390" s="63" t="e">
        <f t="array" ref="W390">_xlfn.IFS(Saisie!O390="OUI",1,Saisie!O390="NON",0)</f>
        <v>#N/A</v>
      </c>
      <c r="X390" s="63">
        <f>Saisie!P390</f>
        <v>0</v>
      </c>
      <c r="Y390" s="299">
        <f>Saisie!H390</f>
        <v>0</v>
      </c>
      <c r="Z390" s="58" t="e">
        <f>Saisie!#REF!</f>
        <v>#REF!</v>
      </c>
      <c r="AA390" s="299">
        <f>Saisie!Q390</f>
        <v>0</v>
      </c>
      <c r="AB390" s="63" t="e">
        <f t="array" ref="AB390">_xlfn.IFS(Saisie!R390="OUI",1,Saisie!R390="NON",0)</f>
        <v>#N/A</v>
      </c>
      <c r="AC390" s="63">
        <f>Saisie!S390</f>
        <v>0</v>
      </c>
      <c r="AD390" s="63" t="e">
        <f t="array" ref="AD390">_xlfn.IFS(Saisie!T390="OUI",1,Saisie!T390="NON",0)</f>
        <v>#N/A</v>
      </c>
      <c r="AE390" s="171">
        <f>Saisie!U390</f>
        <v>0</v>
      </c>
      <c r="AF390" s="262">
        <v>3</v>
      </c>
      <c r="AG390" s="129">
        <f>Saisie!W390</f>
        <v>0</v>
      </c>
      <c r="AH390" s="20">
        <f>Saisie!X390</f>
        <v>0</v>
      </c>
      <c r="AI390" s="21">
        <f>Saisie!Y390</f>
        <v>0</v>
      </c>
      <c r="AJ390" s="59">
        <f>Saisie!Z390</f>
        <v>0</v>
      </c>
      <c r="AK390" s="20">
        <f>Saisie!AA390</f>
        <v>0</v>
      </c>
      <c r="AL390" s="21">
        <f>Saisie!AB390</f>
        <v>0</v>
      </c>
      <c r="AM390" s="59">
        <f>Saisie!AC390</f>
        <v>0</v>
      </c>
      <c r="AN390" s="20">
        <f>Saisie!AD390</f>
        <v>0</v>
      </c>
      <c r="AO390" s="21">
        <f>Saisie!AE390</f>
        <v>0</v>
      </c>
      <c r="AP390" s="59">
        <f>Saisie!AF390</f>
        <v>0</v>
      </c>
      <c r="AQ390" s="129" t="e">
        <f t="array" ref="AQ390">_xlfn.IFS(Saisie!AG390="OUI",1,Saisie!AG390="NON",0)</f>
        <v>#N/A</v>
      </c>
      <c r="AR390" s="129" t="e">
        <f t="array" ref="AR390">_xlfn.IFS(Saisie!AH390="OUI",1,Saisie!AH390="NON",0)</f>
        <v>#N/A</v>
      </c>
      <c r="AS390" s="171">
        <f>Saisie!AI390</f>
        <v>0</v>
      </c>
      <c r="AT390" s="263" t="e">
        <f t="array" ref="AT390">_xlfn.IFS(Saisie!AJ390="OUI",1,Saisie!AJ390="NON",0)</f>
        <v>#N/A</v>
      </c>
      <c r="AU390" s="173">
        <f>Saisie!AK390</f>
        <v>0</v>
      </c>
      <c r="AV390" s="263" t="e">
        <f t="array" ref="AV390">_xlfn.IFS(Saisie!AL390="OUI",1,Saisie!AL390="NON",0)</f>
        <v>#N/A</v>
      </c>
      <c r="AW390" s="171">
        <f>Saisie!AM390</f>
        <v>0</v>
      </c>
      <c r="AX390" s="68">
        <f>Saisie!AN390</f>
        <v>0</v>
      </c>
      <c r="AY390" s="20">
        <f>Saisie!AO390</f>
        <v>0</v>
      </c>
      <c r="AZ390" s="21">
        <f>Saisie!AP390</f>
        <v>0</v>
      </c>
      <c r="BA390" s="298">
        <f>Saisie!AQ390</f>
        <v>0</v>
      </c>
      <c r="BB390" s="170">
        <f>Saisie!AR390</f>
        <v>0</v>
      </c>
      <c r="BC390" s="174">
        <f>Saisie!AS390</f>
        <v>0</v>
      </c>
      <c r="BD390" s="61">
        <f>Saisie!AT390</f>
        <v>0</v>
      </c>
      <c r="BE390" s="175" t="e">
        <f t="array" ref="BE390">_xlfn.IFS(Saisie!AU390="OUI",1,Saisie!AU390="NON",0)</f>
        <v>#N/A</v>
      </c>
      <c r="BF390" s="267">
        <f>Saisie!AV390</f>
        <v>0</v>
      </c>
      <c r="BG390" s="55">
        <f>Saisie!AW390</f>
        <v>0</v>
      </c>
      <c r="BH390" s="55" t="e">
        <f t="array" ref="BH390">_xlfn.IFS(Saisie!AX390="OUI",1,Saisie!AX390="NON",0)</f>
        <v>#N/A</v>
      </c>
      <c r="BI390" s="62">
        <f>Saisie!AY390</f>
        <v>0</v>
      </c>
      <c r="BJ390" s="55" t="e">
        <f t="array" ref="BJ390">_xlfn.IFS(Saisie!AZ390="OUI",1,Saisie!AZ390="NON",0)</f>
        <v>#N/A</v>
      </c>
      <c r="BK390" s="55" t="e">
        <f t="array" ref="BK390">_xlfn.IFS(Saisie!BA390="OUI",1,Saisie!BA390="NON",0)</f>
        <v>#N/A</v>
      </c>
      <c r="BL390" s="55">
        <f>Saisie!BB390</f>
        <v>0</v>
      </c>
      <c r="BM390" s="49" t="e">
        <f>Saisie!BC390</f>
        <v>#REF!</v>
      </c>
      <c r="BN390" s="175"/>
    </row>
    <row r="391" spans="1:66" s="176" customFormat="1" x14ac:dyDescent="0.45">
      <c r="A391" s="13">
        <v>386</v>
      </c>
      <c r="B391" s="150">
        <f>Saisie!B391</f>
        <v>0</v>
      </c>
      <c r="C391" s="150">
        <f>Saisie!C391</f>
        <v>0</v>
      </c>
      <c r="D391" s="150">
        <f>Saisie!D391</f>
        <v>0</v>
      </c>
      <c r="E391" s="150">
        <f>Saisie!E391</f>
        <v>0</v>
      </c>
      <c r="F391" s="150">
        <f>Saisie!F391</f>
        <v>0</v>
      </c>
      <c r="G391" s="150">
        <f>Saisie!G391</f>
        <v>0</v>
      </c>
      <c r="H391" s="150">
        <f>Saisie!I391</f>
        <v>0</v>
      </c>
      <c r="I391" s="150">
        <f>Saisie!J391</f>
        <v>0</v>
      </c>
      <c r="J391" s="150">
        <f>Saisie!K391</f>
        <v>0</v>
      </c>
      <c r="K391" s="150">
        <f>Saisie!L391</f>
        <v>0</v>
      </c>
      <c r="L391" s="150" t="e">
        <f>Saisie!#REF!</f>
        <v>#REF!</v>
      </c>
      <c r="M391" s="55" t="e">
        <f t="array" ref="M391">_xlfn.IFS(Saisie!M391="OUI",1,Saisie!M391="NON",0)</f>
        <v>#N/A</v>
      </c>
      <c r="N391" s="64" t="e">
        <f>Saisie!#REF!</f>
        <v>#REF!</v>
      </c>
      <c r="O391" s="63" t="e">
        <f>Saisie!#REF!</f>
        <v>#REF!</v>
      </c>
      <c r="P391" s="63">
        <f>Saisie!N391</f>
        <v>0</v>
      </c>
      <c r="Q391" s="63" t="e">
        <f t="array" ref="Q391">_xlfn.IFS(Saisie!#REF!="OUI",1,Saisie!#REF!="NON",0)</f>
        <v>#REF!</v>
      </c>
      <c r="R391" s="63" t="e">
        <f>Saisie!#REF!</f>
        <v>#REF!</v>
      </c>
      <c r="S391" s="65" t="e">
        <f>Saisie!#REF!</f>
        <v>#REF!</v>
      </c>
      <c r="T391" s="63" t="e">
        <f>Saisie!#REF!</f>
        <v>#REF!</v>
      </c>
      <c r="U391" s="63" t="e">
        <f>Saisie!#REF!</f>
        <v>#REF!</v>
      </c>
      <c r="V391" s="63" t="e">
        <f t="array" ref="V391">_xlfn.IFS(Saisie!#REF!="OUI",1,Saisie!#REF!="NON",0)</f>
        <v>#REF!</v>
      </c>
      <c r="W391" s="63" t="e">
        <f t="array" ref="W391">_xlfn.IFS(Saisie!O391="OUI",1,Saisie!O391="NON",0)</f>
        <v>#N/A</v>
      </c>
      <c r="X391" s="63">
        <f>Saisie!P391</f>
        <v>0</v>
      </c>
      <c r="Y391" s="299">
        <f>Saisie!H391</f>
        <v>0</v>
      </c>
      <c r="Z391" s="58" t="e">
        <f>Saisie!#REF!</f>
        <v>#REF!</v>
      </c>
      <c r="AA391" s="299">
        <f>Saisie!Q391</f>
        <v>0</v>
      </c>
      <c r="AB391" s="63" t="e">
        <f t="array" ref="AB391">_xlfn.IFS(Saisie!R391="OUI",1,Saisie!R391="NON",0)</f>
        <v>#N/A</v>
      </c>
      <c r="AC391" s="63">
        <f>Saisie!S391</f>
        <v>0</v>
      </c>
      <c r="AD391" s="63" t="e">
        <f t="array" ref="AD391">_xlfn.IFS(Saisie!T391="OUI",1,Saisie!T391="NON",0)</f>
        <v>#N/A</v>
      </c>
      <c r="AE391" s="171">
        <f>Saisie!U391</f>
        <v>0</v>
      </c>
      <c r="AF391" s="262">
        <v>3</v>
      </c>
      <c r="AG391" s="129">
        <f>Saisie!W391</f>
        <v>0</v>
      </c>
      <c r="AH391" s="20">
        <f>Saisie!X391</f>
        <v>0</v>
      </c>
      <c r="AI391" s="21">
        <f>Saisie!Y391</f>
        <v>0</v>
      </c>
      <c r="AJ391" s="59">
        <f>Saisie!Z391</f>
        <v>0</v>
      </c>
      <c r="AK391" s="20">
        <f>Saisie!AA391</f>
        <v>0</v>
      </c>
      <c r="AL391" s="21">
        <f>Saisie!AB391</f>
        <v>0</v>
      </c>
      <c r="AM391" s="59">
        <f>Saisie!AC391</f>
        <v>0</v>
      </c>
      <c r="AN391" s="20">
        <f>Saisie!AD391</f>
        <v>0</v>
      </c>
      <c r="AO391" s="21">
        <f>Saisie!AE391</f>
        <v>0</v>
      </c>
      <c r="AP391" s="59">
        <f>Saisie!AF391</f>
        <v>0</v>
      </c>
      <c r="AQ391" s="129" t="e">
        <f t="array" ref="AQ391">_xlfn.IFS(Saisie!AG391="OUI",1,Saisie!AG391="NON",0)</f>
        <v>#N/A</v>
      </c>
      <c r="AR391" s="129" t="e">
        <f t="array" ref="AR391">_xlfn.IFS(Saisie!AH391="OUI",1,Saisie!AH391="NON",0)</f>
        <v>#N/A</v>
      </c>
      <c r="AS391" s="171">
        <f>Saisie!AI391</f>
        <v>0</v>
      </c>
      <c r="AT391" s="263" t="e">
        <f t="array" ref="AT391">_xlfn.IFS(Saisie!AJ391="OUI",1,Saisie!AJ391="NON",0)</f>
        <v>#N/A</v>
      </c>
      <c r="AU391" s="173">
        <f>Saisie!AK391</f>
        <v>0</v>
      </c>
      <c r="AV391" s="263" t="e">
        <f t="array" ref="AV391">_xlfn.IFS(Saisie!AL391="OUI",1,Saisie!AL391="NON",0)</f>
        <v>#N/A</v>
      </c>
      <c r="AW391" s="171">
        <f>Saisie!AM391</f>
        <v>0</v>
      </c>
      <c r="AX391" s="68">
        <f>Saisie!AN391</f>
        <v>0</v>
      </c>
      <c r="AY391" s="20">
        <f>Saisie!AO391</f>
        <v>0</v>
      </c>
      <c r="AZ391" s="21">
        <f>Saisie!AP391</f>
        <v>0</v>
      </c>
      <c r="BA391" s="298">
        <f>Saisie!AQ391</f>
        <v>0</v>
      </c>
      <c r="BB391" s="170">
        <f>Saisie!AR391</f>
        <v>0</v>
      </c>
      <c r="BC391" s="174">
        <f>Saisie!AS391</f>
        <v>0</v>
      </c>
      <c r="BD391" s="61">
        <f>Saisie!AT391</f>
        <v>0</v>
      </c>
      <c r="BE391" s="175" t="e">
        <f t="array" ref="BE391">_xlfn.IFS(Saisie!AU391="OUI",1,Saisie!AU391="NON",0)</f>
        <v>#N/A</v>
      </c>
      <c r="BF391" s="267">
        <f>Saisie!AV391</f>
        <v>0</v>
      </c>
      <c r="BG391" s="55">
        <f>Saisie!AW391</f>
        <v>0</v>
      </c>
      <c r="BH391" s="55" t="e">
        <f t="array" ref="BH391">_xlfn.IFS(Saisie!AX391="OUI",1,Saisie!AX391="NON",0)</f>
        <v>#N/A</v>
      </c>
      <c r="BI391" s="62">
        <f>Saisie!AY391</f>
        <v>0</v>
      </c>
      <c r="BJ391" s="55" t="e">
        <f t="array" ref="BJ391">_xlfn.IFS(Saisie!AZ391="OUI",1,Saisie!AZ391="NON",0)</f>
        <v>#N/A</v>
      </c>
      <c r="BK391" s="55" t="e">
        <f t="array" ref="BK391">_xlfn.IFS(Saisie!BA391="OUI",1,Saisie!BA391="NON",0)</f>
        <v>#N/A</v>
      </c>
      <c r="BL391" s="55">
        <f>Saisie!BB391</f>
        <v>0</v>
      </c>
      <c r="BM391" s="49" t="e">
        <f>Saisie!BC391</f>
        <v>#REF!</v>
      </c>
      <c r="BN391" s="175"/>
    </row>
    <row r="392" spans="1:66" s="176" customFormat="1" x14ac:dyDescent="0.45">
      <c r="A392" s="13">
        <v>387</v>
      </c>
      <c r="B392" s="150">
        <f>Saisie!B392</f>
        <v>0</v>
      </c>
      <c r="C392" s="150">
        <f>Saisie!C392</f>
        <v>0</v>
      </c>
      <c r="D392" s="150">
        <f>Saisie!D392</f>
        <v>0</v>
      </c>
      <c r="E392" s="150">
        <f>Saisie!E392</f>
        <v>0</v>
      </c>
      <c r="F392" s="150">
        <f>Saisie!F392</f>
        <v>0</v>
      </c>
      <c r="G392" s="150">
        <f>Saisie!G392</f>
        <v>0</v>
      </c>
      <c r="H392" s="150">
        <f>Saisie!I392</f>
        <v>0</v>
      </c>
      <c r="I392" s="150">
        <f>Saisie!J392</f>
        <v>0</v>
      </c>
      <c r="J392" s="150">
        <f>Saisie!K392</f>
        <v>0</v>
      </c>
      <c r="K392" s="150">
        <f>Saisie!L392</f>
        <v>0</v>
      </c>
      <c r="L392" s="150" t="e">
        <f>Saisie!#REF!</f>
        <v>#REF!</v>
      </c>
      <c r="M392" s="55" t="e">
        <f t="array" ref="M392">_xlfn.IFS(Saisie!M392="OUI",1,Saisie!M392="NON",0)</f>
        <v>#N/A</v>
      </c>
      <c r="N392" s="64" t="e">
        <f>Saisie!#REF!</f>
        <v>#REF!</v>
      </c>
      <c r="O392" s="63" t="e">
        <f>Saisie!#REF!</f>
        <v>#REF!</v>
      </c>
      <c r="P392" s="63">
        <f>Saisie!N392</f>
        <v>0</v>
      </c>
      <c r="Q392" s="63" t="e">
        <f t="array" ref="Q392">_xlfn.IFS(Saisie!#REF!="OUI",1,Saisie!#REF!="NON",0)</f>
        <v>#REF!</v>
      </c>
      <c r="R392" s="63" t="e">
        <f>Saisie!#REF!</f>
        <v>#REF!</v>
      </c>
      <c r="S392" s="65" t="e">
        <f>Saisie!#REF!</f>
        <v>#REF!</v>
      </c>
      <c r="T392" s="63" t="e">
        <f>Saisie!#REF!</f>
        <v>#REF!</v>
      </c>
      <c r="U392" s="63" t="e">
        <f>Saisie!#REF!</f>
        <v>#REF!</v>
      </c>
      <c r="V392" s="63" t="e">
        <f t="array" ref="V392">_xlfn.IFS(Saisie!#REF!="OUI",1,Saisie!#REF!="NON",0)</f>
        <v>#REF!</v>
      </c>
      <c r="W392" s="63" t="e">
        <f t="array" ref="W392">_xlfn.IFS(Saisie!O392="OUI",1,Saisie!O392="NON",0)</f>
        <v>#N/A</v>
      </c>
      <c r="X392" s="63">
        <f>Saisie!P392</f>
        <v>0</v>
      </c>
      <c r="Y392" s="299">
        <f>Saisie!H392</f>
        <v>0</v>
      </c>
      <c r="Z392" s="58" t="e">
        <f>Saisie!#REF!</f>
        <v>#REF!</v>
      </c>
      <c r="AA392" s="299">
        <f>Saisie!Q392</f>
        <v>0</v>
      </c>
      <c r="AB392" s="63" t="e">
        <f t="array" ref="AB392">_xlfn.IFS(Saisie!R392="OUI",1,Saisie!R392="NON",0)</f>
        <v>#N/A</v>
      </c>
      <c r="AC392" s="63">
        <f>Saisie!S392</f>
        <v>0</v>
      </c>
      <c r="AD392" s="63" t="e">
        <f t="array" ref="AD392">_xlfn.IFS(Saisie!T392="OUI",1,Saisie!T392="NON",0)</f>
        <v>#N/A</v>
      </c>
      <c r="AE392" s="171">
        <f>Saisie!U392</f>
        <v>0</v>
      </c>
      <c r="AF392" s="262">
        <v>1</v>
      </c>
      <c r="AG392" s="129">
        <f>Saisie!W392</f>
        <v>0</v>
      </c>
      <c r="AH392" s="20">
        <f>Saisie!X392</f>
        <v>0</v>
      </c>
      <c r="AI392" s="21">
        <f>Saisie!Y392</f>
        <v>0</v>
      </c>
      <c r="AJ392" s="59">
        <f>Saisie!Z392</f>
        <v>0</v>
      </c>
      <c r="AK392" s="20">
        <f>Saisie!AA392</f>
        <v>0</v>
      </c>
      <c r="AL392" s="21">
        <f>Saisie!AB392</f>
        <v>0</v>
      </c>
      <c r="AM392" s="59">
        <f>Saisie!AC392</f>
        <v>0</v>
      </c>
      <c r="AN392" s="20">
        <f>Saisie!AD392</f>
        <v>0</v>
      </c>
      <c r="AO392" s="21">
        <f>Saisie!AE392</f>
        <v>0</v>
      </c>
      <c r="AP392" s="59">
        <f>Saisie!AF392</f>
        <v>0</v>
      </c>
      <c r="AQ392" s="129" t="e">
        <f t="array" ref="AQ392">_xlfn.IFS(Saisie!AG392="OUI",1,Saisie!AG392="NON",0)</f>
        <v>#N/A</v>
      </c>
      <c r="AR392" s="129" t="e">
        <f t="array" ref="AR392">_xlfn.IFS(Saisie!AH392="OUI",1,Saisie!AH392="NON",0)</f>
        <v>#N/A</v>
      </c>
      <c r="AS392" s="171">
        <f>Saisie!AI392</f>
        <v>0</v>
      </c>
      <c r="AT392" s="263" t="e">
        <f t="array" ref="AT392">_xlfn.IFS(Saisie!AJ392="OUI",1,Saisie!AJ392="NON",0)</f>
        <v>#N/A</v>
      </c>
      <c r="AU392" s="173">
        <f>Saisie!AK392</f>
        <v>0</v>
      </c>
      <c r="AV392" s="263" t="e">
        <f t="array" ref="AV392">_xlfn.IFS(Saisie!AL392="OUI",1,Saisie!AL392="NON",0)</f>
        <v>#N/A</v>
      </c>
      <c r="AW392" s="171">
        <f>Saisie!AM392</f>
        <v>0</v>
      </c>
      <c r="AX392" s="68">
        <f>Saisie!AN392</f>
        <v>0</v>
      </c>
      <c r="AY392" s="20">
        <f>Saisie!AO392</f>
        <v>0</v>
      </c>
      <c r="AZ392" s="21">
        <f>Saisie!AP392</f>
        <v>0</v>
      </c>
      <c r="BA392" s="298">
        <f>Saisie!AQ392</f>
        <v>0</v>
      </c>
      <c r="BB392" s="170">
        <f>Saisie!AR392</f>
        <v>0</v>
      </c>
      <c r="BC392" s="174">
        <f>Saisie!AS392</f>
        <v>0</v>
      </c>
      <c r="BD392" s="61">
        <f>Saisie!AT392</f>
        <v>0</v>
      </c>
      <c r="BE392" s="175" t="e">
        <f t="array" ref="BE392">_xlfn.IFS(Saisie!AU392="OUI",1,Saisie!AU392="NON",0)</f>
        <v>#N/A</v>
      </c>
      <c r="BF392" s="267">
        <f>Saisie!AV392</f>
        <v>0</v>
      </c>
      <c r="BG392" s="55">
        <f>Saisie!AW392</f>
        <v>0</v>
      </c>
      <c r="BH392" s="55" t="e">
        <f t="array" ref="BH392">_xlfn.IFS(Saisie!AX392="OUI",1,Saisie!AX392="NON",0)</f>
        <v>#N/A</v>
      </c>
      <c r="BI392" s="62">
        <f>Saisie!AY392</f>
        <v>0</v>
      </c>
      <c r="BJ392" s="55" t="e">
        <f t="array" ref="BJ392">_xlfn.IFS(Saisie!AZ392="OUI",1,Saisie!AZ392="NON",0)</f>
        <v>#N/A</v>
      </c>
      <c r="BK392" s="55" t="e">
        <f t="array" ref="BK392">_xlfn.IFS(Saisie!BA392="OUI",1,Saisie!BA392="NON",0)</f>
        <v>#N/A</v>
      </c>
      <c r="BL392" s="55">
        <f>Saisie!BB392</f>
        <v>0</v>
      </c>
      <c r="BM392" s="49" t="e">
        <f>Saisie!BC392</f>
        <v>#REF!</v>
      </c>
      <c r="BN392" s="175"/>
    </row>
    <row r="393" spans="1:66" s="176" customFormat="1" x14ac:dyDescent="0.45">
      <c r="A393" s="12">
        <v>388</v>
      </c>
      <c r="B393" s="150">
        <f>Saisie!B393</f>
        <v>0</v>
      </c>
      <c r="C393" s="150">
        <f>Saisie!C393</f>
        <v>0</v>
      </c>
      <c r="D393" s="150">
        <f>Saisie!D393</f>
        <v>0</v>
      </c>
      <c r="E393" s="150">
        <f>Saisie!E393</f>
        <v>0</v>
      </c>
      <c r="F393" s="150">
        <f>Saisie!F393</f>
        <v>0</v>
      </c>
      <c r="G393" s="150">
        <f>Saisie!G393</f>
        <v>0</v>
      </c>
      <c r="H393" s="150">
        <f>Saisie!I393</f>
        <v>0</v>
      </c>
      <c r="I393" s="150">
        <f>Saisie!J393</f>
        <v>0</v>
      </c>
      <c r="J393" s="150">
        <f>Saisie!K393</f>
        <v>0</v>
      </c>
      <c r="K393" s="150">
        <f>Saisie!L393</f>
        <v>0</v>
      </c>
      <c r="L393" s="150" t="e">
        <f>Saisie!#REF!</f>
        <v>#REF!</v>
      </c>
      <c r="M393" s="55" t="e">
        <f t="array" ref="M393">_xlfn.IFS(Saisie!M393="OUI",1,Saisie!M393="NON",0)</f>
        <v>#N/A</v>
      </c>
      <c r="N393" s="64" t="e">
        <f>Saisie!#REF!</f>
        <v>#REF!</v>
      </c>
      <c r="O393" s="63" t="e">
        <f>Saisie!#REF!</f>
        <v>#REF!</v>
      </c>
      <c r="P393" s="63">
        <f>Saisie!N393</f>
        <v>0</v>
      </c>
      <c r="Q393" s="63" t="e">
        <f t="array" ref="Q393">_xlfn.IFS(Saisie!#REF!="OUI",1,Saisie!#REF!="NON",0)</f>
        <v>#REF!</v>
      </c>
      <c r="R393" s="63" t="e">
        <f>Saisie!#REF!</f>
        <v>#REF!</v>
      </c>
      <c r="S393" s="65" t="e">
        <f>Saisie!#REF!</f>
        <v>#REF!</v>
      </c>
      <c r="T393" s="63" t="e">
        <f>Saisie!#REF!</f>
        <v>#REF!</v>
      </c>
      <c r="U393" s="63" t="e">
        <f>Saisie!#REF!</f>
        <v>#REF!</v>
      </c>
      <c r="V393" s="63" t="e">
        <f t="array" ref="V393">_xlfn.IFS(Saisie!#REF!="OUI",1,Saisie!#REF!="NON",0)</f>
        <v>#REF!</v>
      </c>
      <c r="W393" s="63" t="e">
        <f t="array" ref="W393">_xlfn.IFS(Saisie!O393="OUI",1,Saisie!O393="NON",0)</f>
        <v>#N/A</v>
      </c>
      <c r="X393" s="63">
        <f>Saisie!P393</f>
        <v>0</v>
      </c>
      <c r="Y393" s="299">
        <f>Saisie!H393</f>
        <v>0</v>
      </c>
      <c r="Z393" s="58" t="e">
        <f>Saisie!#REF!</f>
        <v>#REF!</v>
      </c>
      <c r="AA393" s="299">
        <f>Saisie!Q393</f>
        <v>0</v>
      </c>
      <c r="AB393" s="63" t="e">
        <f t="array" ref="AB393">_xlfn.IFS(Saisie!R393="OUI",1,Saisie!R393="NON",0)</f>
        <v>#N/A</v>
      </c>
      <c r="AC393" s="63">
        <f>Saisie!S393</f>
        <v>0</v>
      </c>
      <c r="AD393" s="63" t="e">
        <f t="array" ref="AD393">_xlfn.IFS(Saisie!T393="OUI",1,Saisie!T393="NON",0)</f>
        <v>#N/A</v>
      </c>
      <c r="AE393" s="171">
        <f>Saisie!U393</f>
        <v>0</v>
      </c>
      <c r="AF393" s="262">
        <v>1</v>
      </c>
      <c r="AG393" s="129">
        <f>Saisie!W393</f>
        <v>0</v>
      </c>
      <c r="AH393" s="20">
        <f>Saisie!X393</f>
        <v>0</v>
      </c>
      <c r="AI393" s="21">
        <f>Saisie!Y393</f>
        <v>0</v>
      </c>
      <c r="AJ393" s="59">
        <f>Saisie!Z393</f>
        <v>0</v>
      </c>
      <c r="AK393" s="20">
        <f>Saisie!AA393</f>
        <v>0</v>
      </c>
      <c r="AL393" s="21">
        <f>Saisie!AB393</f>
        <v>0</v>
      </c>
      <c r="AM393" s="59">
        <f>Saisie!AC393</f>
        <v>0</v>
      </c>
      <c r="AN393" s="20">
        <f>Saisie!AD393</f>
        <v>0</v>
      </c>
      <c r="AO393" s="21">
        <f>Saisie!AE393</f>
        <v>0</v>
      </c>
      <c r="AP393" s="59">
        <f>Saisie!AF393</f>
        <v>0</v>
      </c>
      <c r="AQ393" s="129" t="e">
        <f t="array" ref="AQ393">_xlfn.IFS(Saisie!AG393="OUI",1,Saisie!AG393="NON",0)</f>
        <v>#N/A</v>
      </c>
      <c r="AR393" s="129" t="e">
        <f t="array" ref="AR393">_xlfn.IFS(Saisie!AH393="OUI",1,Saisie!AH393="NON",0)</f>
        <v>#N/A</v>
      </c>
      <c r="AS393" s="171">
        <f>Saisie!AI393</f>
        <v>0</v>
      </c>
      <c r="AT393" s="263" t="e">
        <f t="array" ref="AT393">_xlfn.IFS(Saisie!AJ393="OUI",1,Saisie!AJ393="NON",0)</f>
        <v>#N/A</v>
      </c>
      <c r="AU393" s="173">
        <f>Saisie!AK393</f>
        <v>0</v>
      </c>
      <c r="AV393" s="263" t="e">
        <f t="array" ref="AV393">_xlfn.IFS(Saisie!AL393="OUI",1,Saisie!AL393="NON",0)</f>
        <v>#N/A</v>
      </c>
      <c r="AW393" s="171">
        <f>Saisie!AM393</f>
        <v>0</v>
      </c>
      <c r="AX393" s="68">
        <f>Saisie!AN393</f>
        <v>0</v>
      </c>
      <c r="AY393" s="20">
        <f>Saisie!AO393</f>
        <v>0</v>
      </c>
      <c r="AZ393" s="21">
        <f>Saisie!AP393</f>
        <v>0</v>
      </c>
      <c r="BA393" s="298">
        <f>Saisie!AQ393</f>
        <v>0</v>
      </c>
      <c r="BB393" s="170">
        <f>Saisie!AR393</f>
        <v>0</v>
      </c>
      <c r="BC393" s="174">
        <f>Saisie!AS393</f>
        <v>0</v>
      </c>
      <c r="BD393" s="61">
        <f>Saisie!AT393</f>
        <v>0</v>
      </c>
      <c r="BE393" s="175" t="e">
        <f t="array" ref="BE393">_xlfn.IFS(Saisie!AU393="OUI",1,Saisie!AU393="NON",0)</f>
        <v>#N/A</v>
      </c>
      <c r="BF393" s="267">
        <f>Saisie!AV393</f>
        <v>0</v>
      </c>
      <c r="BG393" s="55">
        <f>Saisie!AW393</f>
        <v>0</v>
      </c>
      <c r="BH393" s="55" t="e">
        <f t="array" ref="BH393">_xlfn.IFS(Saisie!AX393="OUI",1,Saisie!AX393="NON",0)</f>
        <v>#N/A</v>
      </c>
      <c r="BI393" s="62">
        <f>Saisie!AY393</f>
        <v>0</v>
      </c>
      <c r="BJ393" s="55" t="e">
        <f t="array" ref="BJ393">_xlfn.IFS(Saisie!AZ393="OUI",1,Saisie!AZ393="NON",0)</f>
        <v>#N/A</v>
      </c>
      <c r="BK393" s="55" t="e">
        <f t="array" ref="BK393">_xlfn.IFS(Saisie!BA393="OUI",1,Saisie!BA393="NON",0)</f>
        <v>#N/A</v>
      </c>
      <c r="BL393" s="55">
        <f>Saisie!BB393</f>
        <v>0</v>
      </c>
      <c r="BM393" s="49" t="e">
        <f>Saisie!BC393</f>
        <v>#REF!</v>
      </c>
      <c r="BN393" s="175"/>
    </row>
    <row r="394" spans="1:66" s="176" customFormat="1" x14ac:dyDescent="0.45">
      <c r="A394" s="13">
        <v>389</v>
      </c>
      <c r="B394" s="150">
        <f>Saisie!B394</f>
        <v>0</v>
      </c>
      <c r="C394" s="150">
        <f>Saisie!C394</f>
        <v>0</v>
      </c>
      <c r="D394" s="150">
        <f>Saisie!D394</f>
        <v>0</v>
      </c>
      <c r="E394" s="150">
        <f>Saisie!E394</f>
        <v>0</v>
      </c>
      <c r="F394" s="150">
        <f>Saisie!F394</f>
        <v>0</v>
      </c>
      <c r="G394" s="150">
        <f>Saisie!G394</f>
        <v>0</v>
      </c>
      <c r="H394" s="150">
        <f>Saisie!I394</f>
        <v>0</v>
      </c>
      <c r="I394" s="150">
        <f>Saisie!J394</f>
        <v>0</v>
      </c>
      <c r="J394" s="150">
        <f>Saisie!K394</f>
        <v>0</v>
      </c>
      <c r="K394" s="150">
        <f>Saisie!L394</f>
        <v>0</v>
      </c>
      <c r="L394" s="150" t="e">
        <f>Saisie!#REF!</f>
        <v>#REF!</v>
      </c>
      <c r="M394" s="55" t="e">
        <f t="array" ref="M394">_xlfn.IFS(Saisie!M394="OUI",1,Saisie!M394="NON",0)</f>
        <v>#N/A</v>
      </c>
      <c r="N394" s="64" t="e">
        <f>Saisie!#REF!</f>
        <v>#REF!</v>
      </c>
      <c r="O394" s="63" t="e">
        <f>Saisie!#REF!</f>
        <v>#REF!</v>
      </c>
      <c r="P394" s="63">
        <f>Saisie!N394</f>
        <v>0</v>
      </c>
      <c r="Q394" s="63" t="e">
        <f t="array" ref="Q394">_xlfn.IFS(Saisie!#REF!="OUI",1,Saisie!#REF!="NON",0)</f>
        <v>#REF!</v>
      </c>
      <c r="R394" s="63" t="e">
        <f>Saisie!#REF!</f>
        <v>#REF!</v>
      </c>
      <c r="S394" s="65" t="e">
        <f>Saisie!#REF!</f>
        <v>#REF!</v>
      </c>
      <c r="T394" s="63" t="e">
        <f>Saisie!#REF!</f>
        <v>#REF!</v>
      </c>
      <c r="U394" s="63" t="e">
        <f>Saisie!#REF!</f>
        <v>#REF!</v>
      </c>
      <c r="V394" s="63" t="e">
        <f t="array" ref="V394">_xlfn.IFS(Saisie!#REF!="OUI",1,Saisie!#REF!="NON",0)</f>
        <v>#REF!</v>
      </c>
      <c r="W394" s="63" t="e">
        <f t="array" ref="W394">_xlfn.IFS(Saisie!O394="OUI",1,Saisie!O394="NON",0)</f>
        <v>#N/A</v>
      </c>
      <c r="X394" s="63">
        <f>Saisie!P394</f>
        <v>0</v>
      </c>
      <c r="Y394" s="299">
        <f>Saisie!H394</f>
        <v>0</v>
      </c>
      <c r="Z394" s="58" t="e">
        <f>Saisie!#REF!</f>
        <v>#REF!</v>
      </c>
      <c r="AA394" s="299">
        <f>Saisie!Q394</f>
        <v>0</v>
      </c>
      <c r="AB394" s="63" t="e">
        <f t="array" ref="AB394">_xlfn.IFS(Saisie!R394="OUI",1,Saisie!R394="NON",0)</f>
        <v>#N/A</v>
      </c>
      <c r="AC394" s="63">
        <f>Saisie!S394</f>
        <v>0</v>
      </c>
      <c r="AD394" s="63" t="e">
        <f t="array" ref="AD394">_xlfn.IFS(Saisie!T394="OUI",1,Saisie!T394="NON",0)</f>
        <v>#N/A</v>
      </c>
      <c r="AE394" s="171">
        <f>Saisie!U394</f>
        <v>0</v>
      </c>
      <c r="AF394" s="262">
        <v>3</v>
      </c>
      <c r="AG394" s="129">
        <f>Saisie!W394</f>
        <v>0</v>
      </c>
      <c r="AH394" s="20">
        <f>Saisie!X394</f>
        <v>0</v>
      </c>
      <c r="AI394" s="21">
        <f>Saisie!Y394</f>
        <v>0</v>
      </c>
      <c r="AJ394" s="59">
        <f>Saisie!Z394</f>
        <v>0</v>
      </c>
      <c r="AK394" s="20">
        <f>Saisie!AA394</f>
        <v>0</v>
      </c>
      <c r="AL394" s="21">
        <f>Saisie!AB394</f>
        <v>0</v>
      </c>
      <c r="AM394" s="59">
        <f>Saisie!AC394</f>
        <v>0</v>
      </c>
      <c r="AN394" s="20">
        <f>Saisie!AD394</f>
        <v>0</v>
      </c>
      <c r="AO394" s="21">
        <f>Saisie!AE394</f>
        <v>0</v>
      </c>
      <c r="AP394" s="59">
        <f>Saisie!AF394</f>
        <v>0</v>
      </c>
      <c r="AQ394" s="129" t="e">
        <f t="array" ref="AQ394">_xlfn.IFS(Saisie!AG394="OUI",1,Saisie!AG394="NON",0)</f>
        <v>#N/A</v>
      </c>
      <c r="AR394" s="129" t="e">
        <f t="array" ref="AR394">_xlfn.IFS(Saisie!AH394="OUI",1,Saisie!AH394="NON",0)</f>
        <v>#N/A</v>
      </c>
      <c r="AS394" s="171">
        <f>Saisie!AI394</f>
        <v>0</v>
      </c>
      <c r="AT394" s="263" t="e">
        <f t="array" ref="AT394">_xlfn.IFS(Saisie!AJ394="OUI",1,Saisie!AJ394="NON",0)</f>
        <v>#N/A</v>
      </c>
      <c r="AU394" s="173">
        <f>Saisie!AK394</f>
        <v>0</v>
      </c>
      <c r="AV394" s="263" t="e">
        <f t="array" ref="AV394">_xlfn.IFS(Saisie!AL394="OUI",1,Saisie!AL394="NON",0)</f>
        <v>#N/A</v>
      </c>
      <c r="AW394" s="171">
        <f>Saisie!AM394</f>
        <v>0</v>
      </c>
      <c r="AX394" s="68">
        <f>Saisie!AN394</f>
        <v>0</v>
      </c>
      <c r="AY394" s="20">
        <f>Saisie!AO394</f>
        <v>0</v>
      </c>
      <c r="AZ394" s="21">
        <f>Saisie!AP394</f>
        <v>0</v>
      </c>
      <c r="BA394" s="298">
        <f>Saisie!AQ394</f>
        <v>0</v>
      </c>
      <c r="BB394" s="170">
        <f>Saisie!AR394</f>
        <v>0</v>
      </c>
      <c r="BC394" s="174">
        <f>Saisie!AS394</f>
        <v>0</v>
      </c>
      <c r="BD394" s="61">
        <f>Saisie!AT394</f>
        <v>0</v>
      </c>
      <c r="BE394" s="175" t="e">
        <f t="array" ref="BE394">_xlfn.IFS(Saisie!AU394="OUI",1,Saisie!AU394="NON",0)</f>
        <v>#N/A</v>
      </c>
      <c r="BF394" s="267">
        <f>Saisie!AV394</f>
        <v>0</v>
      </c>
      <c r="BG394" s="55">
        <f>Saisie!AW394</f>
        <v>0</v>
      </c>
      <c r="BH394" s="55" t="e">
        <f t="array" ref="BH394">_xlfn.IFS(Saisie!AX394="OUI",1,Saisie!AX394="NON",0)</f>
        <v>#N/A</v>
      </c>
      <c r="BI394" s="62">
        <f>Saisie!AY394</f>
        <v>0</v>
      </c>
      <c r="BJ394" s="55" t="e">
        <f t="array" ref="BJ394">_xlfn.IFS(Saisie!AZ394="OUI",1,Saisie!AZ394="NON",0)</f>
        <v>#N/A</v>
      </c>
      <c r="BK394" s="55" t="e">
        <f t="array" ref="BK394">_xlfn.IFS(Saisie!BA394="OUI",1,Saisie!BA394="NON",0)</f>
        <v>#N/A</v>
      </c>
      <c r="BL394" s="55">
        <f>Saisie!BB394</f>
        <v>0</v>
      </c>
      <c r="BM394" s="49" t="e">
        <f>Saisie!BC394</f>
        <v>#REF!</v>
      </c>
      <c r="BN394" s="175"/>
    </row>
    <row r="395" spans="1:66" s="359" customFormat="1" x14ac:dyDescent="0.45">
      <c r="A395" s="346">
        <v>390</v>
      </c>
      <c r="B395" s="347"/>
      <c r="C395" s="348"/>
      <c r="D395" s="349"/>
      <c r="E395" s="349" t="s">
        <v>177</v>
      </c>
      <c r="F395" s="349"/>
      <c r="G395" s="349"/>
      <c r="H395" s="349"/>
      <c r="I395" s="349"/>
      <c r="J395" s="349"/>
      <c r="K395" s="349"/>
      <c r="L395" s="349" t="e">
        <f>SUM(L7:L394)</f>
        <v>#REF!</v>
      </c>
      <c r="M395" s="350">
        <f>SUMIF(M7:M394,"1",M7:M394)</f>
        <v>0</v>
      </c>
      <c r="N395" s="351"/>
      <c r="O395" s="350"/>
      <c r="P395" s="349"/>
      <c r="Q395" s="352">
        <f>SUMIF(Q7:Q394,"1",Q7:Q394)</f>
        <v>0</v>
      </c>
      <c r="R395" s="349"/>
      <c r="S395" s="349"/>
      <c r="T395" s="349"/>
      <c r="U395" s="349"/>
      <c r="V395" s="349">
        <f>SUMIF(V7:V394,"1",V7:V394)</f>
        <v>0</v>
      </c>
      <c r="W395" s="349">
        <f>SUMIF(W7:W394,"1",W7:W394)</f>
        <v>0</v>
      </c>
      <c r="X395" s="349"/>
      <c r="Y395" s="353"/>
      <c r="Z395" s="349"/>
      <c r="AA395" s="353"/>
      <c r="AB395" s="350">
        <f>SUMIF(AB7:AB394,"1",AB7:AB394)</f>
        <v>0</v>
      </c>
      <c r="AC395" s="349"/>
      <c r="AD395" s="349">
        <f>SUMIF(AD7:AD394,"1",AD7:AD394)</f>
        <v>0</v>
      </c>
      <c r="AE395" s="349"/>
      <c r="AF395" s="352">
        <f>SUM(AF7:AF394)</f>
        <v>1098</v>
      </c>
      <c r="AG395" s="352"/>
      <c r="AH395" s="349"/>
      <c r="AI395" s="349"/>
      <c r="AJ395" s="349"/>
      <c r="AK395" s="349"/>
      <c r="AL395" s="349"/>
      <c r="AM395" s="349"/>
      <c r="AN395" s="349"/>
      <c r="AO395" s="349"/>
      <c r="AP395" s="349"/>
      <c r="AQ395" s="349">
        <f>SUMIF(AQ7:AQ394,"1",AQ7:AQ394)</f>
        <v>0</v>
      </c>
      <c r="AR395" s="349">
        <f>SUMIF(AR7:AR394,"1",AR7:AR394)</f>
        <v>0</v>
      </c>
      <c r="AS395" s="349"/>
      <c r="AT395" s="349">
        <f>SUMIF(AT7:AT394,"1",AT7:AT394)</f>
        <v>0</v>
      </c>
      <c r="AU395" s="354"/>
      <c r="AV395" s="349">
        <f>SUMIF(AV7:AV394,"1",AV7:AV394)</f>
        <v>0</v>
      </c>
      <c r="AW395" s="349"/>
      <c r="AX395" s="350"/>
      <c r="AY395" s="349"/>
      <c r="AZ395" s="349"/>
      <c r="BA395" s="353"/>
      <c r="BB395" s="349"/>
      <c r="BC395" s="355"/>
      <c r="BD395" s="355"/>
      <c r="BE395" s="356">
        <f>SUMIF(BE7:BE394,"1",BE7:BE394)</f>
        <v>0</v>
      </c>
      <c r="BF395" s="357"/>
      <c r="BG395" s="349"/>
      <c r="BH395" s="352">
        <f>SUMIF(BH7:BH394,"1",BH7:BH394)</f>
        <v>0</v>
      </c>
      <c r="BI395" s="354"/>
      <c r="BJ395" s="349">
        <f>SUMIF(BJ7:BJ394,"1",BJ7:BJ394)</f>
        <v>0</v>
      </c>
      <c r="BK395" s="349">
        <f>SUMIF(BK7:BK394,"1",BK7:BK394)</f>
        <v>0</v>
      </c>
      <c r="BL395" s="349"/>
      <c r="BM395" s="358" t="e">
        <v>#REF!</v>
      </c>
      <c r="BN395" s="349"/>
    </row>
    <row r="396" spans="1:66" s="176" customFormat="1" x14ac:dyDescent="0.45">
      <c r="A396" s="12">
        <v>391</v>
      </c>
      <c r="B396" s="150"/>
      <c r="C396" s="53"/>
      <c r="D396" s="175"/>
      <c r="E396" s="175"/>
      <c r="F396" s="175"/>
      <c r="G396" s="175"/>
      <c r="H396" s="175"/>
      <c r="I396" s="175"/>
      <c r="J396" s="179"/>
      <c r="K396" s="177"/>
      <c r="L396" s="177"/>
      <c r="M396" s="238"/>
      <c r="N396" s="242"/>
      <c r="O396" s="244"/>
      <c r="P396" s="177"/>
      <c r="Q396" s="210"/>
      <c r="R396" s="177"/>
      <c r="S396" s="179"/>
      <c r="T396" s="177"/>
      <c r="U396" s="177"/>
      <c r="V396" s="179"/>
      <c r="W396" s="179"/>
      <c r="X396" s="177"/>
      <c r="Y396" s="229"/>
      <c r="Z396" s="175"/>
      <c r="AA396" s="284"/>
      <c r="AB396" s="238"/>
      <c r="AC396" s="177"/>
      <c r="AD396" s="179"/>
      <c r="AE396" s="177"/>
      <c r="AF396" s="262"/>
      <c r="AG396" s="262"/>
      <c r="AH396" s="175"/>
      <c r="AI396" s="175"/>
      <c r="AJ396" s="175"/>
      <c r="AK396" s="175"/>
      <c r="AL396" s="175"/>
      <c r="AM396" s="175"/>
      <c r="AN396" s="175"/>
      <c r="AO396" s="175"/>
      <c r="AP396" s="175"/>
      <c r="AQ396" s="179"/>
      <c r="AR396" s="179"/>
      <c r="AS396" s="177"/>
      <c r="AT396" s="179"/>
      <c r="AU396" s="183"/>
      <c r="AV396" s="177"/>
      <c r="AW396" s="177"/>
      <c r="AX396" s="263"/>
      <c r="AY396" s="175"/>
      <c r="AZ396" s="175"/>
      <c r="BA396" s="297"/>
      <c r="BB396" s="175"/>
      <c r="BC396" s="170"/>
      <c r="BD396" s="170"/>
      <c r="BE396" s="214"/>
      <c r="BF396" s="268"/>
      <c r="BG396" s="175"/>
      <c r="BH396" s="210"/>
      <c r="BI396" s="173"/>
      <c r="BJ396" s="179"/>
      <c r="BK396" s="179"/>
      <c r="BL396" s="175"/>
      <c r="BM396" s="49" t="e">
        <v>#REF!</v>
      </c>
      <c r="BN396" s="175"/>
    </row>
    <row r="397" spans="1:66" s="176" customFormat="1" x14ac:dyDescent="0.45">
      <c r="A397" s="13">
        <v>392</v>
      </c>
      <c r="B397" s="155"/>
      <c r="C397" s="85"/>
      <c r="D397" s="175"/>
      <c r="E397" s="175"/>
      <c r="F397" s="175"/>
      <c r="G397" s="175"/>
      <c r="H397" s="175"/>
      <c r="I397" s="175"/>
      <c r="J397" s="179"/>
      <c r="K397" s="177"/>
      <c r="L397" s="177"/>
      <c r="M397" s="238"/>
      <c r="N397" s="242"/>
      <c r="O397" s="244"/>
      <c r="P397" s="177"/>
      <c r="Q397" s="210"/>
      <c r="R397" s="177"/>
      <c r="S397" s="179"/>
      <c r="T397" s="177"/>
      <c r="U397" s="177"/>
      <c r="V397" s="179"/>
      <c r="W397" s="179"/>
      <c r="X397" s="177"/>
      <c r="Y397" s="229"/>
      <c r="Z397" s="175"/>
      <c r="AA397" s="284"/>
      <c r="AB397" s="238"/>
      <c r="AC397" s="177"/>
      <c r="AD397" s="179"/>
      <c r="AE397" s="177"/>
      <c r="AF397" s="262"/>
      <c r="AG397" s="262"/>
      <c r="AH397" s="175"/>
      <c r="AI397" s="175"/>
      <c r="AJ397" s="175"/>
      <c r="AK397" s="175"/>
      <c r="AL397" s="175"/>
      <c r="AM397" s="175"/>
      <c r="AN397" s="175"/>
      <c r="AO397" s="175"/>
      <c r="AP397" s="175"/>
      <c r="AQ397" s="179"/>
      <c r="AR397" s="179"/>
      <c r="AS397" s="177"/>
      <c r="AT397" s="179"/>
      <c r="AU397" s="183"/>
      <c r="AV397" s="177"/>
      <c r="AW397" s="177"/>
      <c r="AX397" s="263"/>
      <c r="AY397" s="175"/>
      <c r="AZ397" s="175"/>
      <c r="BA397" s="297"/>
      <c r="BB397" s="175"/>
      <c r="BC397" s="170"/>
      <c r="BD397" s="170"/>
      <c r="BE397" s="214"/>
      <c r="BF397" s="268"/>
      <c r="BG397" s="175"/>
      <c r="BH397" s="210"/>
      <c r="BI397" s="173"/>
      <c r="BJ397" s="179"/>
      <c r="BK397" s="179"/>
      <c r="BL397" s="175"/>
      <c r="BM397" s="49" t="e">
        <f>IF(OR(#REF!="",#REF!="")=TRUE,"",NETWORKDAYS.INTL(#REF!,#REF!))</f>
        <v>#REF!</v>
      </c>
      <c r="BN397" s="175"/>
    </row>
    <row r="398" spans="1:66" s="176" customFormat="1" x14ac:dyDescent="0.45">
      <c r="A398" s="13">
        <v>393</v>
      </c>
      <c r="B398" s="155"/>
      <c r="C398" s="85"/>
      <c r="D398" s="175"/>
      <c r="E398" s="175"/>
      <c r="F398" s="175"/>
      <c r="G398" s="175"/>
      <c r="H398" s="175"/>
      <c r="I398" s="175"/>
      <c r="J398" s="179"/>
      <c r="K398" s="177"/>
      <c r="L398" s="177"/>
      <c r="M398" s="238"/>
      <c r="N398" s="242"/>
      <c r="O398" s="244"/>
      <c r="P398" s="177"/>
      <c r="Q398" s="210"/>
      <c r="R398" s="177"/>
      <c r="S398" s="179"/>
      <c r="T398" s="177"/>
      <c r="U398" s="177"/>
      <c r="V398" s="179"/>
      <c r="W398" s="179"/>
      <c r="X398" s="177"/>
      <c r="Y398" s="229"/>
      <c r="Z398" s="175"/>
      <c r="AA398" s="284"/>
      <c r="AB398" s="238"/>
      <c r="AC398" s="177"/>
      <c r="AD398" s="179"/>
      <c r="AE398" s="177"/>
      <c r="AF398" s="262"/>
      <c r="AG398" s="262"/>
      <c r="AH398" s="175"/>
      <c r="AI398" s="175"/>
      <c r="AJ398" s="175"/>
      <c r="AK398" s="175"/>
      <c r="AL398" s="175"/>
      <c r="AM398" s="175"/>
      <c r="AN398" s="175"/>
      <c r="AO398" s="175"/>
      <c r="AP398" s="175"/>
      <c r="AQ398" s="179"/>
      <c r="AR398" s="179"/>
      <c r="AS398" s="177"/>
      <c r="AT398" s="179"/>
      <c r="AU398" s="183"/>
      <c r="AV398" s="177"/>
      <c r="AW398" s="177"/>
      <c r="AX398" s="263"/>
      <c r="AY398" s="175"/>
      <c r="AZ398" s="175"/>
      <c r="BA398" s="297"/>
      <c r="BB398" s="175"/>
      <c r="BC398" s="170"/>
      <c r="BD398" s="170"/>
      <c r="BE398" s="214"/>
      <c r="BF398" s="268"/>
      <c r="BG398" s="175"/>
      <c r="BH398" s="210"/>
      <c r="BI398" s="173"/>
      <c r="BJ398" s="179"/>
      <c r="BK398" s="179"/>
      <c r="BL398" s="175"/>
      <c r="BM398" s="49" t="e">
        <f>IF(OR(#REF!="",#REF!="")=TRUE,"",NETWORKDAYS.INTL(#REF!,#REF!))</f>
        <v>#REF!</v>
      </c>
      <c r="BN398" s="175"/>
    </row>
    <row r="399" spans="1:66" s="176" customFormat="1" x14ac:dyDescent="0.45">
      <c r="A399" s="12">
        <v>394</v>
      </c>
      <c r="B399" s="150"/>
      <c r="C399" s="53"/>
      <c r="D399" s="175"/>
      <c r="E399" s="175"/>
      <c r="F399" s="175"/>
      <c r="G399" s="175"/>
      <c r="H399" s="175"/>
      <c r="I399" s="175"/>
      <c r="J399" s="179"/>
      <c r="K399" s="177"/>
      <c r="L399" s="177"/>
      <c r="M399" s="238"/>
      <c r="N399" s="242"/>
      <c r="O399" s="244"/>
      <c r="P399" s="177"/>
      <c r="Q399" s="210"/>
      <c r="R399" s="177"/>
      <c r="S399" s="179"/>
      <c r="T399" s="177"/>
      <c r="U399" s="177"/>
      <c r="V399" s="179"/>
      <c r="W399" s="179"/>
      <c r="X399" s="177"/>
      <c r="Y399" s="229"/>
      <c r="Z399" s="175"/>
      <c r="AA399" s="284"/>
      <c r="AB399" s="238"/>
      <c r="AC399" s="177"/>
      <c r="AD399" s="179"/>
      <c r="AE399" s="177"/>
      <c r="AF399" s="262"/>
      <c r="AG399" s="262"/>
      <c r="AH399" s="175"/>
      <c r="AI399" s="175"/>
      <c r="AJ399" s="175"/>
      <c r="AK399" s="175"/>
      <c r="AL399" s="175"/>
      <c r="AM399" s="175"/>
      <c r="AN399" s="175"/>
      <c r="AO399" s="175"/>
      <c r="AP399" s="175"/>
      <c r="AQ399" s="179"/>
      <c r="AR399" s="179"/>
      <c r="AS399" s="177"/>
      <c r="AT399" s="179"/>
      <c r="AU399" s="183"/>
      <c r="AV399" s="177"/>
      <c r="AW399" s="177"/>
      <c r="AX399" s="263"/>
      <c r="AY399" s="175"/>
      <c r="AZ399" s="175"/>
      <c r="BA399" s="297"/>
      <c r="BB399" s="175"/>
      <c r="BC399" s="170"/>
      <c r="BD399" s="170"/>
      <c r="BE399" s="214"/>
      <c r="BF399" s="268"/>
      <c r="BG399" s="175"/>
      <c r="BH399" s="210"/>
      <c r="BI399" s="173"/>
      <c r="BJ399" s="179"/>
      <c r="BK399" s="179"/>
      <c r="BL399" s="175"/>
      <c r="BM399" s="49" t="e">
        <f>IF(OR(#REF!="",#REF!="")=TRUE,"",NETWORKDAYS.INTL(#REF!,#REF!))</f>
        <v>#REF!</v>
      </c>
      <c r="BN399" s="175"/>
    </row>
    <row r="400" spans="1:66" s="176" customFormat="1" x14ac:dyDescent="0.45">
      <c r="A400" s="13">
        <v>395</v>
      </c>
      <c r="B400" s="155"/>
      <c r="C400" s="85"/>
      <c r="D400" s="175"/>
      <c r="E400" s="175"/>
      <c r="F400" s="175"/>
      <c r="G400" s="175"/>
      <c r="H400" s="175"/>
      <c r="I400" s="175"/>
      <c r="J400" s="179"/>
      <c r="K400" s="177"/>
      <c r="L400" s="177"/>
      <c r="M400" s="238"/>
      <c r="N400" s="242"/>
      <c r="O400" s="244"/>
      <c r="P400" s="177"/>
      <c r="Q400" s="210"/>
      <c r="R400" s="177"/>
      <c r="S400" s="179"/>
      <c r="T400" s="177"/>
      <c r="U400" s="177"/>
      <c r="V400" s="179"/>
      <c r="W400" s="179"/>
      <c r="X400" s="177"/>
      <c r="Y400" s="229"/>
      <c r="Z400" s="175"/>
      <c r="AA400" s="284"/>
      <c r="AB400" s="238"/>
      <c r="AC400" s="177"/>
      <c r="AD400" s="179"/>
      <c r="AE400" s="177"/>
      <c r="AF400" s="262"/>
      <c r="AG400" s="262"/>
      <c r="AH400" s="175"/>
      <c r="AI400" s="175"/>
      <c r="AJ400" s="175"/>
      <c r="AK400" s="175"/>
      <c r="AL400" s="175"/>
      <c r="AM400" s="175"/>
      <c r="AN400" s="175"/>
      <c r="AO400" s="175"/>
      <c r="AP400" s="175"/>
      <c r="AQ400" s="179"/>
      <c r="AR400" s="179"/>
      <c r="AS400" s="177"/>
      <c r="AT400" s="179"/>
      <c r="AU400" s="183"/>
      <c r="AV400" s="177"/>
      <c r="AW400" s="177"/>
      <c r="AX400" s="263"/>
      <c r="AY400" s="175"/>
      <c r="AZ400" s="175"/>
      <c r="BA400" s="297"/>
      <c r="BB400" s="175"/>
      <c r="BC400" s="170"/>
      <c r="BD400" s="170"/>
      <c r="BE400" s="214"/>
      <c r="BF400" s="268"/>
      <c r="BG400" s="175"/>
      <c r="BH400" s="210"/>
      <c r="BI400" s="173"/>
      <c r="BJ400" s="179"/>
      <c r="BK400" s="179"/>
      <c r="BL400" s="175"/>
      <c r="BM400" s="49" t="e">
        <f>IF(OR(#REF!="",#REF!="")=TRUE,"",NETWORKDAYS.INTL(#REF!,#REF!))</f>
        <v>#REF!</v>
      </c>
      <c r="BN400" s="175"/>
    </row>
    <row r="401" spans="1:66" s="176" customFormat="1" x14ac:dyDescent="0.45">
      <c r="A401" s="13">
        <v>396</v>
      </c>
      <c r="B401" s="155"/>
      <c r="C401" s="85"/>
      <c r="D401" s="175"/>
      <c r="E401" s="175"/>
      <c r="F401" s="175"/>
      <c r="G401" s="175"/>
      <c r="H401" s="175"/>
      <c r="I401" s="175"/>
      <c r="J401" s="179"/>
      <c r="K401" s="177"/>
      <c r="L401" s="177"/>
      <c r="M401" s="238"/>
      <c r="N401" s="242"/>
      <c r="O401" s="244"/>
      <c r="P401" s="177"/>
      <c r="Q401" s="210"/>
      <c r="R401" s="177"/>
      <c r="S401" s="179"/>
      <c r="T401" s="177"/>
      <c r="U401" s="177"/>
      <c r="V401" s="179"/>
      <c r="W401" s="179"/>
      <c r="X401" s="177"/>
      <c r="Y401" s="229"/>
      <c r="Z401" s="175"/>
      <c r="AA401" s="284"/>
      <c r="AB401" s="238"/>
      <c r="AC401" s="177"/>
      <c r="AD401" s="179"/>
      <c r="AE401" s="177"/>
      <c r="AF401" s="262"/>
      <c r="AG401" s="262"/>
      <c r="AH401" s="175"/>
      <c r="AI401" s="175"/>
      <c r="AJ401" s="175"/>
      <c r="AK401" s="175"/>
      <c r="AL401" s="175"/>
      <c r="AM401" s="175"/>
      <c r="AN401" s="175"/>
      <c r="AO401" s="175"/>
      <c r="AP401" s="175"/>
      <c r="AQ401" s="179"/>
      <c r="AR401" s="179"/>
      <c r="AS401" s="177"/>
      <c r="AT401" s="179"/>
      <c r="AU401" s="183"/>
      <c r="AV401" s="177"/>
      <c r="AW401" s="177"/>
      <c r="AX401" s="263"/>
      <c r="AY401" s="175"/>
      <c r="AZ401" s="175"/>
      <c r="BA401" s="297"/>
      <c r="BB401" s="175"/>
      <c r="BC401" s="170"/>
      <c r="BD401" s="170"/>
      <c r="BE401" s="214"/>
      <c r="BF401" s="268"/>
      <c r="BG401" s="175"/>
      <c r="BH401" s="210"/>
      <c r="BI401" s="173"/>
      <c r="BJ401" s="179"/>
      <c r="BK401" s="179"/>
      <c r="BL401" s="175"/>
      <c r="BM401" s="49" t="e">
        <f>IF(OR(#REF!="",#REF!="")=TRUE,"",NETWORKDAYS.INTL(#REF!,#REF!))</f>
        <v>#REF!</v>
      </c>
      <c r="BN401" s="175"/>
    </row>
    <row r="402" spans="1:66" s="176" customFormat="1" x14ac:dyDescent="0.45">
      <c r="A402" s="12">
        <v>397</v>
      </c>
      <c r="B402" s="150"/>
      <c r="C402" s="53"/>
      <c r="D402" s="175"/>
      <c r="E402" s="175"/>
      <c r="F402" s="175"/>
      <c r="G402" s="175"/>
      <c r="H402" s="175"/>
      <c r="I402" s="175"/>
      <c r="J402" s="179"/>
      <c r="K402" s="177"/>
      <c r="L402" s="177"/>
      <c r="M402" s="238"/>
      <c r="N402" s="242"/>
      <c r="O402" s="244"/>
      <c r="P402" s="177"/>
      <c r="Q402" s="210"/>
      <c r="R402" s="177"/>
      <c r="S402" s="179"/>
      <c r="T402" s="177"/>
      <c r="U402" s="177"/>
      <c r="V402" s="179"/>
      <c r="W402" s="179"/>
      <c r="X402" s="177"/>
      <c r="Y402" s="229"/>
      <c r="Z402" s="175"/>
      <c r="AA402" s="284"/>
      <c r="AB402" s="238"/>
      <c r="AC402" s="177"/>
      <c r="AD402" s="179"/>
      <c r="AE402" s="177"/>
      <c r="AF402" s="262"/>
      <c r="AG402" s="262"/>
      <c r="AH402" s="175"/>
      <c r="AI402" s="175"/>
      <c r="AJ402" s="175"/>
      <c r="AK402" s="175"/>
      <c r="AL402" s="175"/>
      <c r="AM402" s="175"/>
      <c r="AN402" s="175"/>
      <c r="AO402" s="175"/>
      <c r="AP402" s="175"/>
      <c r="AQ402" s="179"/>
      <c r="AR402" s="179"/>
      <c r="AS402" s="177"/>
      <c r="AT402" s="179"/>
      <c r="AU402" s="183"/>
      <c r="AV402" s="177"/>
      <c r="AW402" s="177"/>
      <c r="AX402" s="263"/>
      <c r="AY402" s="175"/>
      <c r="AZ402" s="175"/>
      <c r="BA402" s="297"/>
      <c r="BB402" s="175"/>
      <c r="BC402" s="170"/>
      <c r="BD402" s="170"/>
      <c r="BE402" s="214"/>
      <c r="BF402" s="268"/>
      <c r="BG402" s="175"/>
      <c r="BH402" s="210"/>
      <c r="BI402" s="173"/>
      <c r="BJ402" s="179"/>
      <c r="BK402" s="179"/>
      <c r="BL402" s="175"/>
      <c r="BM402" s="49" t="e">
        <f>IF(OR(#REF!="",#REF!="")=TRUE,"",NETWORKDAYS.INTL(#REF!,#REF!))</f>
        <v>#REF!</v>
      </c>
      <c r="BN402" s="175"/>
    </row>
    <row r="403" spans="1:66" s="176" customFormat="1" x14ac:dyDescent="0.45">
      <c r="A403" s="13">
        <v>398</v>
      </c>
      <c r="B403" s="155"/>
      <c r="C403" s="85"/>
      <c r="D403" s="175"/>
      <c r="E403" s="175"/>
      <c r="F403" s="175"/>
      <c r="G403" s="175"/>
      <c r="H403" s="175"/>
      <c r="I403" s="175"/>
      <c r="J403" s="179"/>
      <c r="K403" s="177"/>
      <c r="L403" s="177"/>
      <c r="M403" s="238"/>
      <c r="N403" s="242"/>
      <c r="O403" s="244"/>
      <c r="P403" s="177"/>
      <c r="Q403" s="210"/>
      <c r="R403" s="177"/>
      <c r="S403" s="179"/>
      <c r="T403" s="177"/>
      <c r="U403" s="177"/>
      <c r="V403" s="179"/>
      <c r="W403" s="179"/>
      <c r="X403" s="177"/>
      <c r="Y403" s="229"/>
      <c r="Z403" s="175"/>
      <c r="AA403" s="284"/>
      <c r="AB403" s="238"/>
      <c r="AC403" s="177"/>
      <c r="AD403" s="179"/>
      <c r="AE403" s="177"/>
      <c r="AF403" s="262"/>
      <c r="AG403" s="262"/>
      <c r="AH403" s="175"/>
      <c r="AI403" s="175"/>
      <c r="AJ403" s="175"/>
      <c r="AK403" s="175"/>
      <c r="AL403" s="175"/>
      <c r="AM403" s="175"/>
      <c r="AN403" s="175"/>
      <c r="AO403" s="175"/>
      <c r="AP403" s="175"/>
      <c r="AQ403" s="179"/>
      <c r="AR403" s="179"/>
      <c r="AS403" s="177"/>
      <c r="AT403" s="179"/>
      <c r="AU403" s="183"/>
      <c r="AV403" s="177"/>
      <c r="AW403" s="177"/>
      <c r="AX403" s="263"/>
      <c r="AY403" s="175"/>
      <c r="AZ403" s="175"/>
      <c r="BA403" s="297"/>
      <c r="BB403" s="175"/>
      <c r="BC403" s="170"/>
      <c r="BD403" s="170"/>
      <c r="BE403" s="214"/>
      <c r="BF403" s="268"/>
      <c r="BG403" s="175"/>
      <c r="BH403" s="210"/>
      <c r="BI403" s="173"/>
      <c r="BJ403" s="179"/>
      <c r="BK403" s="179"/>
      <c r="BL403" s="175"/>
      <c r="BM403" s="49" t="e">
        <f>IF(OR(#REF!="",#REF!="")=TRUE,"",NETWORKDAYS.INTL(#REF!,#REF!))</f>
        <v>#REF!</v>
      </c>
      <c r="BN403" s="175"/>
    </row>
    <row r="404" spans="1:66" s="176" customFormat="1" x14ac:dyDescent="0.45">
      <c r="A404" s="13">
        <v>399</v>
      </c>
      <c r="B404" s="155"/>
      <c r="C404" s="85"/>
      <c r="D404" s="175"/>
      <c r="E404" s="175"/>
      <c r="F404" s="175"/>
      <c r="G404" s="175"/>
      <c r="H404" s="175"/>
      <c r="I404" s="175"/>
      <c r="J404" s="179"/>
      <c r="K404" s="177"/>
      <c r="L404" s="177"/>
      <c r="M404" s="238"/>
      <c r="N404" s="242"/>
      <c r="O404" s="244"/>
      <c r="P404" s="177"/>
      <c r="Q404" s="210"/>
      <c r="R404" s="177"/>
      <c r="S404" s="179"/>
      <c r="T404" s="177"/>
      <c r="U404" s="177"/>
      <c r="V404" s="179"/>
      <c r="W404" s="179"/>
      <c r="X404" s="177"/>
      <c r="Y404" s="229"/>
      <c r="Z404" s="175"/>
      <c r="AA404" s="284"/>
      <c r="AB404" s="238"/>
      <c r="AC404" s="177"/>
      <c r="AD404" s="179"/>
      <c r="AE404" s="177"/>
      <c r="AF404" s="262"/>
      <c r="AG404" s="262"/>
      <c r="AH404" s="175"/>
      <c r="AI404" s="175"/>
      <c r="AJ404" s="175"/>
      <c r="AK404" s="175"/>
      <c r="AL404" s="175"/>
      <c r="AM404" s="175"/>
      <c r="AN404" s="175"/>
      <c r="AO404" s="175"/>
      <c r="AP404" s="175"/>
      <c r="AQ404" s="179"/>
      <c r="AR404" s="179"/>
      <c r="AS404" s="177"/>
      <c r="AT404" s="179"/>
      <c r="AU404" s="183"/>
      <c r="AV404" s="177"/>
      <c r="AW404" s="177"/>
      <c r="AX404" s="263"/>
      <c r="AY404" s="175"/>
      <c r="AZ404" s="175"/>
      <c r="BA404" s="297"/>
      <c r="BB404" s="175"/>
      <c r="BC404" s="170"/>
      <c r="BD404" s="170"/>
      <c r="BE404" s="214"/>
      <c r="BF404" s="268"/>
      <c r="BG404" s="175"/>
      <c r="BH404" s="210"/>
      <c r="BI404" s="173"/>
      <c r="BJ404" s="179"/>
      <c r="BK404" s="179"/>
      <c r="BL404" s="175"/>
      <c r="BM404" s="49" t="e">
        <f>IF(OR(#REF!="",#REF!="")=TRUE,"",NETWORKDAYS.INTL(#REF!,#REF!))</f>
        <v>#REF!</v>
      </c>
      <c r="BN404" s="175"/>
    </row>
    <row r="405" spans="1:66" s="176" customFormat="1" x14ac:dyDescent="0.45">
      <c r="A405" s="12">
        <v>400</v>
      </c>
      <c r="B405" s="150"/>
      <c r="C405" s="53"/>
      <c r="D405" s="175"/>
      <c r="E405" s="175"/>
      <c r="F405" s="175"/>
      <c r="G405" s="175"/>
      <c r="H405" s="175"/>
      <c r="I405" s="175"/>
      <c r="J405" s="179"/>
      <c r="K405" s="177"/>
      <c r="L405" s="177"/>
      <c r="M405" s="238"/>
      <c r="N405" s="242"/>
      <c r="O405" s="244"/>
      <c r="P405" s="177"/>
      <c r="Q405" s="210"/>
      <c r="R405" s="177"/>
      <c r="S405" s="179"/>
      <c r="T405" s="177"/>
      <c r="U405" s="177"/>
      <c r="V405" s="179"/>
      <c r="W405" s="179"/>
      <c r="X405" s="177"/>
      <c r="Y405" s="229"/>
      <c r="Z405" s="175"/>
      <c r="AA405" s="284"/>
      <c r="AB405" s="238"/>
      <c r="AC405" s="177"/>
      <c r="AD405" s="179"/>
      <c r="AE405" s="177"/>
      <c r="AF405" s="262"/>
      <c r="AG405" s="262"/>
      <c r="AH405" s="175"/>
      <c r="AI405" s="175"/>
      <c r="AJ405" s="175"/>
      <c r="AK405" s="175"/>
      <c r="AL405" s="175"/>
      <c r="AM405" s="175"/>
      <c r="AN405" s="175"/>
      <c r="AO405" s="175"/>
      <c r="AP405" s="175"/>
      <c r="AQ405" s="179"/>
      <c r="AR405" s="179"/>
      <c r="AS405" s="177"/>
      <c r="AT405" s="179"/>
      <c r="AU405" s="183"/>
      <c r="AV405" s="177"/>
      <c r="AW405" s="177"/>
      <c r="AX405" s="263"/>
      <c r="AY405" s="175"/>
      <c r="AZ405" s="175"/>
      <c r="BA405" s="297"/>
      <c r="BB405" s="175"/>
      <c r="BC405" s="170"/>
      <c r="BD405" s="170"/>
      <c r="BE405" s="214"/>
      <c r="BF405" s="268"/>
      <c r="BG405" s="175"/>
      <c r="BH405" s="210"/>
      <c r="BI405" s="173"/>
      <c r="BJ405" s="179"/>
      <c r="BK405" s="179"/>
      <c r="BL405" s="175"/>
      <c r="BM405" s="49" t="e">
        <f>IF(OR(#REF!="",#REF!="")=TRUE,"",NETWORKDAYS.INTL(#REF!,#REF!))</f>
        <v>#REF!</v>
      </c>
      <c r="BN405" s="175"/>
    </row>
    <row r="406" spans="1:66" s="176" customFormat="1" x14ac:dyDescent="0.45">
      <c r="A406" s="13">
        <v>401</v>
      </c>
      <c r="B406" s="155"/>
      <c r="C406" s="85"/>
      <c r="D406" s="175"/>
      <c r="E406" s="175"/>
      <c r="F406" s="175"/>
      <c r="G406" s="175"/>
      <c r="H406" s="175"/>
      <c r="I406" s="175"/>
      <c r="J406" s="179"/>
      <c r="K406" s="177"/>
      <c r="L406" s="177"/>
      <c r="M406" s="238"/>
      <c r="N406" s="242"/>
      <c r="O406" s="244"/>
      <c r="P406" s="177"/>
      <c r="Q406" s="210"/>
      <c r="R406" s="177"/>
      <c r="S406" s="179"/>
      <c r="T406" s="177"/>
      <c r="U406" s="177"/>
      <c r="V406" s="179"/>
      <c r="W406" s="179"/>
      <c r="X406" s="177"/>
      <c r="Y406" s="229"/>
      <c r="Z406" s="175"/>
      <c r="AA406" s="284"/>
      <c r="AB406" s="238"/>
      <c r="AC406" s="177"/>
      <c r="AD406" s="179"/>
      <c r="AE406" s="177"/>
      <c r="AF406" s="262"/>
      <c r="AG406" s="262"/>
      <c r="AH406" s="175"/>
      <c r="AI406" s="175"/>
      <c r="AJ406" s="175"/>
      <c r="AK406" s="175"/>
      <c r="AL406" s="175"/>
      <c r="AM406" s="175"/>
      <c r="AN406" s="175"/>
      <c r="AO406" s="175"/>
      <c r="AP406" s="175"/>
      <c r="AQ406" s="179"/>
      <c r="AR406" s="179"/>
      <c r="AS406" s="177"/>
      <c r="AT406" s="179"/>
      <c r="AU406" s="183"/>
      <c r="AV406" s="177"/>
      <c r="AW406" s="177"/>
      <c r="AX406" s="263"/>
      <c r="AY406" s="175"/>
      <c r="AZ406" s="175"/>
      <c r="BA406" s="297"/>
      <c r="BB406" s="175"/>
      <c r="BC406" s="170"/>
      <c r="BD406" s="170"/>
      <c r="BE406" s="214"/>
      <c r="BF406" s="268"/>
      <c r="BG406" s="175"/>
      <c r="BH406" s="210"/>
      <c r="BI406" s="173"/>
      <c r="BJ406" s="179"/>
      <c r="BK406" s="179"/>
      <c r="BL406" s="175"/>
      <c r="BM406" s="49" t="e">
        <f>IF(OR(#REF!="",#REF!="")=TRUE,"",NETWORKDAYS.INTL(#REF!,#REF!))</f>
        <v>#REF!</v>
      </c>
      <c r="BN406" s="175"/>
    </row>
    <row r="407" spans="1:66" s="176" customFormat="1" x14ac:dyDescent="0.45">
      <c r="A407" s="13">
        <v>402</v>
      </c>
      <c r="B407" s="155"/>
      <c r="C407" s="85"/>
      <c r="D407" s="175"/>
      <c r="E407" s="175"/>
      <c r="F407" s="175"/>
      <c r="G407" s="175"/>
      <c r="H407" s="175"/>
      <c r="I407" s="175"/>
      <c r="J407" s="179"/>
      <c r="K407" s="177"/>
      <c r="L407" s="177"/>
      <c r="M407" s="238"/>
      <c r="N407" s="242"/>
      <c r="O407" s="244"/>
      <c r="P407" s="177"/>
      <c r="Q407" s="210"/>
      <c r="R407" s="177"/>
      <c r="S407" s="179"/>
      <c r="T407" s="177"/>
      <c r="U407" s="177"/>
      <c r="V407" s="179"/>
      <c r="W407" s="179"/>
      <c r="X407" s="177"/>
      <c r="Y407" s="229"/>
      <c r="Z407" s="175"/>
      <c r="AA407" s="284"/>
      <c r="AB407" s="238"/>
      <c r="AC407" s="177"/>
      <c r="AD407" s="179"/>
      <c r="AE407" s="177"/>
      <c r="AF407" s="262"/>
      <c r="AG407" s="262"/>
      <c r="AH407" s="175"/>
      <c r="AI407" s="175"/>
      <c r="AJ407" s="175"/>
      <c r="AK407" s="175"/>
      <c r="AL407" s="175"/>
      <c r="AM407" s="175"/>
      <c r="AN407" s="175"/>
      <c r="AO407" s="175"/>
      <c r="AP407" s="175"/>
      <c r="AQ407" s="179"/>
      <c r="AR407" s="179"/>
      <c r="AS407" s="177"/>
      <c r="AT407" s="179"/>
      <c r="AU407" s="183"/>
      <c r="AV407" s="177"/>
      <c r="AW407" s="177"/>
      <c r="AX407" s="263"/>
      <c r="AY407" s="175"/>
      <c r="AZ407" s="175"/>
      <c r="BA407" s="297"/>
      <c r="BB407" s="175"/>
      <c r="BC407" s="170"/>
      <c r="BD407" s="170"/>
      <c r="BE407" s="214"/>
      <c r="BF407" s="268"/>
      <c r="BG407" s="175"/>
      <c r="BH407" s="210"/>
      <c r="BI407" s="173"/>
      <c r="BJ407" s="179"/>
      <c r="BK407" s="179"/>
      <c r="BL407" s="175"/>
      <c r="BM407" s="49" t="e">
        <f>IF(OR(#REF!="",#REF!="")=TRUE,"",NETWORKDAYS.INTL(#REF!,#REF!))</f>
        <v>#REF!</v>
      </c>
      <c r="BN407" s="175"/>
    </row>
    <row r="408" spans="1:66" s="176" customFormat="1" x14ac:dyDescent="0.45">
      <c r="A408" s="12">
        <v>403</v>
      </c>
      <c r="B408" s="150"/>
      <c r="C408" s="53"/>
      <c r="D408" s="175"/>
      <c r="E408" s="175"/>
      <c r="F408" s="175"/>
      <c r="G408" s="175"/>
      <c r="H408" s="175"/>
      <c r="I408" s="175"/>
      <c r="J408" s="179"/>
      <c r="K408" s="177"/>
      <c r="L408" s="177"/>
      <c r="M408" s="238"/>
      <c r="N408" s="242"/>
      <c r="O408" s="244"/>
      <c r="P408" s="177"/>
      <c r="Q408" s="210"/>
      <c r="R408" s="177"/>
      <c r="S408" s="179"/>
      <c r="T408" s="177"/>
      <c r="U408" s="177"/>
      <c r="V408" s="179"/>
      <c r="W408" s="179"/>
      <c r="X408" s="177"/>
      <c r="Y408" s="229"/>
      <c r="Z408" s="175"/>
      <c r="AA408" s="284"/>
      <c r="AB408" s="238"/>
      <c r="AC408" s="177"/>
      <c r="AD408" s="179"/>
      <c r="AE408" s="177"/>
      <c r="AF408" s="262"/>
      <c r="AG408" s="262"/>
      <c r="AH408" s="175"/>
      <c r="AI408" s="175"/>
      <c r="AJ408" s="175"/>
      <c r="AK408" s="175"/>
      <c r="AL408" s="175"/>
      <c r="AM408" s="175"/>
      <c r="AN408" s="175"/>
      <c r="AO408" s="175"/>
      <c r="AP408" s="175"/>
      <c r="AQ408" s="179"/>
      <c r="AR408" s="179"/>
      <c r="AS408" s="177"/>
      <c r="AT408" s="179"/>
      <c r="AU408" s="183"/>
      <c r="AV408" s="177"/>
      <c r="AW408" s="177"/>
      <c r="AX408" s="263"/>
      <c r="AY408" s="175"/>
      <c r="AZ408" s="175"/>
      <c r="BA408" s="297"/>
      <c r="BB408" s="175"/>
      <c r="BC408" s="170"/>
      <c r="BD408" s="170"/>
      <c r="BE408" s="214"/>
      <c r="BF408" s="268"/>
      <c r="BG408" s="175"/>
      <c r="BH408" s="210"/>
      <c r="BI408" s="173"/>
      <c r="BJ408" s="179"/>
      <c r="BK408" s="179"/>
      <c r="BL408" s="175"/>
      <c r="BM408" s="49" t="e">
        <f>IF(OR(#REF!="",#REF!="")=TRUE,"",NETWORKDAYS.INTL(#REF!,#REF!))</f>
        <v>#REF!</v>
      </c>
      <c r="BN408" s="175"/>
    </row>
    <row r="409" spans="1:66" s="176" customFormat="1" x14ac:dyDescent="0.45">
      <c r="A409" s="13">
        <v>404</v>
      </c>
      <c r="B409" s="155"/>
      <c r="C409" s="85"/>
      <c r="D409" s="175"/>
      <c r="E409" s="175"/>
      <c r="F409" s="175"/>
      <c r="G409" s="175"/>
      <c r="H409" s="175"/>
      <c r="I409" s="175"/>
      <c r="J409" s="179"/>
      <c r="K409" s="177"/>
      <c r="L409" s="177"/>
      <c r="M409" s="238"/>
      <c r="N409" s="242"/>
      <c r="O409" s="244"/>
      <c r="P409" s="177"/>
      <c r="Q409" s="210"/>
      <c r="R409" s="177"/>
      <c r="S409" s="179"/>
      <c r="T409" s="177"/>
      <c r="U409" s="177"/>
      <c r="V409" s="179"/>
      <c r="W409" s="179"/>
      <c r="X409" s="177"/>
      <c r="Y409" s="229"/>
      <c r="Z409" s="175"/>
      <c r="AA409" s="284"/>
      <c r="AB409" s="238"/>
      <c r="AC409" s="177"/>
      <c r="AD409" s="179"/>
      <c r="AE409" s="177"/>
      <c r="AF409" s="262"/>
      <c r="AG409" s="262"/>
      <c r="AH409" s="175"/>
      <c r="AI409" s="175"/>
      <c r="AJ409" s="175"/>
      <c r="AK409" s="175"/>
      <c r="AL409" s="175"/>
      <c r="AM409" s="175"/>
      <c r="AN409" s="175"/>
      <c r="AO409" s="175"/>
      <c r="AP409" s="175"/>
      <c r="AQ409" s="179"/>
      <c r="AR409" s="179"/>
      <c r="AS409" s="177"/>
      <c r="AT409" s="179"/>
      <c r="AU409" s="183"/>
      <c r="AV409" s="177"/>
      <c r="AW409" s="177"/>
      <c r="AX409" s="263"/>
      <c r="AY409" s="175"/>
      <c r="AZ409" s="175"/>
      <c r="BA409" s="297"/>
      <c r="BB409" s="175"/>
      <c r="BC409" s="170"/>
      <c r="BD409" s="170"/>
      <c r="BE409" s="214"/>
      <c r="BF409" s="268"/>
      <c r="BG409" s="175"/>
      <c r="BH409" s="210"/>
      <c r="BI409" s="173"/>
      <c r="BJ409" s="179"/>
      <c r="BK409" s="179"/>
      <c r="BL409" s="175"/>
      <c r="BM409" s="49" t="e">
        <f>IF(OR(#REF!="",#REF!="")=TRUE,"",NETWORKDAYS.INTL(#REF!,#REF!))</f>
        <v>#REF!</v>
      </c>
      <c r="BN409" s="175"/>
    </row>
    <row r="410" spans="1:66" s="176" customFormat="1" x14ac:dyDescent="0.45">
      <c r="A410" s="13">
        <v>405</v>
      </c>
      <c r="B410" s="155"/>
      <c r="C410" s="85"/>
      <c r="D410" s="175"/>
      <c r="E410" s="175"/>
      <c r="F410" s="175"/>
      <c r="G410" s="175"/>
      <c r="H410" s="175"/>
      <c r="I410" s="175"/>
      <c r="J410" s="179"/>
      <c r="K410" s="177"/>
      <c r="L410" s="177"/>
      <c r="M410" s="238"/>
      <c r="N410" s="242"/>
      <c r="O410" s="244"/>
      <c r="P410" s="177"/>
      <c r="Q410" s="210"/>
      <c r="R410" s="177"/>
      <c r="S410" s="179"/>
      <c r="T410" s="177"/>
      <c r="U410" s="177"/>
      <c r="V410" s="179"/>
      <c r="W410" s="179"/>
      <c r="X410" s="177"/>
      <c r="Y410" s="229"/>
      <c r="Z410" s="175"/>
      <c r="AA410" s="284"/>
      <c r="AB410" s="238"/>
      <c r="AC410" s="177"/>
      <c r="AD410" s="179"/>
      <c r="AE410" s="177"/>
      <c r="AF410" s="262"/>
      <c r="AG410" s="262"/>
      <c r="AH410" s="175"/>
      <c r="AI410" s="175"/>
      <c r="AJ410" s="175"/>
      <c r="AK410" s="175"/>
      <c r="AL410" s="175"/>
      <c r="AM410" s="175"/>
      <c r="AN410" s="175"/>
      <c r="AO410" s="175"/>
      <c r="AP410" s="175"/>
      <c r="AQ410" s="179"/>
      <c r="AR410" s="179"/>
      <c r="AS410" s="177"/>
      <c r="AT410" s="179"/>
      <c r="AU410" s="183"/>
      <c r="AV410" s="177"/>
      <c r="AW410" s="177"/>
      <c r="AX410" s="263"/>
      <c r="AY410" s="175"/>
      <c r="AZ410" s="175"/>
      <c r="BA410" s="297"/>
      <c r="BB410" s="175"/>
      <c r="BC410" s="170"/>
      <c r="BD410" s="170"/>
      <c r="BE410" s="214"/>
      <c r="BF410" s="268"/>
      <c r="BG410" s="175"/>
      <c r="BH410" s="210"/>
      <c r="BI410" s="173"/>
      <c r="BJ410" s="179"/>
      <c r="BK410" s="179"/>
      <c r="BL410" s="175"/>
      <c r="BM410" s="49" t="e">
        <f>IF(OR(#REF!="",#REF!="")=TRUE,"",NETWORKDAYS.INTL(#REF!,#REF!))</f>
        <v>#REF!</v>
      </c>
      <c r="BN410" s="175"/>
    </row>
    <row r="411" spans="1:66" s="176" customFormat="1" x14ac:dyDescent="0.45">
      <c r="A411" s="12">
        <v>406</v>
      </c>
      <c r="B411" s="150"/>
      <c r="C411" s="53"/>
      <c r="D411" s="175"/>
      <c r="E411" s="175"/>
      <c r="F411" s="175"/>
      <c r="G411" s="175"/>
      <c r="H411" s="175"/>
      <c r="I411" s="175"/>
      <c r="J411" s="179"/>
      <c r="K411" s="177"/>
      <c r="L411" s="177"/>
      <c r="M411" s="238"/>
      <c r="N411" s="242"/>
      <c r="O411" s="244"/>
      <c r="P411" s="177"/>
      <c r="Q411" s="210"/>
      <c r="R411" s="177"/>
      <c r="S411" s="179"/>
      <c r="T411" s="177"/>
      <c r="U411" s="177"/>
      <c r="V411" s="179"/>
      <c r="W411" s="179"/>
      <c r="X411" s="177"/>
      <c r="Y411" s="229"/>
      <c r="Z411" s="175"/>
      <c r="AA411" s="284"/>
      <c r="AB411" s="238"/>
      <c r="AC411" s="177"/>
      <c r="AD411" s="179"/>
      <c r="AE411" s="177"/>
      <c r="AF411" s="262"/>
      <c r="AG411" s="262"/>
      <c r="AH411" s="175"/>
      <c r="AI411" s="175"/>
      <c r="AJ411" s="175"/>
      <c r="AK411" s="175"/>
      <c r="AL411" s="175"/>
      <c r="AM411" s="175"/>
      <c r="AN411" s="175"/>
      <c r="AO411" s="175"/>
      <c r="AP411" s="175"/>
      <c r="AQ411" s="179"/>
      <c r="AR411" s="179"/>
      <c r="AS411" s="177"/>
      <c r="AT411" s="179"/>
      <c r="AU411" s="183"/>
      <c r="AV411" s="177"/>
      <c r="AW411" s="177"/>
      <c r="AX411" s="263"/>
      <c r="AY411" s="175"/>
      <c r="AZ411" s="175"/>
      <c r="BA411" s="297"/>
      <c r="BB411" s="175"/>
      <c r="BC411" s="170"/>
      <c r="BD411" s="170"/>
      <c r="BE411" s="214"/>
      <c r="BF411" s="268"/>
      <c r="BG411" s="175"/>
      <c r="BH411" s="210"/>
      <c r="BI411" s="173"/>
      <c r="BJ411" s="179"/>
      <c r="BK411" s="179"/>
      <c r="BL411" s="175"/>
      <c r="BM411" s="49" t="e">
        <f>IF(OR(#REF!="",#REF!="")=TRUE,"",NETWORKDAYS.INTL(#REF!,#REF!))</f>
        <v>#REF!</v>
      </c>
      <c r="BN411" s="175"/>
    </row>
    <row r="412" spans="1:66" s="176" customFormat="1" x14ac:dyDescent="0.45">
      <c r="A412" s="13">
        <v>407</v>
      </c>
      <c r="B412" s="155"/>
      <c r="C412" s="85"/>
      <c r="D412" s="175"/>
      <c r="E412" s="175"/>
      <c r="F412" s="175"/>
      <c r="G412" s="175"/>
      <c r="H412" s="175"/>
      <c r="I412" s="175"/>
      <c r="J412" s="179"/>
      <c r="K412" s="177"/>
      <c r="L412" s="177"/>
      <c r="M412" s="238"/>
      <c r="N412" s="242"/>
      <c r="O412" s="244"/>
      <c r="P412" s="177"/>
      <c r="Q412" s="210"/>
      <c r="R412" s="177"/>
      <c r="S412" s="179"/>
      <c r="T412" s="177"/>
      <c r="U412" s="177"/>
      <c r="V412" s="179"/>
      <c r="W412" s="179"/>
      <c r="X412" s="177"/>
      <c r="Y412" s="229"/>
      <c r="Z412" s="175"/>
      <c r="AA412" s="284"/>
      <c r="AB412" s="238"/>
      <c r="AC412" s="177"/>
      <c r="AD412" s="179"/>
      <c r="AE412" s="177"/>
      <c r="AF412" s="262"/>
      <c r="AG412" s="262"/>
      <c r="AH412" s="175"/>
      <c r="AI412" s="175"/>
      <c r="AJ412" s="175"/>
      <c r="AK412" s="175"/>
      <c r="AL412" s="175"/>
      <c r="AM412" s="175"/>
      <c r="AN412" s="175"/>
      <c r="AO412" s="175"/>
      <c r="AP412" s="175"/>
      <c r="AQ412" s="179"/>
      <c r="AR412" s="179"/>
      <c r="AS412" s="177"/>
      <c r="AT412" s="179"/>
      <c r="AU412" s="183"/>
      <c r="AV412" s="177"/>
      <c r="AW412" s="177"/>
      <c r="AX412" s="263"/>
      <c r="AY412" s="175"/>
      <c r="AZ412" s="175"/>
      <c r="BA412" s="297"/>
      <c r="BB412" s="175"/>
      <c r="BC412" s="170"/>
      <c r="BD412" s="170"/>
      <c r="BE412" s="214"/>
      <c r="BF412" s="268"/>
      <c r="BG412" s="175"/>
      <c r="BH412" s="210"/>
      <c r="BI412" s="173"/>
      <c r="BJ412" s="179"/>
      <c r="BK412" s="179"/>
      <c r="BL412" s="175"/>
      <c r="BM412" s="49" t="e">
        <f>IF(OR(#REF!="",#REF!="")=TRUE,"",NETWORKDAYS.INTL(#REF!,#REF!))</f>
        <v>#REF!</v>
      </c>
      <c r="BN412" s="175"/>
    </row>
    <row r="413" spans="1:66" s="176" customFormat="1" x14ac:dyDescent="0.45">
      <c r="A413" s="13">
        <v>408</v>
      </c>
      <c r="B413" s="155"/>
      <c r="C413" s="85"/>
      <c r="D413" s="175"/>
      <c r="E413" s="175"/>
      <c r="F413" s="175"/>
      <c r="G413" s="175"/>
      <c r="H413" s="175"/>
      <c r="I413" s="175"/>
      <c r="J413" s="179"/>
      <c r="K413" s="177"/>
      <c r="L413" s="177"/>
      <c r="M413" s="238"/>
      <c r="N413" s="242"/>
      <c r="O413" s="244"/>
      <c r="P413" s="177"/>
      <c r="Q413" s="210"/>
      <c r="R413" s="177"/>
      <c r="S413" s="179"/>
      <c r="T413" s="177"/>
      <c r="U413" s="177"/>
      <c r="V413" s="179"/>
      <c r="W413" s="179"/>
      <c r="X413" s="177"/>
      <c r="Y413" s="229"/>
      <c r="Z413" s="175"/>
      <c r="AA413" s="284"/>
      <c r="AB413" s="238"/>
      <c r="AC413" s="177"/>
      <c r="AD413" s="179"/>
      <c r="AE413" s="177"/>
      <c r="AF413" s="262"/>
      <c r="AG413" s="262"/>
      <c r="AH413" s="175"/>
      <c r="AI413" s="175"/>
      <c r="AJ413" s="175"/>
      <c r="AK413" s="175"/>
      <c r="AL413" s="175"/>
      <c r="AM413" s="175"/>
      <c r="AN413" s="175"/>
      <c r="AO413" s="175"/>
      <c r="AP413" s="175"/>
      <c r="AQ413" s="179"/>
      <c r="AR413" s="179"/>
      <c r="AS413" s="177"/>
      <c r="AT413" s="179"/>
      <c r="AU413" s="183"/>
      <c r="AV413" s="177"/>
      <c r="AW413" s="177"/>
      <c r="AX413" s="263"/>
      <c r="AY413" s="175"/>
      <c r="AZ413" s="175"/>
      <c r="BA413" s="297"/>
      <c r="BB413" s="175"/>
      <c r="BC413" s="170"/>
      <c r="BD413" s="170"/>
      <c r="BE413" s="214"/>
      <c r="BF413" s="268"/>
      <c r="BG413" s="175"/>
      <c r="BH413" s="210"/>
      <c r="BI413" s="173"/>
      <c r="BJ413" s="179"/>
      <c r="BK413" s="179"/>
      <c r="BL413" s="175"/>
      <c r="BM413" s="49" t="e">
        <f>IF(OR(#REF!="",#REF!="")=TRUE,"",NETWORKDAYS.INTL(#REF!,#REF!))</f>
        <v>#REF!</v>
      </c>
      <c r="BN413" s="175"/>
    </row>
    <row r="414" spans="1:66" s="176" customFormat="1" x14ac:dyDescent="0.45">
      <c r="A414" s="12">
        <v>409</v>
      </c>
      <c r="B414" s="150"/>
      <c r="C414" s="53"/>
      <c r="D414" s="175"/>
      <c r="E414" s="175"/>
      <c r="F414" s="175"/>
      <c r="G414" s="175"/>
      <c r="H414" s="175"/>
      <c r="I414" s="175"/>
      <c r="J414" s="179"/>
      <c r="K414" s="177"/>
      <c r="L414" s="177"/>
      <c r="M414" s="238"/>
      <c r="N414" s="242"/>
      <c r="O414" s="244"/>
      <c r="P414" s="177"/>
      <c r="Q414" s="210"/>
      <c r="R414" s="177"/>
      <c r="S414" s="179"/>
      <c r="T414" s="177"/>
      <c r="U414" s="177"/>
      <c r="V414" s="179"/>
      <c r="W414" s="179"/>
      <c r="X414" s="177"/>
      <c r="Y414" s="229"/>
      <c r="Z414" s="175"/>
      <c r="AA414" s="284"/>
      <c r="AB414" s="238"/>
      <c r="AC414" s="177"/>
      <c r="AD414" s="179"/>
      <c r="AE414" s="177"/>
      <c r="AF414" s="262"/>
      <c r="AG414" s="262"/>
      <c r="AH414" s="175"/>
      <c r="AI414" s="175"/>
      <c r="AJ414" s="175"/>
      <c r="AK414" s="175"/>
      <c r="AL414" s="175"/>
      <c r="AM414" s="175"/>
      <c r="AN414" s="175"/>
      <c r="AO414" s="175"/>
      <c r="AP414" s="175"/>
      <c r="AQ414" s="179"/>
      <c r="AR414" s="179"/>
      <c r="AS414" s="177"/>
      <c r="AT414" s="179"/>
      <c r="AU414" s="183"/>
      <c r="AV414" s="177"/>
      <c r="AW414" s="177"/>
      <c r="AX414" s="263"/>
      <c r="AY414" s="175"/>
      <c r="AZ414" s="175"/>
      <c r="BA414" s="297"/>
      <c r="BB414" s="175"/>
      <c r="BC414" s="170"/>
      <c r="BD414" s="170"/>
      <c r="BE414" s="214"/>
      <c r="BF414" s="268"/>
      <c r="BG414" s="175"/>
      <c r="BH414" s="210"/>
      <c r="BI414" s="173"/>
      <c r="BJ414" s="179"/>
      <c r="BK414" s="179"/>
      <c r="BL414" s="175"/>
      <c r="BM414" s="49" t="e">
        <f>IF(OR(#REF!="",#REF!="")=TRUE,"",NETWORKDAYS.INTL(#REF!,#REF!))</f>
        <v>#REF!</v>
      </c>
      <c r="BN414" s="175"/>
    </row>
    <row r="415" spans="1:66" s="176" customFormat="1" x14ac:dyDescent="0.45">
      <c r="A415" s="13">
        <v>410</v>
      </c>
      <c r="B415" s="155"/>
      <c r="C415" s="85"/>
      <c r="D415" s="175"/>
      <c r="E415" s="175"/>
      <c r="F415" s="175"/>
      <c r="G415" s="175"/>
      <c r="H415" s="175"/>
      <c r="I415" s="175"/>
      <c r="J415" s="179"/>
      <c r="K415" s="177"/>
      <c r="L415" s="177"/>
      <c r="M415" s="238"/>
      <c r="N415" s="242"/>
      <c r="O415" s="244"/>
      <c r="P415" s="177"/>
      <c r="Q415" s="210"/>
      <c r="R415" s="177"/>
      <c r="S415" s="179"/>
      <c r="T415" s="177"/>
      <c r="U415" s="177"/>
      <c r="V415" s="179"/>
      <c r="W415" s="179"/>
      <c r="X415" s="177"/>
      <c r="Y415" s="229"/>
      <c r="Z415" s="175"/>
      <c r="AA415" s="284"/>
      <c r="AB415" s="238"/>
      <c r="AC415" s="177"/>
      <c r="AD415" s="179"/>
      <c r="AE415" s="177"/>
      <c r="AF415" s="262"/>
      <c r="AG415" s="262"/>
      <c r="AH415" s="175"/>
      <c r="AI415" s="175"/>
      <c r="AJ415" s="175"/>
      <c r="AK415" s="175"/>
      <c r="AL415" s="175"/>
      <c r="AM415" s="175"/>
      <c r="AN415" s="175"/>
      <c r="AO415" s="175"/>
      <c r="AP415" s="175"/>
      <c r="AQ415" s="179"/>
      <c r="AR415" s="179"/>
      <c r="AS415" s="177"/>
      <c r="AT415" s="179"/>
      <c r="AU415" s="183"/>
      <c r="AV415" s="177"/>
      <c r="AW415" s="177"/>
      <c r="AX415" s="263"/>
      <c r="AY415" s="175"/>
      <c r="AZ415" s="175"/>
      <c r="BA415" s="297"/>
      <c r="BB415" s="175"/>
      <c r="BC415" s="170"/>
      <c r="BD415" s="170"/>
      <c r="BE415" s="214"/>
      <c r="BF415" s="268"/>
      <c r="BG415" s="175"/>
      <c r="BH415" s="210"/>
      <c r="BI415" s="173"/>
      <c r="BJ415" s="179"/>
      <c r="BK415" s="179"/>
      <c r="BL415" s="175"/>
      <c r="BM415" s="49" t="e">
        <f>IF(OR(#REF!="",#REF!="")=TRUE,"",NETWORKDAYS.INTL(#REF!,#REF!))</f>
        <v>#REF!</v>
      </c>
      <c r="BN415" s="175"/>
    </row>
    <row r="416" spans="1:66" s="176" customFormat="1" x14ac:dyDescent="0.45">
      <c r="A416" s="13">
        <v>411</v>
      </c>
      <c r="B416" s="155"/>
      <c r="C416" s="85"/>
      <c r="D416" s="175"/>
      <c r="E416" s="175"/>
      <c r="F416" s="175"/>
      <c r="G416" s="175"/>
      <c r="H416" s="175"/>
      <c r="I416" s="175"/>
      <c r="J416" s="179"/>
      <c r="K416" s="177"/>
      <c r="L416" s="177"/>
      <c r="M416" s="238"/>
      <c r="N416" s="242"/>
      <c r="O416" s="244"/>
      <c r="P416" s="177"/>
      <c r="Q416" s="210"/>
      <c r="R416" s="177"/>
      <c r="S416" s="179"/>
      <c r="T416" s="177"/>
      <c r="U416" s="177"/>
      <c r="V416" s="179"/>
      <c r="W416" s="179"/>
      <c r="X416" s="177"/>
      <c r="Y416" s="229"/>
      <c r="Z416" s="175"/>
      <c r="AA416" s="284"/>
      <c r="AB416" s="238"/>
      <c r="AC416" s="177"/>
      <c r="AD416" s="179"/>
      <c r="AE416" s="177"/>
      <c r="AF416" s="262"/>
      <c r="AG416" s="262"/>
      <c r="AH416" s="175"/>
      <c r="AI416" s="175"/>
      <c r="AJ416" s="175"/>
      <c r="AK416" s="175"/>
      <c r="AL416" s="175"/>
      <c r="AM416" s="175"/>
      <c r="AN416" s="175"/>
      <c r="AO416" s="175"/>
      <c r="AP416" s="175"/>
      <c r="AQ416" s="179"/>
      <c r="AR416" s="179"/>
      <c r="AS416" s="177"/>
      <c r="AT416" s="179"/>
      <c r="AU416" s="183"/>
      <c r="AV416" s="177"/>
      <c r="AW416" s="177"/>
      <c r="AX416" s="263"/>
      <c r="AY416" s="175"/>
      <c r="AZ416" s="175"/>
      <c r="BA416" s="297"/>
      <c r="BB416" s="175"/>
      <c r="BC416" s="170"/>
      <c r="BD416" s="170"/>
      <c r="BE416" s="214"/>
      <c r="BF416" s="268"/>
      <c r="BG416" s="175"/>
      <c r="BH416" s="210"/>
      <c r="BI416" s="173"/>
      <c r="BJ416" s="179"/>
      <c r="BK416" s="179"/>
      <c r="BL416" s="175"/>
      <c r="BM416" s="49" t="e">
        <f>IF(OR(#REF!="",#REF!="")=TRUE,"",NETWORKDAYS.INTL(#REF!,#REF!))</f>
        <v>#REF!</v>
      </c>
      <c r="BN416" s="175"/>
    </row>
    <row r="417" spans="1:66" s="176" customFormat="1" x14ac:dyDescent="0.45">
      <c r="A417" s="12">
        <v>412</v>
      </c>
      <c r="B417" s="150"/>
      <c r="C417" s="53"/>
      <c r="D417" s="175"/>
      <c r="E417" s="175"/>
      <c r="F417" s="175"/>
      <c r="G417" s="175"/>
      <c r="H417" s="175"/>
      <c r="I417" s="175"/>
      <c r="J417" s="179"/>
      <c r="K417" s="177"/>
      <c r="L417" s="177"/>
      <c r="M417" s="238"/>
      <c r="N417" s="242"/>
      <c r="O417" s="244"/>
      <c r="P417" s="177"/>
      <c r="Q417" s="210"/>
      <c r="R417" s="177"/>
      <c r="S417" s="179"/>
      <c r="T417" s="177"/>
      <c r="U417" s="177"/>
      <c r="V417" s="179"/>
      <c r="W417" s="179"/>
      <c r="X417" s="177"/>
      <c r="Y417" s="229"/>
      <c r="Z417" s="175"/>
      <c r="AA417" s="284"/>
      <c r="AB417" s="238"/>
      <c r="AC417" s="177"/>
      <c r="AD417" s="179"/>
      <c r="AE417" s="177"/>
      <c r="AF417" s="262"/>
      <c r="AG417" s="262"/>
      <c r="AH417" s="175"/>
      <c r="AI417" s="175"/>
      <c r="AJ417" s="175"/>
      <c r="AK417" s="175"/>
      <c r="AL417" s="175"/>
      <c r="AM417" s="175"/>
      <c r="AN417" s="175"/>
      <c r="AO417" s="175"/>
      <c r="AP417" s="175"/>
      <c r="AQ417" s="179"/>
      <c r="AR417" s="179"/>
      <c r="AS417" s="177"/>
      <c r="AT417" s="179"/>
      <c r="AU417" s="183"/>
      <c r="AV417" s="177"/>
      <c r="AW417" s="177"/>
      <c r="AX417" s="263"/>
      <c r="AY417" s="175"/>
      <c r="AZ417" s="175"/>
      <c r="BA417" s="297"/>
      <c r="BB417" s="175"/>
      <c r="BC417" s="170"/>
      <c r="BD417" s="170"/>
      <c r="BE417" s="214"/>
      <c r="BF417" s="268"/>
      <c r="BG417" s="175"/>
      <c r="BH417" s="210"/>
      <c r="BI417" s="173"/>
      <c r="BJ417" s="179"/>
      <c r="BK417" s="179"/>
      <c r="BL417" s="175"/>
      <c r="BM417" s="49" t="e">
        <f>IF(OR(#REF!="",#REF!="")=TRUE,"",NETWORKDAYS.INTL(#REF!,#REF!))</f>
        <v>#REF!</v>
      </c>
      <c r="BN417" s="175"/>
    </row>
    <row r="418" spans="1:66" s="176" customFormat="1" x14ac:dyDescent="0.45">
      <c r="A418" s="13">
        <v>413</v>
      </c>
      <c r="B418" s="155"/>
      <c r="C418" s="85"/>
      <c r="D418" s="175"/>
      <c r="E418" s="175"/>
      <c r="F418" s="175"/>
      <c r="G418" s="175"/>
      <c r="H418" s="175"/>
      <c r="I418" s="175"/>
      <c r="J418" s="179"/>
      <c r="K418" s="177"/>
      <c r="L418" s="177"/>
      <c r="M418" s="238"/>
      <c r="N418" s="242"/>
      <c r="O418" s="244"/>
      <c r="P418" s="177"/>
      <c r="Q418" s="210"/>
      <c r="R418" s="177"/>
      <c r="S418" s="179"/>
      <c r="T418" s="177"/>
      <c r="U418" s="177"/>
      <c r="V418" s="179"/>
      <c r="W418" s="179"/>
      <c r="X418" s="177"/>
      <c r="Y418" s="229"/>
      <c r="Z418" s="175"/>
      <c r="AA418" s="284"/>
      <c r="AB418" s="238"/>
      <c r="AC418" s="177"/>
      <c r="AD418" s="179"/>
      <c r="AE418" s="177"/>
      <c r="AF418" s="262"/>
      <c r="AG418" s="262"/>
      <c r="AH418" s="175"/>
      <c r="AI418" s="175"/>
      <c r="AJ418" s="175"/>
      <c r="AK418" s="175"/>
      <c r="AL418" s="175"/>
      <c r="AM418" s="175"/>
      <c r="AN418" s="175"/>
      <c r="AO418" s="175"/>
      <c r="AP418" s="175"/>
      <c r="AQ418" s="179"/>
      <c r="AR418" s="179"/>
      <c r="AS418" s="177"/>
      <c r="AT418" s="179"/>
      <c r="AU418" s="183"/>
      <c r="AV418" s="177"/>
      <c r="AW418" s="177"/>
      <c r="AX418" s="263"/>
      <c r="AY418" s="175"/>
      <c r="AZ418" s="175"/>
      <c r="BA418" s="297"/>
      <c r="BB418" s="175"/>
      <c r="BC418" s="170"/>
      <c r="BD418" s="170"/>
      <c r="BE418" s="214"/>
      <c r="BF418" s="268"/>
      <c r="BG418" s="175"/>
      <c r="BH418" s="210"/>
      <c r="BI418" s="173"/>
      <c r="BJ418" s="179"/>
      <c r="BK418" s="179"/>
      <c r="BL418" s="175"/>
      <c r="BM418" s="49" t="e">
        <f>IF(OR(#REF!="",#REF!="")=TRUE,"",NETWORKDAYS.INTL(#REF!,#REF!))</f>
        <v>#REF!</v>
      </c>
      <c r="BN418" s="175"/>
    </row>
    <row r="419" spans="1:66" s="176" customFormat="1" x14ac:dyDescent="0.45">
      <c r="A419" s="13">
        <v>414</v>
      </c>
      <c r="B419" s="155"/>
      <c r="C419" s="85"/>
      <c r="D419" s="175"/>
      <c r="E419" s="175"/>
      <c r="F419" s="175"/>
      <c r="G419" s="175"/>
      <c r="H419" s="175"/>
      <c r="I419" s="175"/>
      <c r="J419" s="179"/>
      <c r="K419" s="177"/>
      <c r="L419" s="177"/>
      <c r="M419" s="238"/>
      <c r="N419" s="242"/>
      <c r="O419" s="244"/>
      <c r="P419" s="177"/>
      <c r="Q419" s="210"/>
      <c r="R419" s="177"/>
      <c r="S419" s="179"/>
      <c r="T419" s="177"/>
      <c r="U419" s="177"/>
      <c r="V419" s="179"/>
      <c r="W419" s="179"/>
      <c r="X419" s="177"/>
      <c r="Y419" s="229"/>
      <c r="Z419" s="175"/>
      <c r="AA419" s="284"/>
      <c r="AB419" s="238"/>
      <c r="AC419" s="177"/>
      <c r="AD419" s="179"/>
      <c r="AE419" s="177"/>
      <c r="AF419" s="262"/>
      <c r="AG419" s="262"/>
      <c r="AH419" s="175"/>
      <c r="AI419" s="175"/>
      <c r="AJ419" s="175"/>
      <c r="AK419" s="175"/>
      <c r="AL419" s="175"/>
      <c r="AM419" s="175"/>
      <c r="AN419" s="175"/>
      <c r="AO419" s="175"/>
      <c r="AP419" s="175"/>
      <c r="AQ419" s="179"/>
      <c r="AR419" s="179"/>
      <c r="AS419" s="177"/>
      <c r="AT419" s="179"/>
      <c r="AU419" s="183"/>
      <c r="AV419" s="177"/>
      <c r="AW419" s="177"/>
      <c r="AX419" s="263"/>
      <c r="AY419" s="175"/>
      <c r="AZ419" s="175"/>
      <c r="BA419" s="297"/>
      <c r="BB419" s="175"/>
      <c r="BC419" s="170"/>
      <c r="BD419" s="170"/>
      <c r="BE419" s="214"/>
      <c r="BF419" s="268"/>
      <c r="BG419" s="175"/>
      <c r="BH419" s="210"/>
      <c r="BI419" s="173"/>
      <c r="BJ419" s="179"/>
      <c r="BK419" s="179"/>
      <c r="BL419" s="175"/>
      <c r="BM419" s="49" t="e">
        <f>IF(OR(#REF!="",#REF!="")=TRUE,"",NETWORKDAYS.INTL(#REF!,#REF!))</f>
        <v>#REF!</v>
      </c>
      <c r="BN419" s="175"/>
    </row>
    <row r="420" spans="1:66" x14ac:dyDescent="0.45">
      <c r="A420" s="12">
        <v>415</v>
      </c>
      <c r="B420" s="150"/>
      <c r="C420" s="53"/>
      <c r="D420" s="1"/>
      <c r="E420" s="1"/>
      <c r="F420" s="1"/>
      <c r="G420" s="1"/>
      <c r="H420" s="1"/>
      <c r="I420" s="1"/>
      <c r="J420" s="15"/>
      <c r="K420" s="17"/>
      <c r="L420" s="17"/>
      <c r="M420" s="238"/>
      <c r="N420" s="242"/>
      <c r="O420" s="244"/>
      <c r="P420" s="17"/>
      <c r="Q420" s="210"/>
      <c r="R420" s="17"/>
      <c r="S420" s="15"/>
      <c r="T420" s="17"/>
      <c r="U420" s="17"/>
      <c r="V420" s="15"/>
      <c r="W420" s="15"/>
      <c r="X420" s="17"/>
      <c r="Y420" s="229"/>
      <c r="Z420" s="1"/>
      <c r="AA420" s="284"/>
      <c r="AB420" s="238"/>
      <c r="AC420" s="17"/>
      <c r="AD420" s="15"/>
      <c r="AE420" s="17"/>
      <c r="AF420" s="262"/>
      <c r="AG420" s="262"/>
      <c r="AH420" s="1"/>
      <c r="AI420" s="1"/>
      <c r="AJ420" s="1"/>
      <c r="AK420" s="1"/>
      <c r="AL420" s="1"/>
      <c r="AM420" s="1"/>
      <c r="AN420" s="1"/>
      <c r="AO420" s="1"/>
      <c r="AP420" s="1"/>
      <c r="AQ420" s="15"/>
      <c r="AR420" s="15"/>
      <c r="AS420" s="17"/>
      <c r="AT420" s="15"/>
      <c r="AU420" s="124"/>
      <c r="AV420" s="17"/>
      <c r="AW420" s="17"/>
      <c r="AX420" s="263"/>
      <c r="AY420" s="1"/>
      <c r="AZ420" s="1"/>
      <c r="BA420" s="297"/>
      <c r="BB420" s="1"/>
      <c r="BC420" s="11"/>
      <c r="BD420" s="11"/>
      <c r="BE420" s="214"/>
      <c r="BF420" s="268"/>
      <c r="BG420" s="1"/>
      <c r="BH420" s="210"/>
      <c r="BI420" s="60"/>
      <c r="BJ420" s="15"/>
      <c r="BK420" s="15"/>
      <c r="BL420" s="1"/>
      <c r="BM420" s="49" t="e">
        <f>IF(OR(#REF!="",#REF!="")=TRUE,"",NETWORKDAYS.INTL(#REF!,#REF!))</f>
        <v>#REF!</v>
      </c>
    </row>
    <row r="421" spans="1:66" x14ac:dyDescent="0.45">
      <c r="A421" s="13">
        <v>416</v>
      </c>
      <c r="B421" s="155"/>
      <c r="C421" s="85"/>
      <c r="D421" s="1"/>
      <c r="E421" s="1"/>
      <c r="F421" s="1"/>
      <c r="G421" s="1"/>
      <c r="H421" s="1"/>
      <c r="I421" s="1"/>
      <c r="J421" s="15"/>
      <c r="K421" s="17"/>
      <c r="L421" s="17"/>
      <c r="M421" s="238"/>
      <c r="N421" s="242"/>
      <c r="O421" s="244"/>
      <c r="P421" s="17"/>
      <c r="Q421" s="210"/>
      <c r="R421" s="17"/>
      <c r="S421" s="15"/>
      <c r="T421" s="17"/>
      <c r="U421" s="17"/>
      <c r="V421" s="15"/>
      <c r="W421" s="15"/>
      <c r="X421" s="17"/>
      <c r="Y421" s="229"/>
      <c r="Z421" s="1"/>
      <c r="AA421" s="284"/>
      <c r="AB421" s="238"/>
      <c r="AC421" s="17"/>
      <c r="AD421" s="15"/>
      <c r="AE421" s="17"/>
      <c r="AF421" s="262"/>
      <c r="AG421" s="262"/>
      <c r="AH421" s="1"/>
      <c r="AI421" s="1"/>
      <c r="AJ421" s="1"/>
      <c r="AK421" s="1"/>
      <c r="AL421" s="1"/>
      <c r="AM421" s="1"/>
      <c r="AN421" s="1"/>
      <c r="AO421" s="1"/>
      <c r="AP421" s="1"/>
      <c r="AQ421" s="15"/>
      <c r="AR421" s="15"/>
      <c r="AS421" s="17"/>
      <c r="AT421" s="15"/>
      <c r="AU421" s="124"/>
      <c r="AV421" s="17"/>
      <c r="AW421" s="17"/>
      <c r="AX421" s="263"/>
      <c r="AY421" s="1"/>
      <c r="AZ421" s="1"/>
      <c r="BA421" s="297"/>
      <c r="BB421" s="1"/>
      <c r="BC421" s="11"/>
      <c r="BD421" s="11"/>
      <c r="BE421" s="214"/>
      <c r="BF421" s="268"/>
      <c r="BG421" s="1"/>
      <c r="BH421" s="210"/>
      <c r="BI421" s="60"/>
      <c r="BJ421" s="15"/>
      <c r="BK421" s="15"/>
      <c r="BL421" s="1"/>
      <c r="BM421" s="49" t="e">
        <f>IF(OR(#REF!="",#REF!="")=TRUE,"",NETWORKDAYS.INTL(#REF!,#REF!))</f>
        <v>#REF!</v>
      </c>
    </row>
    <row r="422" spans="1:66" x14ac:dyDescent="0.45">
      <c r="A422" s="13">
        <v>417</v>
      </c>
      <c r="B422" s="155"/>
      <c r="C422" s="85"/>
      <c r="D422" s="1"/>
      <c r="E422" s="1"/>
      <c r="F422" s="1"/>
      <c r="G422" s="1"/>
      <c r="H422" s="1"/>
      <c r="I422" s="1"/>
      <c r="J422" s="15"/>
      <c r="K422" s="17"/>
      <c r="L422" s="17"/>
      <c r="M422" s="238"/>
      <c r="N422" s="242"/>
      <c r="O422" s="244"/>
      <c r="P422" s="17"/>
      <c r="Q422" s="210"/>
      <c r="R422" s="17"/>
      <c r="S422" s="15"/>
      <c r="T422" s="17"/>
      <c r="U422" s="17"/>
      <c r="V422" s="15"/>
      <c r="W422" s="15"/>
      <c r="X422" s="17"/>
      <c r="Y422" s="229"/>
      <c r="Z422" s="1"/>
      <c r="AA422" s="284"/>
      <c r="AB422" s="238"/>
      <c r="AC422" s="17"/>
      <c r="AD422" s="15"/>
      <c r="AE422" s="17"/>
      <c r="AF422" s="262"/>
      <c r="AG422" s="262"/>
      <c r="AH422" s="1"/>
      <c r="AI422" s="1"/>
      <c r="AJ422" s="1"/>
      <c r="AK422" s="1"/>
      <c r="AL422" s="1"/>
      <c r="AM422" s="1"/>
      <c r="AN422" s="1"/>
      <c r="AO422" s="1"/>
      <c r="AP422" s="1"/>
      <c r="AQ422" s="15"/>
      <c r="AR422" s="15"/>
      <c r="AS422" s="17"/>
      <c r="AT422" s="15"/>
      <c r="AU422" s="124"/>
      <c r="AV422" s="17"/>
      <c r="AW422" s="17"/>
      <c r="AX422" s="263"/>
      <c r="AY422" s="1"/>
      <c r="AZ422" s="1"/>
      <c r="BA422" s="297"/>
      <c r="BB422" s="1"/>
      <c r="BC422" s="11"/>
      <c r="BD422" s="11"/>
      <c r="BE422" s="214"/>
      <c r="BF422" s="268"/>
      <c r="BG422" s="1"/>
      <c r="BH422" s="210"/>
      <c r="BI422" s="60"/>
      <c r="BJ422" s="15"/>
      <c r="BK422" s="15"/>
      <c r="BL422" s="1"/>
      <c r="BM422" s="49" t="e">
        <f>IF(OR(#REF!="",#REF!="")=TRUE,"",NETWORKDAYS.INTL(#REF!,#REF!))</f>
        <v>#REF!</v>
      </c>
    </row>
    <row r="423" spans="1:66" x14ac:dyDescent="0.45">
      <c r="A423" s="12">
        <v>418</v>
      </c>
      <c r="B423" s="150"/>
      <c r="C423" s="53"/>
      <c r="D423" s="1"/>
      <c r="E423" s="1"/>
      <c r="F423" s="1"/>
      <c r="G423" s="1"/>
      <c r="H423" s="1"/>
      <c r="I423" s="1"/>
      <c r="J423" s="15"/>
      <c r="K423" s="17"/>
      <c r="L423" s="17"/>
      <c r="M423" s="238"/>
      <c r="N423" s="242"/>
      <c r="O423" s="244"/>
      <c r="P423" s="17"/>
      <c r="Q423" s="210"/>
      <c r="R423" s="17"/>
      <c r="S423" s="15"/>
      <c r="T423" s="17"/>
      <c r="U423" s="17"/>
      <c r="V423" s="15"/>
      <c r="W423" s="15"/>
      <c r="X423" s="17"/>
      <c r="Y423" s="229"/>
      <c r="Z423" s="1"/>
      <c r="AA423" s="284"/>
      <c r="AB423" s="238"/>
      <c r="AC423" s="17"/>
      <c r="AD423" s="15"/>
      <c r="AE423" s="17"/>
      <c r="AF423" s="262"/>
      <c r="AG423" s="262"/>
      <c r="AH423" s="1"/>
      <c r="AI423" s="1"/>
      <c r="AJ423" s="1"/>
      <c r="AK423" s="1"/>
      <c r="AL423" s="1"/>
      <c r="AM423" s="1"/>
      <c r="AN423" s="1"/>
      <c r="AO423" s="1"/>
      <c r="AP423" s="1"/>
      <c r="AQ423" s="15"/>
      <c r="AR423" s="15"/>
      <c r="AS423" s="17"/>
      <c r="AT423" s="15"/>
      <c r="AU423" s="124"/>
      <c r="AV423" s="17"/>
      <c r="AW423" s="17"/>
      <c r="AX423" s="263"/>
      <c r="AY423" s="1"/>
      <c r="AZ423" s="1"/>
      <c r="BA423" s="297"/>
      <c r="BB423" s="1"/>
      <c r="BC423" s="11"/>
      <c r="BD423" s="11"/>
      <c r="BE423" s="214"/>
      <c r="BF423" s="268"/>
      <c r="BG423" s="1"/>
      <c r="BH423" s="210"/>
      <c r="BI423" s="60"/>
      <c r="BJ423" s="15"/>
      <c r="BK423" s="15"/>
      <c r="BL423" s="1"/>
      <c r="BM423" s="49" t="e">
        <f>IF(OR(#REF!="",#REF!="")=TRUE,"",NETWORKDAYS.INTL(#REF!,#REF!))</f>
        <v>#REF!</v>
      </c>
    </row>
    <row r="424" spans="1:66" x14ac:dyDescent="0.45">
      <c r="A424" s="13">
        <v>419</v>
      </c>
      <c r="B424" s="155"/>
      <c r="C424" s="85"/>
      <c r="D424" s="1"/>
      <c r="E424" s="1"/>
      <c r="F424" s="1"/>
      <c r="G424" s="1"/>
      <c r="H424" s="1"/>
      <c r="I424" s="1"/>
      <c r="J424" s="15"/>
      <c r="K424" s="17"/>
      <c r="L424" s="17"/>
      <c r="M424" s="238"/>
      <c r="N424" s="242"/>
      <c r="O424" s="244"/>
      <c r="P424" s="17"/>
      <c r="Q424" s="210"/>
      <c r="R424" s="17"/>
      <c r="S424" s="15"/>
      <c r="T424" s="17"/>
      <c r="U424" s="17"/>
      <c r="V424" s="15"/>
      <c r="W424" s="15"/>
      <c r="X424" s="17"/>
      <c r="Y424" s="229"/>
      <c r="Z424" s="1"/>
      <c r="AA424" s="284"/>
      <c r="AB424" s="238"/>
      <c r="AC424" s="17"/>
      <c r="AD424" s="15"/>
      <c r="AE424" s="17"/>
      <c r="AF424" s="262"/>
      <c r="AG424" s="262"/>
      <c r="AH424" s="1"/>
      <c r="AI424" s="1"/>
      <c r="AJ424" s="1"/>
      <c r="AK424" s="1"/>
      <c r="AL424" s="1"/>
      <c r="AM424" s="1"/>
      <c r="AN424" s="1"/>
      <c r="AO424" s="1"/>
      <c r="AP424" s="1"/>
      <c r="AQ424" s="15"/>
      <c r="AR424" s="15"/>
      <c r="AS424" s="17"/>
      <c r="AT424" s="15"/>
      <c r="AU424" s="124"/>
      <c r="AV424" s="17"/>
      <c r="AW424" s="17"/>
      <c r="AX424" s="263"/>
      <c r="AY424" s="1"/>
      <c r="AZ424" s="1"/>
      <c r="BA424" s="297"/>
      <c r="BB424" s="1"/>
      <c r="BC424" s="11"/>
      <c r="BD424" s="11"/>
      <c r="BE424" s="214"/>
      <c r="BF424" s="268"/>
      <c r="BG424" s="1"/>
      <c r="BH424" s="210"/>
      <c r="BI424" s="60"/>
      <c r="BJ424" s="15"/>
      <c r="BK424" s="15"/>
      <c r="BL424" s="1"/>
      <c r="BM424" s="49" t="e">
        <f>IF(OR(#REF!="",#REF!="")=TRUE,"",NETWORKDAYS.INTL(#REF!,#REF!))</f>
        <v>#REF!</v>
      </c>
    </row>
    <row r="425" spans="1:66" x14ac:dyDescent="0.45">
      <c r="A425" s="13">
        <v>420</v>
      </c>
      <c r="B425" s="155"/>
      <c r="C425" s="85"/>
      <c r="D425" s="1"/>
      <c r="E425" s="1"/>
      <c r="F425" s="1"/>
      <c r="G425" s="1"/>
      <c r="H425" s="1"/>
      <c r="I425" s="1"/>
      <c r="J425" s="15"/>
      <c r="K425" s="17"/>
      <c r="L425" s="17"/>
      <c r="M425" s="238"/>
      <c r="N425" s="242"/>
      <c r="O425" s="244"/>
      <c r="P425" s="17"/>
      <c r="Q425" s="210"/>
      <c r="R425" s="17"/>
      <c r="S425" s="15"/>
      <c r="T425" s="17"/>
      <c r="U425" s="17"/>
      <c r="V425" s="15"/>
      <c r="W425" s="15"/>
      <c r="X425" s="17"/>
      <c r="Y425" s="229"/>
      <c r="Z425" s="1"/>
      <c r="AA425" s="284"/>
      <c r="AB425" s="238"/>
      <c r="AC425" s="17"/>
      <c r="AD425" s="15"/>
      <c r="AE425" s="17"/>
      <c r="AF425" s="262"/>
      <c r="AG425" s="262"/>
      <c r="AH425" s="1"/>
      <c r="AI425" s="1"/>
      <c r="AJ425" s="1"/>
      <c r="AK425" s="1"/>
      <c r="AL425" s="1"/>
      <c r="AM425" s="1"/>
      <c r="AN425" s="1"/>
      <c r="AO425" s="1"/>
      <c r="AP425" s="1"/>
      <c r="AQ425" s="15"/>
      <c r="AR425" s="15"/>
      <c r="AS425" s="17"/>
      <c r="AT425" s="15"/>
      <c r="AU425" s="124"/>
      <c r="AV425" s="17"/>
      <c r="AW425" s="17"/>
      <c r="AX425" s="263"/>
      <c r="AY425" s="1"/>
      <c r="AZ425" s="1"/>
      <c r="BA425" s="297"/>
      <c r="BB425" s="1"/>
      <c r="BC425" s="11"/>
      <c r="BD425" s="11"/>
      <c r="BE425" s="214"/>
      <c r="BF425" s="268"/>
      <c r="BG425" s="1"/>
      <c r="BH425" s="210"/>
      <c r="BI425" s="60"/>
      <c r="BJ425" s="15"/>
      <c r="BK425" s="15"/>
      <c r="BL425" s="1"/>
      <c r="BM425" s="49" t="e">
        <f>IF(OR(#REF!="",#REF!="")=TRUE,"",NETWORKDAYS.INTL(#REF!,#REF!))</f>
        <v>#REF!</v>
      </c>
    </row>
    <row r="426" spans="1:66" x14ac:dyDescent="0.45">
      <c r="A426" s="12">
        <v>421</v>
      </c>
      <c r="B426" s="150"/>
      <c r="C426" s="53"/>
      <c r="D426" s="1"/>
      <c r="E426" s="1"/>
      <c r="F426" s="1"/>
      <c r="G426" s="1"/>
      <c r="H426" s="1"/>
      <c r="I426" s="1"/>
      <c r="J426" s="15"/>
      <c r="K426" s="17"/>
      <c r="L426" s="17"/>
      <c r="M426" s="238"/>
      <c r="N426" s="242"/>
      <c r="O426" s="244"/>
      <c r="P426" s="17"/>
      <c r="Q426" s="210"/>
      <c r="R426" s="17"/>
      <c r="S426" s="15"/>
      <c r="T426" s="17"/>
      <c r="U426" s="17"/>
      <c r="V426" s="15"/>
      <c r="W426" s="15"/>
      <c r="X426" s="17"/>
      <c r="Y426" s="229"/>
      <c r="Z426" s="1"/>
      <c r="AA426" s="284"/>
      <c r="AB426" s="238"/>
      <c r="AC426" s="17"/>
      <c r="AD426" s="15"/>
      <c r="AE426" s="17"/>
      <c r="AF426" s="262"/>
      <c r="AG426" s="262"/>
      <c r="AH426" s="1"/>
      <c r="AI426" s="1"/>
      <c r="AJ426" s="1"/>
      <c r="AK426" s="1"/>
      <c r="AL426" s="1"/>
      <c r="AM426" s="1"/>
      <c r="AN426" s="1"/>
      <c r="AO426" s="1"/>
      <c r="AP426" s="1"/>
      <c r="AQ426" s="15"/>
      <c r="AR426" s="15"/>
      <c r="AS426" s="17"/>
      <c r="AT426" s="15"/>
      <c r="AU426" s="124"/>
      <c r="AV426" s="17"/>
      <c r="AW426" s="17"/>
      <c r="AX426" s="263"/>
      <c r="AY426" s="1"/>
      <c r="AZ426" s="1"/>
      <c r="BA426" s="297"/>
      <c r="BB426" s="1"/>
      <c r="BC426" s="11"/>
      <c r="BD426" s="11"/>
      <c r="BE426" s="214"/>
      <c r="BF426" s="268"/>
      <c r="BG426" s="1"/>
      <c r="BH426" s="210"/>
      <c r="BI426" s="60"/>
      <c r="BJ426" s="15"/>
      <c r="BK426" s="15"/>
      <c r="BL426" s="1"/>
      <c r="BM426" s="49" t="e">
        <f>IF(OR(#REF!="",#REF!="")=TRUE,"",NETWORKDAYS.INTL(#REF!,#REF!))</f>
        <v>#REF!</v>
      </c>
    </row>
    <row r="427" spans="1:66" x14ac:dyDescent="0.45">
      <c r="A427" s="13">
        <v>422</v>
      </c>
      <c r="B427" s="155"/>
      <c r="C427" s="85"/>
      <c r="D427" s="1"/>
      <c r="E427" s="1"/>
      <c r="F427" s="1"/>
      <c r="G427" s="1"/>
      <c r="H427" s="1"/>
      <c r="I427" s="1"/>
      <c r="J427" s="15"/>
      <c r="K427" s="17"/>
      <c r="L427" s="17"/>
      <c r="M427" s="238"/>
      <c r="N427" s="242"/>
      <c r="O427" s="244"/>
      <c r="P427" s="17"/>
      <c r="Q427" s="210"/>
      <c r="R427" s="17"/>
      <c r="S427" s="15"/>
      <c r="T427" s="17"/>
      <c r="U427" s="17"/>
      <c r="V427" s="15"/>
      <c r="W427" s="15"/>
      <c r="X427" s="17"/>
      <c r="Y427" s="229"/>
      <c r="Z427" s="1"/>
      <c r="AA427" s="284"/>
      <c r="AB427" s="238"/>
      <c r="AC427" s="17"/>
      <c r="AD427" s="15"/>
      <c r="AE427" s="17"/>
      <c r="AF427" s="262"/>
      <c r="AG427" s="262"/>
      <c r="AH427" s="1"/>
      <c r="AI427" s="1"/>
      <c r="AJ427" s="1"/>
      <c r="AK427" s="1"/>
      <c r="AL427" s="1"/>
      <c r="AM427" s="1"/>
      <c r="AN427" s="1"/>
      <c r="AO427" s="1"/>
      <c r="AP427" s="1"/>
      <c r="AQ427" s="15"/>
      <c r="AR427" s="15"/>
      <c r="AS427" s="17"/>
      <c r="AT427" s="15"/>
      <c r="AU427" s="124"/>
      <c r="AV427" s="17"/>
      <c r="AW427" s="17"/>
      <c r="AX427" s="263"/>
      <c r="AY427" s="1"/>
      <c r="AZ427" s="1"/>
      <c r="BA427" s="297"/>
      <c r="BB427" s="1"/>
      <c r="BC427" s="11"/>
      <c r="BD427" s="11"/>
      <c r="BE427" s="214"/>
      <c r="BF427" s="268"/>
      <c r="BG427" s="1"/>
      <c r="BH427" s="210"/>
      <c r="BI427" s="60"/>
      <c r="BJ427" s="15"/>
      <c r="BK427" s="15"/>
      <c r="BL427" s="1"/>
      <c r="BM427" s="49" t="e">
        <f>IF(OR(#REF!="",#REF!="")=TRUE,"",NETWORKDAYS.INTL(#REF!,#REF!))</f>
        <v>#REF!</v>
      </c>
    </row>
    <row r="428" spans="1:66" x14ac:dyDescent="0.45">
      <c r="A428" s="13">
        <v>423</v>
      </c>
      <c r="B428" s="155"/>
      <c r="C428" s="85"/>
      <c r="D428" s="1"/>
      <c r="E428" s="1"/>
      <c r="F428" s="1"/>
      <c r="G428" s="1"/>
      <c r="H428" s="1"/>
      <c r="I428" s="1"/>
      <c r="J428" s="15"/>
      <c r="K428" s="17"/>
      <c r="L428" s="17"/>
      <c r="M428" s="238"/>
      <c r="N428" s="242"/>
      <c r="O428" s="244"/>
      <c r="P428" s="17"/>
      <c r="Q428" s="210"/>
      <c r="R428" s="17"/>
      <c r="S428" s="15"/>
      <c r="T428" s="17"/>
      <c r="U428" s="17"/>
      <c r="V428" s="15"/>
      <c r="W428" s="15"/>
      <c r="X428" s="17"/>
      <c r="Y428" s="229"/>
      <c r="Z428" s="1"/>
      <c r="AA428" s="284"/>
      <c r="AB428" s="238"/>
      <c r="AC428" s="17"/>
      <c r="AD428" s="15"/>
      <c r="AE428" s="17"/>
      <c r="AF428" s="262"/>
      <c r="AG428" s="262"/>
      <c r="AH428" s="1"/>
      <c r="AI428" s="1"/>
      <c r="AJ428" s="1"/>
      <c r="AK428" s="1"/>
      <c r="AL428" s="1"/>
      <c r="AM428" s="1"/>
      <c r="AN428" s="1"/>
      <c r="AO428" s="1"/>
      <c r="AP428" s="1"/>
      <c r="AQ428" s="15"/>
      <c r="AR428" s="15"/>
      <c r="AS428" s="17"/>
      <c r="AT428" s="15"/>
      <c r="AU428" s="124"/>
      <c r="AV428" s="17"/>
      <c r="AW428" s="17"/>
      <c r="AX428" s="263"/>
      <c r="AY428" s="1"/>
      <c r="AZ428" s="1"/>
      <c r="BA428" s="297"/>
      <c r="BB428" s="1"/>
      <c r="BC428" s="11"/>
      <c r="BD428" s="11"/>
      <c r="BE428" s="214"/>
      <c r="BF428" s="268"/>
      <c r="BG428" s="1"/>
      <c r="BH428" s="210"/>
      <c r="BI428" s="60"/>
      <c r="BJ428" s="15"/>
      <c r="BK428" s="15"/>
      <c r="BL428" s="1"/>
      <c r="BM428" s="49" t="e">
        <f>IF(OR(#REF!="",#REF!="")=TRUE,"",NETWORKDAYS.INTL(#REF!,#REF!))</f>
        <v>#REF!</v>
      </c>
    </row>
    <row r="429" spans="1:66" x14ac:dyDescent="0.45">
      <c r="A429" s="12">
        <v>424</v>
      </c>
      <c r="B429" s="150"/>
      <c r="C429" s="53"/>
      <c r="D429" s="1"/>
      <c r="E429" s="1"/>
      <c r="F429" s="1"/>
      <c r="G429" s="1"/>
      <c r="H429" s="1"/>
      <c r="I429" s="1"/>
      <c r="J429" s="15"/>
      <c r="K429" s="17"/>
      <c r="L429" s="17"/>
      <c r="M429" s="238"/>
      <c r="N429" s="242"/>
      <c r="O429" s="244"/>
      <c r="P429" s="17"/>
      <c r="Q429" s="210"/>
      <c r="R429" s="17"/>
      <c r="S429" s="15"/>
      <c r="T429" s="17"/>
      <c r="U429" s="17"/>
      <c r="V429" s="15"/>
      <c r="W429" s="15"/>
      <c r="X429" s="17"/>
      <c r="Y429" s="229"/>
      <c r="Z429" s="1"/>
      <c r="AA429" s="284"/>
      <c r="AB429" s="238"/>
      <c r="AC429" s="17"/>
      <c r="AD429" s="15"/>
      <c r="AE429" s="17"/>
      <c r="AF429" s="262"/>
      <c r="AG429" s="262"/>
      <c r="AH429" s="1"/>
      <c r="AI429" s="1"/>
      <c r="AJ429" s="1"/>
      <c r="AK429" s="1"/>
      <c r="AL429" s="1"/>
      <c r="AM429" s="1"/>
      <c r="AN429" s="1"/>
      <c r="AO429" s="1"/>
      <c r="AP429" s="1"/>
      <c r="AQ429" s="15"/>
      <c r="AR429" s="15"/>
      <c r="AS429" s="17"/>
      <c r="AT429" s="15"/>
      <c r="AU429" s="124"/>
      <c r="AV429" s="17"/>
      <c r="AW429" s="17"/>
      <c r="AX429" s="263"/>
      <c r="AY429" s="1"/>
      <c r="AZ429" s="1"/>
      <c r="BA429" s="297"/>
      <c r="BB429" s="1"/>
      <c r="BC429" s="11"/>
      <c r="BD429" s="11"/>
      <c r="BE429" s="214"/>
      <c r="BF429" s="268"/>
      <c r="BG429" s="1"/>
      <c r="BH429" s="210"/>
      <c r="BI429" s="60"/>
      <c r="BJ429" s="15"/>
      <c r="BK429" s="15"/>
      <c r="BL429" s="1"/>
      <c r="BM429" s="49" t="e">
        <f>IF(OR(#REF!="",#REF!="")=TRUE,"",NETWORKDAYS.INTL(#REF!,#REF!))</f>
        <v>#REF!</v>
      </c>
    </row>
    <row r="430" spans="1:66" x14ac:dyDescent="0.45">
      <c r="A430" s="13">
        <v>425</v>
      </c>
      <c r="B430" s="155"/>
      <c r="C430" s="85"/>
      <c r="D430" s="1"/>
      <c r="E430" s="1"/>
      <c r="F430" s="1"/>
      <c r="G430" s="1"/>
      <c r="H430" s="1"/>
      <c r="I430" s="1"/>
      <c r="J430" s="15"/>
      <c r="K430" s="17"/>
      <c r="L430" s="17"/>
      <c r="M430" s="238"/>
      <c r="N430" s="242"/>
      <c r="O430" s="244"/>
      <c r="P430" s="17"/>
      <c r="Q430" s="210"/>
      <c r="R430" s="17"/>
      <c r="S430" s="15"/>
      <c r="T430" s="17"/>
      <c r="U430" s="17"/>
      <c r="V430" s="15"/>
      <c r="W430" s="15"/>
      <c r="X430" s="17"/>
      <c r="Y430" s="229"/>
      <c r="Z430" s="1"/>
      <c r="AA430" s="284"/>
      <c r="AB430" s="238"/>
      <c r="AC430" s="17"/>
      <c r="AD430" s="15"/>
      <c r="AE430" s="17"/>
      <c r="AF430" s="262"/>
      <c r="AG430" s="262"/>
      <c r="AH430" s="1"/>
      <c r="AI430" s="1"/>
      <c r="AJ430" s="1"/>
      <c r="AK430" s="1"/>
      <c r="AL430" s="1"/>
      <c r="AM430" s="1"/>
      <c r="AN430" s="1"/>
      <c r="AO430" s="1"/>
      <c r="AP430" s="1"/>
      <c r="AQ430" s="15"/>
      <c r="AR430" s="15"/>
      <c r="AS430" s="17"/>
      <c r="AT430" s="15"/>
      <c r="AU430" s="124"/>
      <c r="AV430" s="17"/>
      <c r="AW430" s="17"/>
      <c r="AX430" s="263"/>
      <c r="AY430" s="1"/>
      <c r="AZ430" s="1"/>
      <c r="BA430" s="297"/>
      <c r="BB430" s="1"/>
      <c r="BC430" s="11"/>
      <c r="BD430" s="11"/>
      <c r="BE430" s="214"/>
      <c r="BF430" s="268"/>
      <c r="BG430" s="1"/>
      <c r="BH430" s="210"/>
      <c r="BI430" s="60"/>
      <c r="BJ430" s="15"/>
      <c r="BK430" s="15"/>
      <c r="BL430" s="1"/>
      <c r="BM430" s="49" t="e">
        <f>IF(OR(#REF!="",#REF!="")=TRUE,"",NETWORKDAYS.INTL(#REF!,#REF!))</f>
        <v>#REF!</v>
      </c>
    </row>
    <row r="431" spans="1:66" x14ac:dyDescent="0.45">
      <c r="A431" s="13">
        <v>426</v>
      </c>
      <c r="B431" s="155"/>
      <c r="C431" s="85"/>
      <c r="D431" s="1"/>
      <c r="E431" s="1"/>
      <c r="F431" s="1"/>
      <c r="G431" s="1"/>
      <c r="H431" s="1"/>
      <c r="I431" s="1"/>
      <c r="J431" s="15"/>
      <c r="K431" s="17"/>
      <c r="L431" s="17"/>
      <c r="M431" s="238"/>
      <c r="N431" s="242"/>
      <c r="O431" s="244"/>
      <c r="P431" s="17"/>
      <c r="Q431" s="210"/>
      <c r="R431" s="17"/>
      <c r="S431" s="15"/>
      <c r="T431" s="17"/>
      <c r="U431" s="17"/>
      <c r="V431" s="15"/>
      <c r="W431" s="15"/>
      <c r="X431" s="17"/>
      <c r="Y431" s="229"/>
      <c r="Z431" s="1"/>
      <c r="AA431" s="284"/>
      <c r="AB431" s="238"/>
      <c r="AC431" s="17"/>
      <c r="AD431" s="15"/>
      <c r="AE431" s="17"/>
      <c r="AF431" s="262"/>
      <c r="AG431" s="262"/>
      <c r="AH431" s="1"/>
      <c r="AI431" s="1"/>
      <c r="AJ431" s="1"/>
      <c r="AK431" s="1"/>
      <c r="AL431" s="1"/>
      <c r="AM431" s="1"/>
      <c r="AN431" s="1"/>
      <c r="AO431" s="1"/>
      <c r="AP431" s="1"/>
      <c r="AQ431" s="15"/>
      <c r="AR431" s="15"/>
      <c r="AS431" s="17"/>
      <c r="AT431" s="15"/>
      <c r="AU431" s="124"/>
      <c r="AV431" s="17"/>
      <c r="AW431" s="17"/>
      <c r="AX431" s="263"/>
      <c r="AY431" s="1"/>
      <c r="AZ431" s="1"/>
      <c r="BA431" s="297"/>
      <c r="BB431" s="1"/>
      <c r="BC431" s="11"/>
      <c r="BD431" s="11"/>
      <c r="BE431" s="214"/>
      <c r="BF431" s="268"/>
      <c r="BG431" s="1"/>
      <c r="BH431" s="210"/>
      <c r="BI431" s="60"/>
      <c r="BJ431" s="15"/>
      <c r="BK431" s="15"/>
      <c r="BL431" s="1"/>
      <c r="BM431" s="49" t="e">
        <f>IF(OR(#REF!="",#REF!="")=TRUE,"",NETWORKDAYS.INTL(#REF!,#REF!))</f>
        <v>#REF!</v>
      </c>
    </row>
    <row r="432" spans="1:66" x14ac:dyDescent="0.45">
      <c r="A432" s="12">
        <v>427</v>
      </c>
      <c r="B432" s="150"/>
      <c r="C432" s="53"/>
      <c r="D432" s="1"/>
      <c r="E432" s="1"/>
      <c r="F432" s="1"/>
      <c r="G432" s="1"/>
      <c r="H432" s="1"/>
      <c r="I432" s="1"/>
      <c r="J432" s="15"/>
      <c r="K432" s="17"/>
      <c r="L432" s="17"/>
      <c r="M432" s="238"/>
      <c r="N432" s="242"/>
      <c r="O432" s="244"/>
      <c r="P432" s="17"/>
      <c r="Q432" s="210"/>
      <c r="R432" s="17"/>
      <c r="S432" s="15"/>
      <c r="T432" s="17"/>
      <c r="U432" s="17"/>
      <c r="V432" s="15"/>
      <c r="W432" s="15"/>
      <c r="X432" s="17"/>
      <c r="Y432" s="229"/>
      <c r="Z432" s="1"/>
      <c r="AA432" s="284"/>
      <c r="AB432" s="238"/>
      <c r="AC432" s="17"/>
      <c r="AD432" s="15"/>
      <c r="AE432" s="17"/>
      <c r="AF432" s="262"/>
      <c r="AG432" s="262"/>
      <c r="AH432" s="1"/>
      <c r="AI432" s="1"/>
      <c r="AJ432" s="1"/>
      <c r="AK432" s="1"/>
      <c r="AL432" s="1"/>
      <c r="AM432" s="1"/>
      <c r="AN432" s="1"/>
      <c r="AO432" s="1"/>
      <c r="AP432" s="1"/>
      <c r="AQ432" s="15"/>
      <c r="AR432" s="15"/>
      <c r="AS432" s="17"/>
      <c r="AT432" s="15"/>
      <c r="AU432" s="124"/>
      <c r="AV432" s="17"/>
      <c r="AW432" s="17"/>
      <c r="AX432" s="263"/>
      <c r="AY432" s="1"/>
      <c r="AZ432" s="1"/>
      <c r="BA432" s="297"/>
      <c r="BB432" s="1"/>
      <c r="BC432" s="11"/>
      <c r="BD432" s="11"/>
      <c r="BE432" s="214"/>
      <c r="BF432" s="268"/>
      <c r="BG432" s="1"/>
      <c r="BH432" s="210"/>
      <c r="BI432" s="60"/>
      <c r="BJ432" s="15"/>
      <c r="BK432" s="15"/>
      <c r="BL432" s="1"/>
      <c r="BM432" s="49" t="e">
        <f>IF(OR(#REF!="",#REF!="")=TRUE,"",NETWORKDAYS.INTL(#REF!,#REF!))</f>
        <v>#REF!</v>
      </c>
    </row>
    <row r="433" spans="1:65" x14ac:dyDescent="0.45">
      <c r="A433" s="13">
        <v>428</v>
      </c>
      <c r="B433" s="155"/>
      <c r="C433" s="85"/>
      <c r="D433" s="1"/>
      <c r="E433" s="1"/>
      <c r="F433" s="1"/>
      <c r="G433" s="1"/>
      <c r="H433" s="1"/>
      <c r="I433" s="1"/>
      <c r="J433" s="15"/>
      <c r="K433" s="17"/>
      <c r="L433" s="17"/>
      <c r="M433" s="238"/>
      <c r="N433" s="242"/>
      <c r="O433" s="244"/>
      <c r="P433" s="17"/>
      <c r="Q433" s="210"/>
      <c r="R433" s="17"/>
      <c r="S433" s="15"/>
      <c r="T433" s="17"/>
      <c r="U433" s="17"/>
      <c r="V433" s="15"/>
      <c r="W433" s="15"/>
      <c r="X433" s="17"/>
      <c r="Y433" s="229"/>
      <c r="Z433" s="1"/>
      <c r="AA433" s="284"/>
      <c r="AB433" s="238"/>
      <c r="AC433" s="17"/>
      <c r="AD433" s="15"/>
      <c r="AE433" s="17"/>
      <c r="AF433" s="262"/>
      <c r="AG433" s="262"/>
      <c r="AH433" s="1"/>
      <c r="AI433" s="1"/>
      <c r="AJ433" s="1"/>
      <c r="AK433" s="1"/>
      <c r="AL433" s="1"/>
      <c r="AM433" s="1"/>
      <c r="AN433" s="1"/>
      <c r="AO433" s="1"/>
      <c r="AP433" s="1"/>
      <c r="AQ433" s="15"/>
      <c r="AR433" s="15"/>
      <c r="AS433" s="17"/>
      <c r="AT433" s="15"/>
      <c r="AU433" s="124"/>
      <c r="AV433" s="17"/>
      <c r="AW433" s="17"/>
      <c r="AX433" s="263"/>
      <c r="AY433" s="1"/>
      <c r="AZ433" s="1"/>
      <c r="BA433" s="297"/>
      <c r="BB433" s="1"/>
      <c r="BC433" s="11"/>
      <c r="BD433" s="11"/>
      <c r="BE433" s="214"/>
      <c r="BF433" s="268"/>
      <c r="BG433" s="1"/>
      <c r="BH433" s="210"/>
      <c r="BI433" s="60"/>
      <c r="BJ433" s="15"/>
      <c r="BK433" s="15"/>
      <c r="BL433" s="1"/>
      <c r="BM433" s="49" t="e">
        <f>IF(OR(#REF!="",#REF!="")=TRUE,"",NETWORKDAYS.INTL(#REF!,#REF!))</f>
        <v>#REF!</v>
      </c>
    </row>
    <row r="434" spans="1:65" x14ac:dyDescent="0.45">
      <c r="A434" s="13">
        <v>429</v>
      </c>
      <c r="B434" s="155"/>
      <c r="C434" s="85"/>
      <c r="D434" s="1"/>
      <c r="E434" s="1"/>
      <c r="F434" s="1"/>
      <c r="G434" s="1"/>
      <c r="H434" s="1"/>
      <c r="I434" s="1"/>
      <c r="J434" s="15"/>
      <c r="K434" s="17"/>
      <c r="L434" s="17"/>
      <c r="M434" s="238"/>
      <c r="N434" s="242"/>
      <c r="O434" s="244"/>
      <c r="P434" s="17"/>
      <c r="Q434" s="210"/>
      <c r="R434" s="17"/>
      <c r="S434" s="15"/>
      <c r="T434" s="17"/>
      <c r="U434" s="17"/>
      <c r="V434" s="15"/>
      <c r="W434" s="15"/>
      <c r="X434" s="17"/>
      <c r="Y434" s="229"/>
      <c r="Z434" s="1"/>
      <c r="AA434" s="284"/>
      <c r="AB434" s="238"/>
      <c r="AC434" s="17"/>
      <c r="AD434" s="15"/>
      <c r="AE434" s="17"/>
      <c r="AF434" s="262"/>
      <c r="AG434" s="262"/>
      <c r="AH434" s="1"/>
      <c r="AI434" s="1"/>
      <c r="AJ434" s="1"/>
      <c r="AK434" s="1"/>
      <c r="AL434" s="1"/>
      <c r="AM434" s="1"/>
      <c r="AN434" s="1"/>
      <c r="AO434" s="1"/>
      <c r="AP434" s="1"/>
      <c r="AQ434" s="15"/>
      <c r="AR434" s="15"/>
      <c r="AS434" s="17"/>
      <c r="AT434" s="15"/>
      <c r="AU434" s="124"/>
      <c r="AV434" s="17"/>
      <c r="AW434" s="17"/>
      <c r="AX434" s="263"/>
      <c r="AY434" s="1"/>
      <c r="AZ434" s="1"/>
      <c r="BA434" s="297"/>
      <c r="BB434" s="1"/>
      <c r="BC434" s="11"/>
      <c r="BD434" s="11"/>
      <c r="BE434" s="214"/>
      <c r="BF434" s="268"/>
      <c r="BG434" s="1"/>
      <c r="BH434" s="210"/>
      <c r="BI434" s="60"/>
      <c r="BJ434" s="15"/>
      <c r="BK434" s="15"/>
      <c r="BL434" s="1"/>
      <c r="BM434" s="49" t="e">
        <f>IF(OR(#REF!="",#REF!="")=TRUE,"",NETWORKDAYS.INTL(#REF!,#REF!))</f>
        <v>#REF!</v>
      </c>
    </row>
    <row r="435" spans="1:65" x14ac:dyDescent="0.45">
      <c r="A435" s="12">
        <v>430</v>
      </c>
      <c r="B435" s="150"/>
      <c r="C435" s="53"/>
      <c r="D435" s="1"/>
      <c r="E435" s="1"/>
      <c r="F435" s="1"/>
      <c r="G435" s="1"/>
      <c r="H435" s="1"/>
      <c r="I435" s="1"/>
      <c r="J435" s="15"/>
      <c r="K435" s="17"/>
      <c r="L435" s="17"/>
      <c r="M435" s="238"/>
      <c r="N435" s="242"/>
      <c r="O435" s="244"/>
      <c r="P435" s="17"/>
      <c r="Q435" s="210"/>
      <c r="R435" s="17"/>
      <c r="S435" s="15"/>
      <c r="T435" s="17"/>
      <c r="U435" s="17"/>
      <c r="V435" s="15"/>
      <c r="W435" s="15"/>
      <c r="X435" s="17"/>
      <c r="Y435" s="229"/>
      <c r="Z435" s="1"/>
      <c r="AA435" s="284"/>
      <c r="AB435" s="238"/>
      <c r="AC435" s="17"/>
      <c r="AD435" s="15"/>
      <c r="AE435" s="17"/>
      <c r="AF435" s="262"/>
      <c r="AG435" s="262"/>
      <c r="AH435" s="1"/>
      <c r="AI435" s="1"/>
      <c r="AJ435" s="1"/>
      <c r="AK435" s="1"/>
      <c r="AL435" s="1"/>
      <c r="AM435" s="1"/>
      <c r="AN435" s="1"/>
      <c r="AO435" s="1"/>
      <c r="AP435" s="1"/>
      <c r="AQ435" s="15"/>
      <c r="AR435" s="15"/>
      <c r="AS435" s="17"/>
      <c r="AT435" s="15"/>
      <c r="AU435" s="124"/>
      <c r="AV435" s="17"/>
      <c r="AW435" s="17"/>
      <c r="AX435" s="263"/>
      <c r="AY435" s="1"/>
      <c r="AZ435" s="1"/>
      <c r="BA435" s="297"/>
      <c r="BB435" s="1"/>
      <c r="BC435" s="11"/>
      <c r="BD435" s="11"/>
      <c r="BE435" s="214"/>
      <c r="BF435" s="268"/>
      <c r="BG435" s="1"/>
      <c r="BH435" s="210"/>
      <c r="BI435" s="60"/>
      <c r="BJ435" s="15"/>
      <c r="BK435" s="15"/>
      <c r="BL435" s="1"/>
      <c r="BM435" s="49" t="e">
        <f>IF(OR(#REF!="",#REF!="")=TRUE,"",NETWORKDAYS.INTL(#REF!,#REF!))</f>
        <v>#REF!</v>
      </c>
    </row>
    <row r="436" spans="1:65" x14ac:dyDescent="0.45">
      <c r="A436" s="13">
        <v>431</v>
      </c>
      <c r="B436" s="155"/>
      <c r="C436" s="85"/>
      <c r="D436" s="1"/>
      <c r="E436" s="1"/>
      <c r="F436" s="1"/>
      <c r="G436" s="1"/>
      <c r="H436" s="1"/>
      <c r="I436" s="1"/>
      <c r="J436" s="15"/>
      <c r="K436" s="17"/>
      <c r="L436" s="17"/>
      <c r="M436" s="238"/>
      <c r="N436" s="242"/>
      <c r="O436" s="244"/>
      <c r="P436" s="17"/>
      <c r="Q436" s="210"/>
      <c r="R436" s="17"/>
      <c r="S436" s="15"/>
      <c r="T436" s="17"/>
      <c r="U436" s="17"/>
      <c r="V436" s="15"/>
      <c r="W436" s="15"/>
      <c r="X436" s="17"/>
      <c r="Y436" s="229"/>
      <c r="Z436" s="1"/>
      <c r="AA436" s="284"/>
      <c r="AB436" s="238"/>
      <c r="AC436" s="17"/>
      <c r="AD436" s="15"/>
      <c r="AE436" s="17"/>
      <c r="AF436" s="262"/>
      <c r="AG436" s="262"/>
      <c r="AH436" s="1"/>
      <c r="AI436" s="1"/>
      <c r="AJ436" s="1"/>
      <c r="AK436" s="1"/>
      <c r="AL436" s="1"/>
      <c r="AM436" s="1"/>
      <c r="AN436" s="1"/>
      <c r="AO436" s="1"/>
      <c r="AP436" s="1"/>
      <c r="AQ436" s="15"/>
      <c r="AR436" s="15"/>
      <c r="AS436" s="17"/>
      <c r="AT436" s="15"/>
      <c r="AU436" s="124"/>
      <c r="AV436" s="17"/>
      <c r="AW436" s="17"/>
      <c r="AX436" s="263"/>
      <c r="AY436" s="1"/>
      <c r="AZ436" s="1"/>
      <c r="BA436" s="297"/>
      <c r="BB436" s="1"/>
      <c r="BC436" s="11"/>
      <c r="BD436" s="11"/>
      <c r="BE436" s="214"/>
      <c r="BF436" s="268"/>
      <c r="BG436" s="1"/>
      <c r="BH436" s="210"/>
      <c r="BI436" s="60"/>
      <c r="BJ436" s="15"/>
      <c r="BK436" s="15"/>
      <c r="BL436" s="1"/>
      <c r="BM436" s="49" t="e">
        <f>IF(OR(#REF!="",#REF!="")=TRUE,"",NETWORKDAYS.INTL(#REF!,#REF!))</f>
        <v>#REF!</v>
      </c>
    </row>
    <row r="437" spans="1:65" x14ac:dyDescent="0.45">
      <c r="A437" s="13">
        <v>432</v>
      </c>
      <c r="B437" s="155"/>
      <c r="C437" s="85"/>
      <c r="D437" s="1"/>
      <c r="E437" s="1"/>
      <c r="F437" s="1"/>
      <c r="G437" s="1"/>
      <c r="H437" s="1"/>
      <c r="I437" s="1"/>
      <c r="J437" s="15"/>
      <c r="K437" s="17"/>
      <c r="L437" s="17"/>
      <c r="M437" s="238"/>
      <c r="N437" s="242"/>
      <c r="O437" s="244"/>
      <c r="P437" s="17"/>
      <c r="Q437" s="210"/>
      <c r="R437" s="17"/>
      <c r="S437" s="15"/>
      <c r="T437" s="17"/>
      <c r="U437" s="17"/>
      <c r="V437" s="15"/>
      <c r="W437" s="15"/>
      <c r="X437" s="17"/>
      <c r="Y437" s="229"/>
      <c r="Z437" s="1"/>
      <c r="AA437" s="284"/>
      <c r="AB437" s="238"/>
      <c r="AC437" s="17"/>
      <c r="AD437" s="15"/>
      <c r="AE437" s="17"/>
      <c r="AF437" s="262"/>
      <c r="AG437" s="262"/>
      <c r="AH437" s="1"/>
      <c r="AI437" s="1"/>
      <c r="AJ437" s="1"/>
      <c r="AK437" s="1"/>
      <c r="AL437" s="1"/>
      <c r="AM437" s="1"/>
      <c r="AN437" s="1"/>
      <c r="AO437" s="1"/>
      <c r="AP437" s="1"/>
      <c r="AQ437" s="15"/>
      <c r="AR437" s="15"/>
      <c r="AS437" s="17"/>
      <c r="AT437" s="15"/>
      <c r="AU437" s="124"/>
      <c r="AV437" s="17"/>
      <c r="AW437" s="17"/>
      <c r="AX437" s="263"/>
      <c r="AY437" s="1"/>
      <c r="AZ437" s="1"/>
      <c r="BA437" s="297"/>
      <c r="BB437" s="1"/>
      <c r="BC437" s="11"/>
      <c r="BD437" s="11"/>
      <c r="BE437" s="214"/>
      <c r="BF437" s="268"/>
      <c r="BG437" s="1"/>
      <c r="BH437" s="210"/>
      <c r="BI437" s="60"/>
      <c r="BJ437" s="15"/>
      <c r="BK437" s="15"/>
      <c r="BL437" s="1"/>
      <c r="BM437" s="49" t="e">
        <f>IF(OR(#REF!="",#REF!="")=TRUE,"",NETWORKDAYS.INTL(#REF!,#REF!))</f>
        <v>#REF!</v>
      </c>
    </row>
    <row r="438" spans="1:65" x14ac:dyDescent="0.45">
      <c r="A438" s="12">
        <v>433</v>
      </c>
      <c r="B438" s="150"/>
      <c r="C438" s="53"/>
      <c r="D438" s="1"/>
      <c r="E438" s="1"/>
      <c r="F438" s="1"/>
      <c r="G438" s="1"/>
      <c r="H438" s="1"/>
      <c r="I438" s="1"/>
      <c r="J438" s="15"/>
      <c r="K438" s="17"/>
      <c r="L438" s="17"/>
      <c r="M438" s="238"/>
      <c r="N438" s="242"/>
      <c r="O438" s="244"/>
      <c r="P438" s="17"/>
      <c r="Q438" s="210"/>
      <c r="R438" s="17"/>
      <c r="S438" s="15"/>
      <c r="T438" s="17"/>
      <c r="U438" s="17"/>
      <c r="V438" s="15"/>
      <c r="W438" s="15"/>
      <c r="X438" s="17"/>
      <c r="Y438" s="229"/>
      <c r="Z438" s="1"/>
      <c r="AA438" s="284"/>
      <c r="AB438" s="238"/>
      <c r="AC438" s="17"/>
      <c r="AD438" s="15"/>
      <c r="AE438" s="17"/>
      <c r="AF438" s="262"/>
      <c r="AG438" s="262"/>
      <c r="AH438" s="1"/>
      <c r="AI438" s="1"/>
      <c r="AJ438" s="1"/>
      <c r="AK438" s="1"/>
      <c r="AL438" s="1"/>
      <c r="AM438" s="1"/>
      <c r="AN438" s="1"/>
      <c r="AO438" s="1"/>
      <c r="AP438" s="1"/>
      <c r="AQ438" s="15"/>
      <c r="AR438" s="15"/>
      <c r="AS438" s="17"/>
      <c r="AT438" s="15"/>
      <c r="AU438" s="124"/>
      <c r="AV438" s="17"/>
      <c r="AW438" s="17"/>
      <c r="AX438" s="263"/>
      <c r="AY438" s="1"/>
      <c r="AZ438" s="1"/>
      <c r="BA438" s="297"/>
      <c r="BB438" s="1"/>
      <c r="BC438" s="11"/>
      <c r="BD438" s="11"/>
      <c r="BE438" s="214"/>
      <c r="BF438" s="268"/>
      <c r="BG438" s="1"/>
      <c r="BH438" s="210"/>
      <c r="BI438" s="60"/>
      <c r="BJ438" s="15"/>
      <c r="BK438" s="15"/>
      <c r="BL438" s="1"/>
      <c r="BM438" s="49" t="e">
        <f>IF(OR(#REF!="",#REF!="")=TRUE,"",NETWORKDAYS.INTL(#REF!,#REF!))</f>
        <v>#REF!</v>
      </c>
    </row>
    <row r="439" spans="1:65" x14ac:dyDescent="0.45">
      <c r="A439" s="13">
        <v>434</v>
      </c>
      <c r="B439" s="155"/>
      <c r="C439" s="85"/>
      <c r="D439" s="1"/>
      <c r="E439" s="1"/>
      <c r="F439" s="1"/>
      <c r="G439" s="1"/>
      <c r="H439" s="1"/>
      <c r="I439" s="1"/>
      <c r="J439" s="15"/>
      <c r="K439" s="17"/>
      <c r="L439" s="17"/>
      <c r="M439" s="238"/>
      <c r="N439" s="242"/>
      <c r="O439" s="244"/>
      <c r="P439" s="17"/>
      <c r="Q439" s="210"/>
      <c r="R439" s="17"/>
      <c r="S439" s="15"/>
      <c r="T439" s="17"/>
      <c r="U439" s="17"/>
      <c r="V439" s="15"/>
      <c r="W439" s="15"/>
      <c r="X439" s="17"/>
      <c r="Y439" s="229"/>
      <c r="Z439" s="1"/>
      <c r="AA439" s="284"/>
      <c r="AB439" s="238"/>
      <c r="AC439" s="17"/>
      <c r="AD439" s="15"/>
      <c r="AE439" s="17"/>
      <c r="AF439" s="262"/>
      <c r="AG439" s="262"/>
      <c r="AH439" s="1"/>
      <c r="AI439" s="1"/>
      <c r="AJ439" s="1"/>
      <c r="AK439" s="1"/>
      <c r="AL439" s="1"/>
      <c r="AM439" s="1"/>
      <c r="AN439" s="1"/>
      <c r="AO439" s="1"/>
      <c r="AP439" s="1"/>
      <c r="AQ439" s="15"/>
      <c r="AR439" s="15"/>
      <c r="AS439" s="17"/>
      <c r="AT439" s="15"/>
      <c r="AU439" s="124"/>
      <c r="AV439" s="17"/>
      <c r="AW439" s="17"/>
      <c r="AX439" s="263"/>
      <c r="AY439" s="1"/>
      <c r="AZ439" s="1"/>
      <c r="BA439" s="297"/>
      <c r="BB439" s="1"/>
      <c r="BC439" s="11"/>
      <c r="BD439" s="11"/>
      <c r="BE439" s="214"/>
      <c r="BF439" s="268"/>
      <c r="BG439" s="1"/>
      <c r="BH439" s="210"/>
      <c r="BI439" s="60"/>
      <c r="BJ439" s="15"/>
      <c r="BK439" s="15"/>
      <c r="BL439" s="1"/>
      <c r="BM439" s="49" t="e">
        <f>IF(OR(#REF!="",#REF!="")=TRUE,"",NETWORKDAYS.INTL(#REF!,#REF!))</f>
        <v>#REF!</v>
      </c>
    </row>
    <row r="440" spans="1:65" x14ac:dyDescent="0.45">
      <c r="A440" s="13">
        <v>435</v>
      </c>
      <c r="B440" s="155"/>
      <c r="C440" s="85"/>
      <c r="D440" s="1"/>
      <c r="E440" s="1"/>
      <c r="F440" s="1"/>
      <c r="G440" s="1"/>
      <c r="H440" s="1"/>
      <c r="I440" s="1"/>
      <c r="J440" s="15"/>
      <c r="K440" s="17"/>
      <c r="L440" s="17"/>
      <c r="M440" s="238"/>
      <c r="N440" s="242"/>
      <c r="O440" s="244"/>
      <c r="P440" s="17"/>
      <c r="Q440" s="210"/>
      <c r="R440" s="17"/>
      <c r="S440" s="15"/>
      <c r="T440" s="17"/>
      <c r="U440" s="17"/>
      <c r="V440" s="15"/>
      <c r="W440" s="15"/>
      <c r="X440" s="17"/>
      <c r="Y440" s="229"/>
      <c r="Z440" s="1"/>
      <c r="AA440" s="284"/>
      <c r="AB440" s="238"/>
      <c r="AC440" s="17"/>
      <c r="AD440" s="15"/>
      <c r="AE440" s="17"/>
      <c r="AF440" s="262"/>
      <c r="AG440" s="262"/>
      <c r="AH440" s="1"/>
      <c r="AI440" s="1"/>
      <c r="AJ440" s="1"/>
      <c r="AK440" s="1"/>
      <c r="AL440" s="1"/>
      <c r="AM440" s="1"/>
      <c r="AN440" s="1"/>
      <c r="AO440" s="1"/>
      <c r="AP440" s="1"/>
      <c r="AQ440" s="15"/>
      <c r="AR440" s="15"/>
      <c r="AS440" s="17"/>
      <c r="AT440" s="15"/>
      <c r="AU440" s="124"/>
      <c r="AV440" s="17"/>
      <c r="AW440" s="17"/>
      <c r="AX440" s="263"/>
      <c r="AY440" s="1"/>
      <c r="AZ440" s="1"/>
      <c r="BA440" s="297"/>
      <c r="BB440" s="1"/>
      <c r="BC440" s="11"/>
      <c r="BD440" s="11"/>
      <c r="BE440" s="214"/>
      <c r="BF440" s="268"/>
      <c r="BG440" s="1"/>
      <c r="BH440" s="210"/>
      <c r="BI440" s="60"/>
      <c r="BJ440" s="15"/>
      <c r="BK440" s="15"/>
      <c r="BL440" s="1"/>
      <c r="BM440" s="49" t="e">
        <f>IF(OR(#REF!="",#REF!="")=TRUE,"",NETWORKDAYS.INTL(#REF!,#REF!))</f>
        <v>#REF!</v>
      </c>
    </row>
    <row r="441" spans="1:65" x14ac:dyDescent="0.45">
      <c r="A441" s="12">
        <v>436</v>
      </c>
      <c r="B441" s="150"/>
      <c r="C441" s="53"/>
      <c r="D441" s="1"/>
      <c r="E441" s="1"/>
      <c r="F441" s="1"/>
      <c r="G441" s="1"/>
      <c r="H441" s="1"/>
      <c r="I441" s="1"/>
      <c r="J441" s="15"/>
      <c r="K441" s="17"/>
      <c r="L441" s="17"/>
      <c r="M441" s="238"/>
      <c r="N441" s="242"/>
      <c r="O441" s="244"/>
      <c r="P441" s="17"/>
      <c r="Q441" s="210"/>
      <c r="R441" s="17"/>
      <c r="S441" s="15"/>
      <c r="T441" s="17"/>
      <c r="U441" s="17"/>
      <c r="V441" s="15"/>
      <c r="W441" s="15"/>
      <c r="X441" s="17"/>
      <c r="Y441" s="229"/>
      <c r="Z441" s="1"/>
      <c r="AA441" s="284"/>
      <c r="AB441" s="238"/>
      <c r="AC441" s="17"/>
      <c r="AD441" s="15"/>
      <c r="AE441" s="17"/>
      <c r="AF441" s="262"/>
      <c r="AG441" s="262"/>
      <c r="AH441" s="1"/>
      <c r="AI441" s="1"/>
      <c r="AJ441" s="1"/>
      <c r="AK441" s="1"/>
      <c r="AL441" s="1"/>
      <c r="AM441" s="1"/>
      <c r="AN441" s="1"/>
      <c r="AO441" s="1"/>
      <c r="AP441" s="1"/>
      <c r="AQ441" s="15"/>
      <c r="AR441" s="15"/>
      <c r="AS441" s="17"/>
      <c r="AT441" s="15"/>
      <c r="AU441" s="124"/>
      <c r="AV441" s="17"/>
      <c r="AW441" s="17"/>
      <c r="AX441" s="263"/>
      <c r="AY441" s="1"/>
      <c r="AZ441" s="1"/>
      <c r="BA441" s="297"/>
      <c r="BB441" s="1"/>
      <c r="BC441" s="11"/>
      <c r="BD441" s="11"/>
      <c r="BE441" s="214"/>
      <c r="BF441" s="268"/>
      <c r="BG441" s="1"/>
      <c r="BH441" s="210"/>
      <c r="BI441" s="60"/>
      <c r="BJ441" s="15"/>
      <c r="BK441" s="15"/>
      <c r="BL441" s="1"/>
      <c r="BM441" s="49" t="e">
        <f>IF(OR(#REF!="",#REF!="")=TRUE,"",NETWORKDAYS.INTL(#REF!,#REF!))</f>
        <v>#REF!</v>
      </c>
    </row>
    <row r="442" spans="1:65" x14ac:dyDescent="0.45">
      <c r="A442" s="13">
        <v>437</v>
      </c>
      <c r="B442" s="155"/>
      <c r="C442" s="85"/>
      <c r="D442" s="1"/>
      <c r="E442" s="1"/>
      <c r="F442" s="1"/>
      <c r="G442" s="1"/>
      <c r="H442" s="1"/>
      <c r="I442" s="1"/>
      <c r="J442" s="15"/>
      <c r="K442" s="17"/>
      <c r="L442" s="17"/>
      <c r="M442" s="238"/>
      <c r="N442" s="242"/>
      <c r="O442" s="244"/>
      <c r="P442" s="17"/>
      <c r="Q442" s="210"/>
      <c r="R442" s="17"/>
      <c r="S442" s="15"/>
      <c r="T442" s="17"/>
      <c r="U442" s="17"/>
      <c r="V442" s="15"/>
      <c r="W442" s="15"/>
      <c r="X442" s="17"/>
      <c r="Y442" s="229"/>
      <c r="Z442" s="1"/>
      <c r="AA442" s="284"/>
      <c r="AB442" s="238"/>
      <c r="AC442" s="17"/>
      <c r="AD442" s="15"/>
      <c r="AE442" s="17"/>
      <c r="AF442" s="262"/>
      <c r="AG442" s="262"/>
      <c r="AH442" s="1"/>
      <c r="AI442" s="1"/>
      <c r="AJ442" s="1"/>
      <c r="AK442" s="1"/>
      <c r="AL442" s="1"/>
      <c r="AM442" s="1"/>
      <c r="AN442" s="1"/>
      <c r="AO442" s="1"/>
      <c r="AP442" s="1"/>
      <c r="AQ442" s="15"/>
      <c r="AR442" s="15"/>
      <c r="AS442" s="17"/>
      <c r="AT442" s="15"/>
      <c r="AU442" s="124"/>
      <c r="AV442" s="17"/>
      <c r="AW442" s="17"/>
      <c r="AX442" s="263"/>
      <c r="AY442" s="1"/>
      <c r="AZ442" s="1"/>
      <c r="BA442" s="297"/>
      <c r="BB442" s="1"/>
      <c r="BC442" s="11"/>
      <c r="BD442" s="11"/>
      <c r="BE442" s="214"/>
      <c r="BF442" s="268"/>
      <c r="BG442" s="1"/>
      <c r="BH442" s="210"/>
      <c r="BI442" s="60"/>
      <c r="BJ442" s="15"/>
      <c r="BK442" s="15"/>
      <c r="BL442" s="1"/>
      <c r="BM442" s="49" t="e">
        <f>IF(OR(#REF!="",#REF!="")=TRUE,"",NETWORKDAYS.INTL(#REF!,#REF!))</f>
        <v>#REF!</v>
      </c>
    </row>
    <row r="443" spans="1:65" x14ac:dyDescent="0.45">
      <c r="A443" s="13">
        <v>438</v>
      </c>
      <c r="B443" s="155"/>
      <c r="C443" s="85"/>
      <c r="D443" s="1"/>
      <c r="E443" s="1"/>
      <c r="F443" s="1"/>
      <c r="G443" s="1"/>
      <c r="H443" s="1"/>
      <c r="I443" s="1"/>
      <c r="J443" s="15"/>
      <c r="K443" s="17"/>
      <c r="L443" s="17"/>
      <c r="M443" s="238"/>
      <c r="N443" s="242"/>
      <c r="O443" s="244"/>
      <c r="P443" s="17"/>
      <c r="Q443" s="210"/>
      <c r="R443" s="17"/>
      <c r="S443" s="15"/>
      <c r="T443" s="17"/>
      <c r="U443" s="17"/>
      <c r="V443" s="15"/>
      <c r="W443" s="15"/>
      <c r="X443" s="17"/>
      <c r="Y443" s="229"/>
      <c r="Z443" s="1"/>
      <c r="AA443" s="284"/>
      <c r="AB443" s="238"/>
      <c r="AC443" s="17"/>
      <c r="AD443" s="15"/>
      <c r="AE443" s="17"/>
      <c r="AF443" s="262"/>
      <c r="AG443" s="262"/>
      <c r="AH443" s="1"/>
      <c r="AI443" s="1"/>
      <c r="AJ443" s="1"/>
      <c r="AK443" s="1"/>
      <c r="AL443" s="1"/>
      <c r="AM443" s="1"/>
      <c r="AN443" s="1"/>
      <c r="AO443" s="1"/>
      <c r="AP443" s="1"/>
      <c r="AQ443" s="15"/>
      <c r="AR443" s="15"/>
      <c r="AS443" s="17"/>
      <c r="AT443" s="15"/>
      <c r="AU443" s="124"/>
      <c r="AV443" s="17"/>
      <c r="AW443" s="17"/>
      <c r="AX443" s="263"/>
      <c r="AY443" s="1"/>
      <c r="AZ443" s="1"/>
      <c r="BA443" s="297"/>
      <c r="BB443" s="1"/>
      <c r="BC443" s="11"/>
      <c r="BD443" s="11"/>
      <c r="BE443" s="214"/>
      <c r="BF443" s="268"/>
      <c r="BG443" s="1"/>
      <c r="BH443" s="210"/>
      <c r="BI443" s="60"/>
      <c r="BJ443" s="15"/>
      <c r="BK443" s="15"/>
      <c r="BL443" s="1"/>
      <c r="BM443" s="49" t="e">
        <f>IF(OR(#REF!="",#REF!="")=TRUE,"",NETWORKDAYS.INTL(#REF!,#REF!))</f>
        <v>#REF!</v>
      </c>
    </row>
    <row r="444" spans="1:65" x14ac:dyDescent="0.45">
      <c r="A444" s="12">
        <v>439</v>
      </c>
      <c r="B444" s="150"/>
      <c r="C444" s="53"/>
      <c r="D444" s="1"/>
      <c r="E444" s="1"/>
      <c r="F444" s="1"/>
      <c r="G444" s="1"/>
      <c r="H444" s="1"/>
      <c r="I444" s="1"/>
      <c r="J444" s="15"/>
      <c r="K444" s="17"/>
      <c r="L444" s="17"/>
      <c r="M444" s="238"/>
      <c r="N444" s="242"/>
      <c r="O444" s="244"/>
      <c r="P444" s="17"/>
      <c r="Q444" s="210"/>
      <c r="R444" s="17"/>
      <c r="S444" s="15"/>
      <c r="T444" s="17"/>
      <c r="U444" s="17"/>
      <c r="V444" s="15"/>
      <c r="W444" s="15"/>
      <c r="X444" s="17"/>
      <c r="Y444" s="229"/>
      <c r="Z444" s="1"/>
      <c r="AA444" s="284"/>
      <c r="AB444" s="238"/>
      <c r="AC444" s="17"/>
      <c r="AD444" s="15"/>
      <c r="AE444" s="17"/>
      <c r="AF444" s="262"/>
      <c r="AG444" s="262"/>
      <c r="AH444" s="1"/>
      <c r="AI444" s="1"/>
      <c r="AJ444" s="1"/>
      <c r="AK444" s="1"/>
      <c r="AL444" s="1"/>
      <c r="AM444" s="1"/>
      <c r="AN444" s="1"/>
      <c r="AO444" s="1"/>
      <c r="AP444" s="1"/>
      <c r="AQ444" s="15"/>
      <c r="AR444" s="15"/>
      <c r="AS444" s="17"/>
      <c r="AT444" s="15"/>
      <c r="AU444" s="124"/>
      <c r="AV444" s="17"/>
      <c r="AW444" s="17"/>
      <c r="AX444" s="263"/>
      <c r="AY444" s="1"/>
      <c r="AZ444" s="1"/>
      <c r="BA444" s="297"/>
      <c r="BB444" s="1"/>
      <c r="BC444" s="11"/>
      <c r="BD444" s="11"/>
      <c r="BE444" s="214"/>
      <c r="BF444" s="268"/>
      <c r="BG444" s="1"/>
      <c r="BH444" s="210"/>
      <c r="BI444" s="60"/>
      <c r="BJ444" s="15"/>
      <c r="BK444" s="15"/>
      <c r="BL444" s="1"/>
      <c r="BM444" s="49" t="e">
        <f>IF(OR(#REF!="",#REF!="")=TRUE,"",NETWORKDAYS.INTL(#REF!,#REF!))</f>
        <v>#REF!</v>
      </c>
    </row>
    <row r="445" spans="1:65" x14ac:dyDescent="0.45">
      <c r="A445" s="13">
        <v>440</v>
      </c>
      <c r="B445" s="155"/>
      <c r="C445" s="85"/>
      <c r="D445" s="1"/>
      <c r="E445" s="1"/>
      <c r="F445" s="1"/>
      <c r="G445" s="1"/>
      <c r="H445" s="1"/>
      <c r="I445" s="1"/>
      <c r="J445" s="15"/>
      <c r="K445" s="17"/>
      <c r="L445" s="17"/>
      <c r="M445" s="238"/>
      <c r="N445" s="242"/>
      <c r="O445" s="244"/>
      <c r="P445" s="17"/>
      <c r="Q445" s="210"/>
      <c r="R445" s="17"/>
      <c r="S445" s="15"/>
      <c r="T445" s="17"/>
      <c r="U445" s="17"/>
      <c r="V445" s="15"/>
      <c r="W445" s="15"/>
      <c r="X445" s="17"/>
      <c r="Y445" s="229"/>
      <c r="Z445" s="1"/>
      <c r="AA445" s="284"/>
      <c r="AB445" s="238"/>
      <c r="AC445" s="17"/>
      <c r="AD445" s="15"/>
      <c r="AE445" s="17"/>
      <c r="AF445" s="262"/>
      <c r="AG445" s="262"/>
      <c r="AH445" s="1"/>
      <c r="AI445" s="1"/>
      <c r="AJ445" s="1"/>
      <c r="AK445" s="1"/>
      <c r="AL445" s="1"/>
      <c r="AM445" s="1"/>
      <c r="AN445" s="1"/>
      <c r="AO445" s="1"/>
      <c r="AP445" s="1"/>
      <c r="AQ445" s="15"/>
      <c r="AR445" s="15"/>
      <c r="AS445" s="17"/>
      <c r="AT445" s="15"/>
      <c r="AU445" s="124"/>
      <c r="AV445" s="17"/>
      <c r="AW445" s="17"/>
      <c r="AX445" s="263"/>
      <c r="AY445" s="1"/>
      <c r="AZ445" s="1"/>
      <c r="BA445" s="297"/>
      <c r="BB445" s="1"/>
      <c r="BC445" s="11"/>
      <c r="BD445" s="11"/>
      <c r="BE445" s="214"/>
      <c r="BF445" s="268"/>
      <c r="BG445" s="1"/>
      <c r="BH445" s="210"/>
      <c r="BI445" s="60"/>
      <c r="BJ445" s="15"/>
      <c r="BK445" s="15"/>
      <c r="BL445" s="1"/>
      <c r="BM445" s="49" t="e">
        <f>IF(OR(#REF!="",#REF!="")=TRUE,"",NETWORKDAYS.INTL(#REF!,#REF!))</f>
        <v>#REF!</v>
      </c>
    </row>
    <row r="446" spans="1:65" x14ac:dyDescent="0.45">
      <c r="A446" s="13">
        <v>441</v>
      </c>
      <c r="B446" s="155"/>
      <c r="C446" s="85"/>
      <c r="D446" s="1"/>
      <c r="E446" s="1"/>
      <c r="F446" s="1"/>
      <c r="G446" s="1"/>
      <c r="H446" s="1"/>
      <c r="I446" s="1"/>
      <c r="J446" s="15"/>
      <c r="K446" s="17"/>
      <c r="L446" s="17"/>
      <c r="M446" s="238"/>
      <c r="N446" s="242"/>
      <c r="O446" s="244"/>
      <c r="P446" s="17"/>
      <c r="Q446" s="210"/>
      <c r="R446" s="17"/>
      <c r="S446" s="15"/>
      <c r="T446" s="17"/>
      <c r="U446" s="17"/>
      <c r="V446" s="15"/>
      <c r="W446" s="15"/>
      <c r="X446" s="17"/>
      <c r="Y446" s="229"/>
      <c r="Z446" s="1"/>
      <c r="AA446" s="284"/>
      <c r="AB446" s="238"/>
      <c r="AC446" s="17"/>
      <c r="AD446" s="15"/>
      <c r="AE446" s="17"/>
      <c r="AF446" s="262"/>
      <c r="AG446" s="262"/>
      <c r="AH446" s="1"/>
      <c r="AI446" s="1"/>
      <c r="AJ446" s="1"/>
      <c r="AK446" s="1"/>
      <c r="AL446" s="1"/>
      <c r="AM446" s="1"/>
      <c r="AN446" s="1"/>
      <c r="AO446" s="1"/>
      <c r="AP446" s="1"/>
      <c r="AQ446" s="15"/>
      <c r="AR446" s="15"/>
      <c r="AS446" s="17"/>
      <c r="AT446" s="15"/>
      <c r="AU446" s="124"/>
      <c r="AV446" s="17"/>
      <c r="AW446" s="17"/>
      <c r="AX446" s="263"/>
      <c r="AY446" s="1"/>
      <c r="AZ446" s="1"/>
      <c r="BA446" s="297"/>
      <c r="BB446" s="1"/>
      <c r="BC446" s="11"/>
      <c r="BD446" s="11"/>
      <c r="BE446" s="214"/>
      <c r="BF446" s="268"/>
      <c r="BG446" s="1"/>
      <c r="BH446" s="210"/>
      <c r="BI446" s="60"/>
      <c r="BJ446" s="15"/>
      <c r="BK446" s="15"/>
      <c r="BL446" s="1"/>
      <c r="BM446" s="49" t="e">
        <f>IF(OR(#REF!="",#REF!="")=TRUE,"",NETWORKDAYS.INTL(#REF!,#REF!))</f>
        <v>#REF!</v>
      </c>
    </row>
    <row r="447" spans="1:65" x14ac:dyDescent="0.45">
      <c r="A447" s="12">
        <v>442</v>
      </c>
      <c r="B447" s="150"/>
      <c r="C447" s="53"/>
      <c r="D447" s="1"/>
      <c r="E447" s="1"/>
      <c r="F447" s="1"/>
      <c r="G447" s="1"/>
      <c r="H447" s="1"/>
      <c r="I447" s="1"/>
      <c r="J447" s="15"/>
      <c r="K447" s="17"/>
      <c r="L447" s="17"/>
      <c r="M447" s="238"/>
      <c r="N447" s="242"/>
      <c r="O447" s="244"/>
      <c r="P447" s="17"/>
      <c r="Q447" s="210"/>
      <c r="R447" s="17"/>
      <c r="S447" s="15"/>
      <c r="T447" s="17"/>
      <c r="U447" s="17"/>
      <c r="V447" s="15"/>
      <c r="W447" s="15"/>
      <c r="X447" s="17"/>
      <c r="Y447" s="229"/>
      <c r="Z447" s="1"/>
      <c r="AA447" s="284"/>
      <c r="AB447" s="238"/>
      <c r="AC447" s="17"/>
      <c r="AD447" s="15"/>
      <c r="AE447" s="17"/>
      <c r="AF447" s="262"/>
      <c r="AG447" s="262"/>
      <c r="AH447" s="1"/>
      <c r="AI447" s="1"/>
      <c r="AJ447" s="1"/>
      <c r="AK447" s="1"/>
      <c r="AL447" s="1"/>
      <c r="AM447" s="1"/>
      <c r="AN447" s="1"/>
      <c r="AO447" s="1"/>
      <c r="AP447" s="1"/>
      <c r="AQ447" s="15"/>
      <c r="AR447" s="15"/>
      <c r="AS447" s="17"/>
      <c r="AT447" s="15"/>
      <c r="AU447" s="124"/>
      <c r="AV447" s="17"/>
      <c r="AW447" s="17"/>
      <c r="AX447" s="263"/>
      <c r="AY447" s="1"/>
      <c r="AZ447" s="1"/>
      <c r="BA447" s="297"/>
      <c r="BB447" s="1"/>
      <c r="BC447" s="11"/>
      <c r="BD447" s="11"/>
      <c r="BE447" s="214"/>
      <c r="BF447" s="268"/>
      <c r="BG447" s="1"/>
      <c r="BH447" s="210"/>
      <c r="BI447" s="60"/>
      <c r="BJ447" s="15"/>
      <c r="BK447" s="15"/>
      <c r="BL447" s="1"/>
      <c r="BM447" s="49" t="e">
        <f>IF(OR(#REF!="",#REF!="")=TRUE,"",NETWORKDAYS.INTL(#REF!,#REF!))</f>
        <v>#REF!</v>
      </c>
    </row>
    <row r="448" spans="1:65" x14ac:dyDescent="0.45">
      <c r="A448" s="13">
        <v>443</v>
      </c>
      <c r="B448" s="155"/>
      <c r="C448" s="85"/>
      <c r="D448" s="1"/>
      <c r="E448" s="1"/>
      <c r="F448" s="1"/>
      <c r="G448" s="1"/>
      <c r="H448" s="1"/>
      <c r="I448" s="1"/>
      <c r="J448" s="15"/>
      <c r="K448" s="17"/>
      <c r="L448" s="17"/>
      <c r="M448" s="238"/>
      <c r="N448" s="242"/>
      <c r="O448" s="244"/>
      <c r="P448" s="17"/>
      <c r="Q448" s="210"/>
      <c r="R448" s="17"/>
      <c r="S448" s="15"/>
      <c r="T448" s="17"/>
      <c r="U448" s="17"/>
      <c r="V448" s="15"/>
      <c r="W448" s="15"/>
      <c r="X448" s="17"/>
      <c r="Y448" s="229"/>
      <c r="Z448" s="1"/>
      <c r="AA448" s="284"/>
      <c r="AB448" s="238"/>
      <c r="AC448" s="17"/>
      <c r="AD448" s="15"/>
      <c r="AE448" s="17"/>
      <c r="AF448" s="262"/>
      <c r="AG448" s="262"/>
      <c r="AH448" s="1"/>
      <c r="AI448" s="1"/>
      <c r="AJ448" s="1"/>
      <c r="AK448" s="1"/>
      <c r="AL448" s="1"/>
      <c r="AM448" s="1"/>
      <c r="AN448" s="1"/>
      <c r="AO448" s="1"/>
      <c r="AP448" s="1"/>
      <c r="AQ448" s="15"/>
      <c r="AR448" s="15"/>
      <c r="AS448" s="17"/>
      <c r="AT448" s="15"/>
      <c r="AU448" s="124"/>
      <c r="AV448" s="17"/>
      <c r="AW448" s="17"/>
      <c r="AX448" s="263"/>
      <c r="AY448" s="1"/>
      <c r="AZ448" s="1"/>
      <c r="BA448" s="297"/>
      <c r="BB448" s="1"/>
      <c r="BC448" s="11"/>
      <c r="BD448" s="11"/>
      <c r="BE448" s="214"/>
      <c r="BF448" s="268"/>
      <c r="BG448" s="1"/>
      <c r="BH448" s="210"/>
      <c r="BI448" s="60"/>
      <c r="BJ448" s="15"/>
      <c r="BK448" s="15"/>
      <c r="BL448" s="1"/>
      <c r="BM448" s="49" t="e">
        <f>IF(OR(#REF!="",#REF!="")=TRUE,"",NETWORKDAYS.INTL(#REF!,#REF!))</f>
        <v>#REF!</v>
      </c>
    </row>
    <row r="449" spans="1:65" x14ac:dyDescent="0.45">
      <c r="A449" s="13">
        <v>444</v>
      </c>
      <c r="B449" s="155"/>
      <c r="C449" s="85"/>
      <c r="D449" s="1"/>
      <c r="E449" s="1"/>
      <c r="F449" s="1"/>
      <c r="G449" s="1"/>
      <c r="H449" s="1"/>
      <c r="I449" s="1"/>
      <c r="J449" s="15"/>
      <c r="K449" s="17"/>
      <c r="L449" s="17"/>
      <c r="M449" s="238"/>
      <c r="N449" s="242"/>
      <c r="O449" s="244"/>
      <c r="P449" s="17"/>
      <c r="Q449" s="210"/>
      <c r="R449" s="17"/>
      <c r="S449" s="15"/>
      <c r="T449" s="17"/>
      <c r="U449" s="17"/>
      <c r="V449" s="15"/>
      <c r="W449" s="15"/>
      <c r="X449" s="17"/>
      <c r="Y449" s="229"/>
      <c r="Z449" s="1"/>
      <c r="AA449" s="284"/>
      <c r="AB449" s="238"/>
      <c r="AC449" s="17"/>
      <c r="AD449" s="15"/>
      <c r="AE449" s="17"/>
      <c r="AF449" s="262"/>
      <c r="AG449" s="262"/>
      <c r="AH449" s="1"/>
      <c r="AI449" s="1"/>
      <c r="AJ449" s="1"/>
      <c r="AK449" s="1"/>
      <c r="AL449" s="1"/>
      <c r="AM449" s="1"/>
      <c r="AN449" s="1"/>
      <c r="AO449" s="1"/>
      <c r="AP449" s="1"/>
      <c r="AQ449" s="15"/>
      <c r="AR449" s="15"/>
      <c r="AS449" s="17"/>
      <c r="AT449" s="15"/>
      <c r="AU449" s="124"/>
      <c r="AV449" s="17"/>
      <c r="AW449" s="17"/>
      <c r="AX449" s="263"/>
      <c r="AY449" s="1"/>
      <c r="AZ449" s="1"/>
      <c r="BA449" s="297"/>
      <c r="BB449" s="1"/>
      <c r="BC449" s="11"/>
      <c r="BD449" s="11"/>
      <c r="BE449" s="214"/>
      <c r="BF449" s="268"/>
      <c r="BG449" s="1"/>
      <c r="BH449" s="210"/>
      <c r="BI449" s="60"/>
      <c r="BJ449" s="15"/>
      <c r="BK449" s="15"/>
      <c r="BL449" s="1"/>
      <c r="BM449" s="49" t="e">
        <f>IF(OR(#REF!="",#REF!="")=TRUE,"",NETWORKDAYS.INTL(#REF!,#REF!))</f>
        <v>#REF!</v>
      </c>
    </row>
    <row r="450" spans="1:65" x14ac:dyDescent="0.45">
      <c r="A450" s="12">
        <v>445</v>
      </c>
      <c r="B450" s="150"/>
      <c r="C450" s="53"/>
      <c r="D450" s="1"/>
      <c r="E450" s="1"/>
      <c r="F450" s="1"/>
      <c r="G450" s="1"/>
      <c r="H450" s="1"/>
      <c r="I450" s="1"/>
      <c r="J450" s="15"/>
      <c r="K450" s="17"/>
      <c r="L450" s="17"/>
      <c r="M450" s="238"/>
      <c r="N450" s="242"/>
      <c r="O450" s="244"/>
      <c r="P450" s="17"/>
      <c r="Q450" s="210"/>
      <c r="R450" s="17"/>
      <c r="S450" s="15"/>
      <c r="T450" s="17"/>
      <c r="U450" s="17"/>
      <c r="V450" s="15"/>
      <c r="W450" s="15"/>
      <c r="X450" s="17"/>
      <c r="Y450" s="229"/>
      <c r="Z450" s="1"/>
      <c r="AA450" s="284"/>
      <c r="AB450" s="238"/>
      <c r="AC450" s="17"/>
      <c r="AD450" s="15"/>
      <c r="AE450" s="17"/>
      <c r="AF450" s="262"/>
      <c r="AG450" s="262"/>
      <c r="AH450" s="1"/>
      <c r="AI450" s="1"/>
      <c r="AJ450" s="1"/>
      <c r="AK450" s="1"/>
      <c r="AL450" s="1"/>
      <c r="AM450" s="1"/>
      <c r="AN450" s="1"/>
      <c r="AO450" s="1"/>
      <c r="AP450" s="1"/>
      <c r="AQ450" s="15"/>
      <c r="AR450" s="15"/>
      <c r="AS450" s="17"/>
      <c r="AT450" s="15"/>
      <c r="AU450" s="124"/>
      <c r="AV450" s="17"/>
      <c r="AW450" s="17"/>
      <c r="AX450" s="263"/>
      <c r="AY450" s="1"/>
      <c r="AZ450" s="1"/>
      <c r="BA450" s="297"/>
      <c r="BB450" s="1"/>
      <c r="BC450" s="11"/>
      <c r="BD450" s="11"/>
      <c r="BE450" s="214"/>
      <c r="BF450" s="268"/>
      <c r="BG450" s="1"/>
      <c r="BH450" s="210"/>
      <c r="BI450" s="60"/>
      <c r="BJ450" s="15"/>
      <c r="BK450" s="15"/>
      <c r="BL450" s="1"/>
      <c r="BM450" s="49" t="e">
        <f>IF(OR(#REF!="",#REF!="")=TRUE,"",NETWORKDAYS.INTL(#REF!,#REF!))</f>
        <v>#REF!</v>
      </c>
    </row>
    <row r="451" spans="1:65" x14ac:dyDescent="0.45">
      <c r="A451" s="13">
        <v>446</v>
      </c>
      <c r="B451" s="155"/>
      <c r="C451" s="85"/>
      <c r="D451" s="1"/>
      <c r="E451" s="1"/>
      <c r="F451" s="1"/>
      <c r="G451" s="1"/>
      <c r="H451" s="1"/>
      <c r="I451" s="1"/>
      <c r="J451" s="15"/>
      <c r="K451" s="17"/>
      <c r="L451" s="17"/>
      <c r="M451" s="238"/>
      <c r="N451" s="242"/>
      <c r="O451" s="244"/>
      <c r="P451" s="17"/>
      <c r="Q451" s="210"/>
      <c r="R451" s="17"/>
      <c r="S451" s="15"/>
      <c r="T451" s="17"/>
      <c r="U451" s="17"/>
      <c r="V451" s="15"/>
      <c r="W451" s="15"/>
      <c r="X451" s="17"/>
      <c r="Y451" s="229"/>
      <c r="Z451" s="1"/>
      <c r="AA451" s="284"/>
      <c r="AB451" s="238"/>
      <c r="AC451" s="17"/>
      <c r="AD451" s="15"/>
      <c r="AE451" s="17"/>
      <c r="AF451" s="262"/>
      <c r="AG451" s="262"/>
      <c r="AH451" s="1"/>
      <c r="AI451" s="1"/>
      <c r="AJ451" s="1"/>
      <c r="AK451" s="1"/>
      <c r="AL451" s="1"/>
      <c r="AM451" s="1"/>
      <c r="AN451" s="1"/>
      <c r="AO451" s="1"/>
      <c r="AP451" s="1"/>
      <c r="AQ451" s="15"/>
      <c r="AR451" s="15"/>
      <c r="AS451" s="17"/>
      <c r="AT451" s="15"/>
      <c r="AU451" s="124"/>
      <c r="AV451" s="17"/>
      <c r="AW451" s="17"/>
      <c r="AX451" s="263"/>
      <c r="AY451" s="1"/>
      <c r="AZ451" s="1"/>
      <c r="BA451" s="297"/>
      <c r="BB451" s="1"/>
      <c r="BC451" s="11"/>
      <c r="BD451" s="11"/>
      <c r="BE451" s="214"/>
      <c r="BF451" s="268"/>
      <c r="BG451" s="1"/>
      <c r="BH451" s="210"/>
      <c r="BI451" s="60"/>
      <c r="BJ451" s="15"/>
      <c r="BK451" s="15"/>
      <c r="BL451" s="1"/>
      <c r="BM451" s="49" t="e">
        <f>IF(OR(#REF!="",#REF!="")=TRUE,"",NETWORKDAYS.INTL(#REF!,#REF!))</f>
        <v>#REF!</v>
      </c>
    </row>
    <row r="452" spans="1:65" x14ac:dyDescent="0.45">
      <c r="A452" s="13">
        <v>447</v>
      </c>
      <c r="B452" s="155"/>
      <c r="C452" s="85"/>
      <c r="D452" s="1"/>
      <c r="E452" s="1"/>
      <c r="F452" s="1"/>
      <c r="G452" s="1"/>
      <c r="H452" s="1"/>
      <c r="I452" s="1"/>
      <c r="J452" s="15"/>
      <c r="K452" s="17"/>
      <c r="L452" s="17"/>
      <c r="M452" s="238"/>
      <c r="N452" s="242"/>
      <c r="O452" s="244"/>
      <c r="P452" s="17"/>
      <c r="Q452" s="210"/>
      <c r="R452" s="17"/>
      <c r="S452" s="15"/>
      <c r="T452" s="17"/>
      <c r="U452" s="17"/>
      <c r="V452" s="15"/>
      <c r="W452" s="15"/>
      <c r="X452" s="17"/>
      <c r="Y452" s="229"/>
      <c r="Z452" s="1"/>
      <c r="AA452" s="284"/>
      <c r="AB452" s="238"/>
      <c r="AC452" s="17"/>
      <c r="AD452" s="15"/>
      <c r="AE452" s="17"/>
      <c r="AF452" s="262"/>
      <c r="AG452" s="262"/>
      <c r="AH452" s="1"/>
      <c r="AI452" s="1"/>
      <c r="AJ452" s="1"/>
      <c r="AK452" s="1"/>
      <c r="AL452" s="1"/>
      <c r="AM452" s="1"/>
      <c r="AN452" s="1"/>
      <c r="AO452" s="1"/>
      <c r="AP452" s="1"/>
      <c r="AQ452" s="15"/>
      <c r="AR452" s="15"/>
      <c r="AS452" s="17"/>
      <c r="AT452" s="15"/>
      <c r="AU452" s="124"/>
      <c r="AV452" s="17"/>
      <c r="AW452" s="17"/>
      <c r="AX452" s="263"/>
      <c r="AY452" s="1"/>
      <c r="AZ452" s="1"/>
      <c r="BA452" s="297"/>
      <c r="BB452" s="1"/>
      <c r="BC452" s="11"/>
      <c r="BD452" s="11"/>
      <c r="BE452" s="214"/>
      <c r="BF452" s="268"/>
      <c r="BG452" s="1"/>
      <c r="BH452" s="210"/>
      <c r="BI452" s="60"/>
      <c r="BJ452" s="15"/>
      <c r="BK452" s="15"/>
      <c r="BL452" s="1"/>
      <c r="BM452" s="49" t="e">
        <f>IF(OR(#REF!="",#REF!="")=TRUE,"",NETWORKDAYS.INTL(#REF!,#REF!))</f>
        <v>#REF!</v>
      </c>
    </row>
    <row r="453" spans="1:65" x14ac:dyDescent="0.45">
      <c r="A453" s="12">
        <v>448</v>
      </c>
      <c r="B453" s="150"/>
      <c r="C453" s="53"/>
      <c r="D453" s="1"/>
      <c r="E453" s="1"/>
      <c r="F453" s="1"/>
      <c r="G453" s="1"/>
      <c r="H453" s="1"/>
      <c r="I453" s="1"/>
      <c r="J453" s="15"/>
      <c r="K453" s="17"/>
      <c r="L453" s="17"/>
      <c r="M453" s="238"/>
      <c r="N453" s="242"/>
      <c r="O453" s="244"/>
      <c r="P453" s="17"/>
      <c r="Q453" s="210"/>
      <c r="R453" s="17"/>
      <c r="S453" s="15"/>
      <c r="T453" s="17"/>
      <c r="U453" s="17"/>
      <c r="V453" s="15"/>
      <c r="W453" s="15"/>
      <c r="X453" s="17"/>
      <c r="Y453" s="229"/>
      <c r="Z453" s="1"/>
      <c r="AA453" s="284"/>
      <c r="AB453" s="238"/>
      <c r="AC453" s="17"/>
      <c r="AD453" s="15"/>
      <c r="AE453" s="17"/>
      <c r="AF453" s="262"/>
      <c r="AG453" s="262"/>
      <c r="AH453" s="1"/>
      <c r="AI453" s="1"/>
      <c r="AJ453" s="1"/>
      <c r="AK453" s="1"/>
      <c r="AL453" s="1"/>
      <c r="AM453" s="1"/>
      <c r="AN453" s="1"/>
      <c r="AO453" s="1"/>
      <c r="AP453" s="1"/>
      <c r="AQ453" s="15"/>
      <c r="AR453" s="15"/>
      <c r="AS453" s="17"/>
      <c r="AT453" s="15"/>
      <c r="AU453" s="124"/>
      <c r="AV453" s="17"/>
      <c r="AW453" s="17"/>
      <c r="AX453" s="263"/>
      <c r="AY453" s="1"/>
      <c r="AZ453" s="1"/>
      <c r="BA453" s="297"/>
      <c r="BB453" s="1"/>
      <c r="BC453" s="11"/>
      <c r="BD453" s="11"/>
      <c r="BE453" s="214"/>
      <c r="BF453" s="268"/>
      <c r="BG453" s="1"/>
      <c r="BH453" s="210"/>
      <c r="BI453" s="60"/>
      <c r="BJ453" s="15"/>
      <c r="BK453" s="15"/>
      <c r="BL453" s="1"/>
      <c r="BM453" s="49" t="e">
        <f>IF(OR(#REF!="",#REF!="")=TRUE,"",NETWORKDAYS.INTL(#REF!,#REF!))</f>
        <v>#REF!</v>
      </c>
    </row>
    <row r="454" spans="1:65" x14ac:dyDescent="0.45">
      <c r="A454" s="13">
        <v>449</v>
      </c>
      <c r="B454" s="155"/>
      <c r="C454" s="85"/>
      <c r="D454" s="1"/>
      <c r="E454" s="1"/>
      <c r="F454" s="1"/>
      <c r="G454" s="1"/>
      <c r="H454" s="1"/>
      <c r="I454" s="1"/>
      <c r="J454" s="15"/>
      <c r="K454" s="17"/>
      <c r="L454" s="17"/>
      <c r="M454" s="238"/>
      <c r="N454" s="242"/>
      <c r="O454" s="244"/>
      <c r="P454" s="17"/>
      <c r="Q454" s="210"/>
      <c r="R454" s="17"/>
      <c r="S454" s="15"/>
      <c r="T454" s="17"/>
      <c r="U454" s="17"/>
      <c r="V454" s="15"/>
      <c r="W454" s="15"/>
      <c r="X454" s="17"/>
      <c r="Y454" s="229"/>
      <c r="Z454" s="1"/>
      <c r="AA454" s="284"/>
      <c r="AB454" s="238"/>
      <c r="AC454" s="17"/>
      <c r="AD454" s="15"/>
      <c r="AE454" s="17"/>
      <c r="AF454" s="262"/>
      <c r="AG454" s="262"/>
      <c r="AH454" s="1"/>
      <c r="AI454" s="1"/>
      <c r="AJ454" s="1"/>
      <c r="AK454" s="1"/>
      <c r="AL454" s="1"/>
      <c r="AM454" s="1"/>
      <c r="AN454" s="1"/>
      <c r="AO454" s="1"/>
      <c r="AP454" s="1"/>
      <c r="AQ454" s="15"/>
      <c r="AR454" s="15"/>
      <c r="AS454" s="17"/>
      <c r="AT454" s="15"/>
      <c r="AU454" s="124"/>
      <c r="AV454" s="17"/>
      <c r="AW454" s="17"/>
      <c r="AX454" s="263"/>
      <c r="AY454" s="1"/>
      <c r="AZ454" s="1"/>
      <c r="BA454" s="297"/>
      <c r="BB454" s="1"/>
      <c r="BC454" s="11"/>
      <c r="BD454" s="11"/>
      <c r="BE454" s="214"/>
      <c r="BF454" s="268"/>
      <c r="BG454" s="1"/>
      <c r="BH454" s="210"/>
      <c r="BI454" s="60"/>
      <c r="BJ454" s="15"/>
      <c r="BK454" s="15"/>
      <c r="BL454" s="1"/>
      <c r="BM454" s="49" t="e">
        <f>IF(OR(#REF!="",#REF!="")=TRUE,"",NETWORKDAYS.INTL(#REF!,#REF!))</f>
        <v>#REF!</v>
      </c>
    </row>
    <row r="455" spans="1:65" x14ac:dyDescent="0.45">
      <c r="A455" s="13">
        <v>450</v>
      </c>
      <c r="B455" s="155"/>
      <c r="C455" s="85"/>
      <c r="D455" s="1"/>
      <c r="E455" s="1"/>
      <c r="F455" s="1"/>
      <c r="G455" s="1"/>
      <c r="H455" s="1"/>
      <c r="I455" s="1"/>
      <c r="J455" s="15"/>
      <c r="K455" s="17"/>
      <c r="L455" s="17"/>
      <c r="M455" s="238"/>
      <c r="N455" s="242"/>
      <c r="O455" s="244"/>
      <c r="P455" s="17"/>
      <c r="Q455" s="210"/>
      <c r="R455" s="17"/>
      <c r="S455" s="15"/>
      <c r="T455" s="17"/>
      <c r="U455" s="17"/>
      <c r="V455" s="15"/>
      <c r="W455" s="15"/>
      <c r="X455" s="17"/>
      <c r="Y455" s="229"/>
      <c r="Z455" s="1"/>
      <c r="AA455" s="284"/>
      <c r="AB455" s="238"/>
      <c r="AC455" s="17"/>
      <c r="AD455" s="15"/>
      <c r="AE455" s="17"/>
      <c r="AF455" s="262"/>
      <c r="AG455" s="262"/>
      <c r="AH455" s="1"/>
      <c r="AI455" s="1"/>
      <c r="AJ455" s="1"/>
      <c r="AK455" s="1"/>
      <c r="AL455" s="1"/>
      <c r="AM455" s="1"/>
      <c r="AN455" s="1"/>
      <c r="AO455" s="1"/>
      <c r="AP455" s="1"/>
      <c r="AQ455" s="15"/>
      <c r="AR455" s="15"/>
      <c r="AS455" s="17"/>
      <c r="AT455" s="15"/>
      <c r="AU455" s="124"/>
      <c r="AV455" s="17"/>
      <c r="AW455" s="17"/>
      <c r="AX455" s="263"/>
      <c r="AY455" s="1"/>
      <c r="AZ455" s="1"/>
      <c r="BA455" s="297"/>
      <c r="BB455" s="1"/>
      <c r="BC455" s="11"/>
      <c r="BD455" s="11"/>
      <c r="BE455" s="214"/>
      <c r="BF455" s="268"/>
      <c r="BG455" s="1"/>
      <c r="BH455" s="210"/>
      <c r="BI455" s="60"/>
      <c r="BJ455" s="15"/>
      <c r="BK455" s="15"/>
      <c r="BL455" s="1"/>
      <c r="BM455" s="49" t="e">
        <f>IF(OR(#REF!="",#REF!="")=TRUE,"",NETWORKDAYS.INTL(#REF!,#REF!))</f>
        <v>#REF!</v>
      </c>
    </row>
    <row r="456" spans="1:65" x14ac:dyDescent="0.45">
      <c r="A456" s="12">
        <v>451</v>
      </c>
      <c r="B456" s="150"/>
      <c r="C456" s="53"/>
      <c r="D456" s="1"/>
      <c r="E456" s="1"/>
      <c r="F456" s="1"/>
      <c r="G456" s="1"/>
      <c r="H456" s="1"/>
      <c r="I456" s="1"/>
      <c r="J456" s="15"/>
      <c r="K456" s="17"/>
      <c r="L456" s="17"/>
      <c r="M456" s="238"/>
      <c r="N456" s="242"/>
      <c r="O456" s="244"/>
      <c r="P456" s="17"/>
      <c r="Q456" s="210"/>
      <c r="R456" s="17"/>
      <c r="S456" s="15"/>
      <c r="T456" s="17"/>
      <c r="U456" s="17"/>
      <c r="V456" s="15"/>
      <c r="W456" s="15"/>
      <c r="X456" s="17"/>
      <c r="Y456" s="229"/>
      <c r="Z456" s="1"/>
      <c r="AA456" s="284"/>
      <c r="AB456" s="238"/>
      <c r="AC456" s="17"/>
      <c r="AD456" s="15"/>
      <c r="AE456" s="17"/>
      <c r="AF456" s="262"/>
      <c r="AG456" s="262"/>
      <c r="AH456" s="1"/>
      <c r="AI456" s="1"/>
      <c r="AJ456" s="1"/>
      <c r="AK456" s="1"/>
      <c r="AL456" s="1"/>
      <c r="AM456" s="1"/>
      <c r="AN456" s="1"/>
      <c r="AO456" s="1"/>
      <c r="AP456" s="1"/>
      <c r="AQ456" s="15"/>
      <c r="AR456" s="15"/>
      <c r="AS456" s="17"/>
      <c r="AT456" s="15"/>
      <c r="AU456" s="124"/>
      <c r="AV456" s="17"/>
      <c r="AW456" s="17"/>
      <c r="AX456" s="263"/>
      <c r="AY456" s="1"/>
      <c r="AZ456" s="1"/>
      <c r="BA456" s="297"/>
      <c r="BB456" s="1"/>
      <c r="BC456" s="11"/>
      <c r="BD456" s="11"/>
      <c r="BE456" s="214"/>
      <c r="BF456" s="268"/>
      <c r="BG456" s="1"/>
      <c r="BH456" s="210"/>
      <c r="BI456" s="60"/>
      <c r="BJ456" s="15"/>
      <c r="BK456" s="15"/>
      <c r="BL456" s="1"/>
      <c r="BM456" s="49" t="e">
        <f>IF(OR(#REF!="",#REF!="")=TRUE,"",NETWORKDAYS.INTL(#REF!,#REF!))</f>
        <v>#REF!</v>
      </c>
    </row>
    <row r="457" spans="1:65" x14ac:dyDescent="0.45">
      <c r="A457" s="13">
        <v>452</v>
      </c>
      <c r="B457" s="155"/>
      <c r="C457" s="85"/>
      <c r="D457" s="1"/>
      <c r="E457" s="1"/>
      <c r="F457" s="1"/>
      <c r="G457" s="1"/>
      <c r="H457" s="1"/>
      <c r="I457" s="1"/>
      <c r="J457" s="15"/>
      <c r="K457" s="17"/>
      <c r="L457" s="17"/>
      <c r="M457" s="238"/>
      <c r="N457" s="242"/>
      <c r="O457" s="244"/>
      <c r="P457" s="17"/>
      <c r="Q457" s="210"/>
      <c r="R457" s="17"/>
      <c r="S457" s="15"/>
      <c r="T457" s="17"/>
      <c r="U457" s="17"/>
      <c r="V457" s="15"/>
      <c r="W457" s="15"/>
      <c r="X457" s="17"/>
      <c r="Y457" s="229"/>
      <c r="Z457" s="1"/>
      <c r="AA457" s="284"/>
      <c r="AB457" s="238"/>
      <c r="AC457" s="17"/>
      <c r="AD457" s="15"/>
      <c r="AE457" s="17"/>
      <c r="AF457" s="262"/>
      <c r="AG457" s="262"/>
      <c r="AH457" s="1"/>
      <c r="AI457" s="1"/>
      <c r="AJ457" s="1"/>
      <c r="AK457" s="1"/>
      <c r="AL457" s="1"/>
      <c r="AM457" s="1"/>
      <c r="AN457" s="1"/>
      <c r="AO457" s="1"/>
      <c r="AP457" s="1"/>
      <c r="AQ457" s="15"/>
      <c r="AR457" s="15"/>
      <c r="AS457" s="17"/>
      <c r="AT457" s="15"/>
      <c r="AU457" s="124"/>
      <c r="AV457" s="17"/>
      <c r="AW457" s="17"/>
      <c r="AX457" s="263"/>
      <c r="AY457" s="1"/>
      <c r="AZ457" s="1"/>
      <c r="BA457" s="297"/>
      <c r="BB457" s="1"/>
      <c r="BC457" s="11"/>
      <c r="BD457" s="11"/>
      <c r="BE457" s="214"/>
      <c r="BF457" s="268"/>
      <c r="BG457" s="1"/>
      <c r="BH457" s="210"/>
      <c r="BI457" s="60"/>
      <c r="BJ457" s="15"/>
      <c r="BK457" s="15"/>
      <c r="BL457" s="1"/>
      <c r="BM457" s="49" t="e">
        <f>IF(OR(#REF!="",#REF!="")=TRUE,"",NETWORKDAYS.INTL(#REF!,#REF!))</f>
        <v>#REF!</v>
      </c>
    </row>
    <row r="458" spans="1:65" x14ac:dyDescent="0.45">
      <c r="A458" s="13">
        <v>453</v>
      </c>
      <c r="B458" s="155"/>
      <c r="C458" s="85"/>
      <c r="D458" s="1"/>
      <c r="E458" s="1"/>
      <c r="F458" s="1"/>
      <c r="G458" s="1"/>
      <c r="H458" s="1"/>
      <c r="I458" s="1"/>
      <c r="J458" s="15"/>
      <c r="K458" s="17"/>
      <c r="L458" s="17"/>
      <c r="M458" s="238"/>
      <c r="N458" s="242"/>
      <c r="O458" s="244"/>
      <c r="P458" s="17"/>
      <c r="Q458" s="210"/>
      <c r="R458" s="17"/>
      <c r="S458" s="15"/>
      <c r="T458" s="17"/>
      <c r="U458" s="17"/>
      <c r="V458" s="15"/>
      <c r="W458" s="15"/>
      <c r="X458" s="17"/>
      <c r="Y458" s="229"/>
      <c r="Z458" s="1"/>
      <c r="AA458" s="284"/>
      <c r="AB458" s="238"/>
      <c r="AC458" s="17"/>
      <c r="AD458" s="15"/>
      <c r="AE458" s="17"/>
      <c r="AF458" s="262"/>
      <c r="AG458" s="262"/>
      <c r="AH458" s="1"/>
      <c r="AI458" s="1"/>
      <c r="AJ458" s="1"/>
      <c r="AK458" s="1"/>
      <c r="AL458" s="1"/>
      <c r="AM458" s="1"/>
      <c r="AN458" s="1"/>
      <c r="AO458" s="1"/>
      <c r="AP458" s="1"/>
      <c r="AQ458" s="15"/>
      <c r="AR458" s="15"/>
      <c r="AS458" s="17"/>
      <c r="AT458" s="15"/>
      <c r="AU458" s="124"/>
      <c r="AV458" s="17"/>
      <c r="AW458" s="17"/>
      <c r="AX458" s="263"/>
      <c r="AY458" s="1"/>
      <c r="AZ458" s="1"/>
      <c r="BA458" s="297"/>
      <c r="BB458" s="1"/>
      <c r="BC458" s="11"/>
      <c r="BD458" s="11"/>
      <c r="BE458" s="214"/>
      <c r="BF458" s="268"/>
      <c r="BG458" s="1"/>
      <c r="BH458" s="210"/>
      <c r="BI458" s="60"/>
      <c r="BJ458" s="15"/>
      <c r="BK458" s="15"/>
      <c r="BL458" s="1"/>
      <c r="BM458" s="49" t="e">
        <f>IF(OR(#REF!="",#REF!="")=TRUE,"",NETWORKDAYS.INTL(#REF!,#REF!))</f>
        <v>#REF!</v>
      </c>
    </row>
    <row r="459" spans="1:65" x14ac:dyDescent="0.45">
      <c r="A459" s="12">
        <v>454</v>
      </c>
      <c r="B459" s="150"/>
      <c r="C459" s="53"/>
      <c r="D459" s="1"/>
      <c r="E459" s="1"/>
      <c r="F459" s="1"/>
      <c r="G459" s="1"/>
      <c r="H459" s="1"/>
      <c r="I459" s="1"/>
      <c r="J459" s="15"/>
      <c r="K459" s="17"/>
      <c r="L459" s="17"/>
      <c r="M459" s="238"/>
      <c r="N459" s="242"/>
      <c r="O459" s="244"/>
      <c r="P459" s="17"/>
      <c r="Q459" s="210"/>
      <c r="R459" s="17"/>
      <c r="S459" s="15"/>
      <c r="T459" s="17"/>
      <c r="U459" s="17"/>
      <c r="V459" s="15"/>
      <c r="W459" s="15"/>
      <c r="X459" s="17"/>
      <c r="Y459" s="229"/>
      <c r="Z459" s="1"/>
      <c r="AA459" s="284"/>
      <c r="AB459" s="238"/>
      <c r="AC459" s="17"/>
      <c r="AD459" s="15"/>
      <c r="AE459" s="17"/>
      <c r="AF459" s="262"/>
      <c r="AG459" s="262"/>
      <c r="AH459" s="1"/>
      <c r="AI459" s="1"/>
      <c r="AJ459" s="1"/>
      <c r="AK459" s="1"/>
      <c r="AL459" s="1"/>
      <c r="AM459" s="1"/>
      <c r="AN459" s="1"/>
      <c r="AO459" s="1"/>
      <c r="AP459" s="1"/>
      <c r="AQ459" s="15"/>
      <c r="AR459" s="15"/>
      <c r="AS459" s="17"/>
      <c r="AT459" s="15"/>
      <c r="AU459" s="124"/>
      <c r="AV459" s="17"/>
      <c r="AW459" s="17"/>
      <c r="AX459" s="263"/>
      <c r="AY459" s="1"/>
      <c r="AZ459" s="1"/>
      <c r="BA459" s="297"/>
      <c r="BB459" s="1"/>
      <c r="BC459" s="11"/>
      <c r="BD459" s="11"/>
      <c r="BE459" s="214"/>
      <c r="BF459" s="268"/>
      <c r="BG459" s="1"/>
      <c r="BH459" s="210"/>
      <c r="BI459" s="60"/>
      <c r="BJ459" s="15"/>
      <c r="BK459" s="15"/>
      <c r="BL459" s="1"/>
      <c r="BM459" s="49" t="e">
        <f>IF(OR(#REF!="",#REF!="")=TRUE,"",NETWORKDAYS.INTL(#REF!,#REF!))</f>
        <v>#REF!</v>
      </c>
    </row>
    <row r="460" spans="1:65" x14ac:dyDescent="0.45">
      <c r="A460" s="13">
        <v>455</v>
      </c>
      <c r="B460" s="155"/>
      <c r="C460" s="85"/>
      <c r="D460" s="1"/>
      <c r="E460" s="1"/>
      <c r="F460" s="1"/>
      <c r="G460" s="1"/>
      <c r="H460" s="1"/>
      <c r="I460" s="1"/>
      <c r="J460" s="15"/>
      <c r="K460" s="17"/>
      <c r="L460" s="17"/>
      <c r="M460" s="238"/>
      <c r="N460" s="242"/>
      <c r="O460" s="244"/>
      <c r="P460" s="17"/>
      <c r="Q460" s="210"/>
      <c r="R460" s="17"/>
      <c r="S460" s="15"/>
      <c r="T460" s="17"/>
      <c r="U460" s="17"/>
      <c r="V460" s="15"/>
      <c r="W460" s="15"/>
      <c r="X460" s="17"/>
      <c r="Y460" s="229"/>
      <c r="Z460" s="1"/>
      <c r="AA460" s="284"/>
      <c r="AB460" s="238"/>
      <c r="AC460" s="17"/>
      <c r="AD460" s="15"/>
      <c r="AE460" s="17"/>
      <c r="AF460" s="262"/>
      <c r="AG460" s="262"/>
      <c r="AH460" s="1"/>
      <c r="AI460" s="1"/>
      <c r="AJ460" s="1"/>
      <c r="AK460" s="1"/>
      <c r="AL460" s="1"/>
      <c r="AM460" s="1"/>
      <c r="AN460" s="1"/>
      <c r="AO460" s="1"/>
      <c r="AP460" s="1"/>
      <c r="AQ460" s="15"/>
      <c r="AR460" s="15"/>
      <c r="AS460" s="17"/>
      <c r="AT460" s="15"/>
      <c r="AU460" s="124"/>
      <c r="AV460" s="17"/>
      <c r="AW460" s="17"/>
      <c r="AX460" s="263"/>
      <c r="AY460" s="1"/>
      <c r="AZ460" s="1"/>
      <c r="BA460" s="297"/>
      <c r="BB460" s="1"/>
      <c r="BC460" s="11"/>
      <c r="BD460" s="11"/>
      <c r="BE460" s="214"/>
      <c r="BF460" s="268"/>
      <c r="BG460" s="1"/>
      <c r="BH460" s="210"/>
      <c r="BI460" s="60"/>
      <c r="BJ460" s="15"/>
      <c r="BK460" s="15"/>
      <c r="BL460" s="1"/>
      <c r="BM460" s="49" t="e">
        <f>IF(OR(#REF!="",#REF!="")=TRUE,"",NETWORKDAYS.INTL(#REF!,#REF!))</f>
        <v>#REF!</v>
      </c>
    </row>
    <row r="461" spans="1:65" x14ac:dyDescent="0.45">
      <c r="A461" s="13">
        <v>456</v>
      </c>
      <c r="B461" s="155"/>
      <c r="C461" s="85"/>
      <c r="D461" s="1"/>
      <c r="E461" s="1"/>
      <c r="F461" s="1"/>
      <c r="G461" s="1"/>
      <c r="H461" s="1"/>
      <c r="I461" s="1"/>
      <c r="J461" s="15"/>
      <c r="K461" s="17"/>
      <c r="L461" s="17"/>
      <c r="M461" s="238"/>
      <c r="N461" s="242"/>
      <c r="O461" s="244"/>
      <c r="P461" s="17"/>
      <c r="Q461" s="210"/>
      <c r="R461" s="17"/>
      <c r="S461" s="15"/>
      <c r="T461" s="17"/>
      <c r="U461" s="17"/>
      <c r="V461" s="15"/>
      <c r="W461" s="15"/>
      <c r="X461" s="17"/>
      <c r="Y461" s="229"/>
      <c r="Z461" s="1"/>
      <c r="AA461" s="284"/>
      <c r="AB461" s="238"/>
      <c r="AC461" s="17"/>
      <c r="AD461" s="15"/>
      <c r="AE461" s="17"/>
      <c r="AF461" s="262"/>
      <c r="AG461" s="262"/>
      <c r="AH461" s="1"/>
      <c r="AI461" s="1"/>
      <c r="AJ461" s="1"/>
      <c r="AK461" s="1"/>
      <c r="AL461" s="1"/>
      <c r="AM461" s="1"/>
      <c r="AN461" s="1"/>
      <c r="AO461" s="1"/>
      <c r="AP461" s="1"/>
      <c r="AQ461" s="15"/>
      <c r="AR461" s="15"/>
      <c r="AS461" s="17"/>
      <c r="AT461" s="15"/>
      <c r="AU461" s="124"/>
      <c r="AV461" s="17"/>
      <c r="AW461" s="17"/>
      <c r="AX461" s="263"/>
      <c r="AY461" s="1"/>
      <c r="AZ461" s="1"/>
      <c r="BA461" s="297"/>
      <c r="BB461" s="1"/>
      <c r="BC461" s="11"/>
      <c r="BD461" s="11"/>
      <c r="BE461" s="214"/>
      <c r="BF461" s="268"/>
      <c r="BG461" s="1"/>
      <c r="BH461" s="210"/>
      <c r="BI461" s="60"/>
      <c r="BJ461" s="15"/>
      <c r="BK461" s="15"/>
      <c r="BL461" s="1"/>
      <c r="BM461" s="49" t="e">
        <f>IF(OR(#REF!="",#REF!="")=TRUE,"",NETWORKDAYS.INTL(#REF!,#REF!))</f>
        <v>#REF!</v>
      </c>
    </row>
    <row r="462" spans="1:65" x14ac:dyDescent="0.45">
      <c r="A462" s="12">
        <v>457</v>
      </c>
      <c r="B462" s="150"/>
      <c r="C462" s="53"/>
      <c r="D462" s="1"/>
      <c r="E462" s="1"/>
      <c r="F462" s="1"/>
      <c r="G462" s="1"/>
      <c r="H462" s="1"/>
      <c r="I462" s="1"/>
      <c r="J462" s="15"/>
      <c r="K462" s="17"/>
      <c r="L462" s="17"/>
      <c r="M462" s="238"/>
      <c r="N462" s="242"/>
      <c r="O462" s="244"/>
      <c r="P462" s="17"/>
      <c r="Q462" s="210"/>
      <c r="R462" s="17"/>
      <c r="S462" s="15"/>
      <c r="T462" s="17"/>
      <c r="U462" s="17"/>
      <c r="V462" s="15"/>
      <c r="W462" s="15"/>
      <c r="X462" s="17"/>
      <c r="Y462" s="229"/>
      <c r="Z462" s="1"/>
      <c r="AA462" s="284"/>
      <c r="AB462" s="238"/>
      <c r="AC462" s="17"/>
      <c r="AD462" s="15"/>
      <c r="AE462" s="17"/>
      <c r="AF462" s="262"/>
      <c r="AG462" s="262"/>
      <c r="AH462" s="1"/>
      <c r="AI462" s="1"/>
      <c r="AJ462" s="1"/>
      <c r="AK462" s="1"/>
      <c r="AL462" s="1"/>
      <c r="AM462" s="1"/>
      <c r="AN462" s="1"/>
      <c r="AO462" s="1"/>
      <c r="AP462" s="1"/>
      <c r="AQ462" s="15"/>
      <c r="AR462" s="15"/>
      <c r="AS462" s="17"/>
      <c r="AT462" s="15"/>
      <c r="AU462" s="124"/>
      <c r="AV462" s="17"/>
      <c r="AW462" s="17"/>
      <c r="AX462" s="263"/>
      <c r="AY462" s="1"/>
      <c r="AZ462" s="1"/>
      <c r="BA462" s="297"/>
      <c r="BB462" s="1"/>
      <c r="BC462" s="11"/>
      <c r="BD462" s="11"/>
      <c r="BE462" s="214"/>
      <c r="BF462" s="268"/>
      <c r="BG462" s="1"/>
      <c r="BH462" s="210"/>
      <c r="BI462" s="60"/>
      <c r="BJ462" s="15"/>
      <c r="BK462" s="15"/>
      <c r="BL462" s="1"/>
      <c r="BM462" s="49" t="e">
        <f>IF(OR(#REF!="",#REF!="")=TRUE,"",NETWORKDAYS.INTL(#REF!,#REF!))</f>
        <v>#REF!</v>
      </c>
    </row>
    <row r="463" spans="1:65" x14ac:dyDescent="0.45">
      <c r="A463" s="13">
        <v>458</v>
      </c>
      <c r="B463" s="155"/>
      <c r="C463" s="85"/>
      <c r="D463" s="1"/>
      <c r="E463" s="1"/>
      <c r="F463" s="1"/>
      <c r="G463" s="1"/>
      <c r="H463" s="1"/>
      <c r="I463" s="1"/>
      <c r="J463" s="15"/>
      <c r="K463" s="17"/>
      <c r="L463" s="17"/>
      <c r="M463" s="238"/>
      <c r="N463" s="242"/>
      <c r="O463" s="244"/>
      <c r="P463" s="17"/>
      <c r="Q463" s="210"/>
      <c r="R463" s="17"/>
      <c r="S463" s="15"/>
      <c r="T463" s="17"/>
      <c r="U463" s="17"/>
      <c r="V463" s="15"/>
      <c r="W463" s="15"/>
      <c r="X463" s="17"/>
      <c r="Y463" s="229"/>
      <c r="Z463" s="1"/>
      <c r="AA463" s="284"/>
      <c r="AB463" s="238"/>
      <c r="AC463" s="17"/>
      <c r="AD463" s="15"/>
      <c r="AE463" s="17"/>
      <c r="AF463" s="262"/>
      <c r="AG463" s="262"/>
      <c r="AH463" s="1"/>
      <c r="AI463" s="1"/>
      <c r="AJ463" s="1"/>
      <c r="AK463" s="1"/>
      <c r="AL463" s="1"/>
      <c r="AM463" s="1"/>
      <c r="AN463" s="1"/>
      <c r="AO463" s="1"/>
      <c r="AP463" s="1"/>
      <c r="AQ463" s="15"/>
      <c r="AR463" s="15"/>
      <c r="AS463" s="17"/>
      <c r="AT463" s="15"/>
      <c r="AU463" s="124"/>
      <c r="AV463" s="17"/>
      <c r="AW463" s="17"/>
      <c r="AX463" s="263"/>
      <c r="AY463" s="1"/>
      <c r="AZ463" s="1"/>
      <c r="BA463" s="297"/>
      <c r="BB463" s="1"/>
      <c r="BC463" s="11"/>
      <c r="BD463" s="11"/>
      <c r="BE463" s="214"/>
      <c r="BF463" s="268"/>
      <c r="BG463" s="1"/>
      <c r="BH463" s="210"/>
      <c r="BI463" s="60"/>
      <c r="BJ463" s="15"/>
      <c r="BK463" s="15"/>
      <c r="BL463" s="1"/>
      <c r="BM463" s="49" t="e">
        <f>IF(OR(#REF!="",#REF!="")=TRUE,"",NETWORKDAYS.INTL(#REF!,#REF!))</f>
        <v>#REF!</v>
      </c>
    </row>
    <row r="464" spans="1:65" x14ac:dyDescent="0.45">
      <c r="A464" s="13">
        <v>459</v>
      </c>
      <c r="B464" s="155"/>
      <c r="C464" s="85"/>
      <c r="D464" s="1"/>
      <c r="E464" s="1"/>
      <c r="F464" s="1"/>
      <c r="G464" s="1"/>
      <c r="H464" s="1"/>
      <c r="I464" s="1"/>
      <c r="J464" s="15"/>
      <c r="K464" s="17"/>
      <c r="L464" s="17"/>
      <c r="M464" s="238"/>
      <c r="N464" s="242"/>
      <c r="O464" s="244"/>
      <c r="P464" s="17"/>
      <c r="Q464" s="210"/>
      <c r="R464" s="17"/>
      <c r="S464" s="15"/>
      <c r="T464" s="17"/>
      <c r="U464" s="17"/>
      <c r="V464" s="15"/>
      <c r="W464" s="15"/>
      <c r="X464" s="17"/>
      <c r="Y464" s="229"/>
      <c r="Z464" s="1"/>
      <c r="AA464" s="284"/>
      <c r="AB464" s="238"/>
      <c r="AC464" s="17"/>
      <c r="AD464" s="15"/>
      <c r="AE464" s="17"/>
      <c r="AF464" s="262"/>
      <c r="AG464" s="262"/>
      <c r="AH464" s="1"/>
      <c r="AI464" s="1"/>
      <c r="AJ464" s="1"/>
      <c r="AK464" s="1"/>
      <c r="AL464" s="1"/>
      <c r="AM464" s="1"/>
      <c r="AN464" s="1"/>
      <c r="AO464" s="1"/>
      <c r="AP464" s="1"/>
      <c r="AQ464" s="15"/>
      <c r="AR464" s="15"/>
      <c r="AS464" s="17"/>
      <c r="AT464" s="15"/>
      <c r="AU464" s="124"/>
      <c r="AV464" s="17"/>
      <c r="AW464" s="17"/>
      <c r="AX464" s="263"/>
      <c r="AY464" s="1"/>
      <c r="AZ464" s="1"/>
      <c r="BA464" s="297"/>
      <c r="BB464" s="1"/>
      <c r="BC464" s="11"/>
      <c r="BD464" s="11"/>
      <c r="BE464" s="214"/>
      <c r="BF464" s="268"/>
      <c r="BG464" s="1"/>
      <c r="BH464" s="210"/>
      <c r="BI464" s="60"/>
      <c r="BJ464" s="15"/>
      <c r="BK464" s="15"/>
      <c r="BL464" s="1"/>
      <c r="BM464" s="49" t="e">
        <f>IF(OR(#REF!="",#REF!="")=TRUE,"",NETWORKDAYS.INTL(#REF!,#REF!))</f>
        <v>#REF!</v>
      </c>
    </row>
    <row r="465" spans="1:65" x14ac:dyDescent="0.45">
      <c r="A465" s="12">
        <v>460</v>
      </c>
      <c r="B465" s="150"/>
      <c r="C465" s="53"/>
      <c r="D465" s="1"/>
      <c r="E465" s="1"/>
      <c r="F465" s="1"/>
      <c r="G465" s="1"/>
      <c r="H465" s="1"/>
      <c r="I465" s="1"/>
      <c r="J465" s="15"/>
      <c r="K465" s="17"/>
      <c r="L465" s="17"/>
      <c r="M465" s="238"/>
      <c r="N465" s="242"/>
      <c r="O465" s="244"/>
      <c r="P465" s="17"/>
      <c r="Q465" s="210"/>
      <c r="R465" s="17"/>
      <c r="S465" s="15"/>
      <c r="T465" s="17"/>
      <c r="U465" s="17"/>
      <c r="V465" s="15"/>
      <c r="W465" s="15"/>
      <c r="X465" s="17"/>
      <c r="Y465" s="229"/>
      <c r="Z465" s="1"/>
      <c r="AA465" s="284"/>
      <c r="AB465" s="238"/>
      <c r="AC465" s="17"/>
      <c r="AD465" s="15"/>
      <c r="AE465" s="17"/>
      <c r="AF465" s="262"/>
      <c r="AG465" s="262"/>
      <c r="AH465" s="1"/>
      <c r="AI465" s="1"/>
      <c r="AJ465" s="1"/>
      <c r="AK465" s="1"/>
      <c r="AL465" s="1"/>
      <c r="AM465" s="1"/>
      <c r="AN465" s="1"/>
      <c r="AO465" s="1"/>
      <c r="AP465" s="1"/>
      <c r="AQ465" s="15"/>
      <c r="AR465" s="15"/>
      <c r="AS465" s="17"/>
      <c r="AT465" s="15"/>
      <c r="AU465" s="124"/>
      <c r="AV465" s="17"/>
      <c r="AW465" s="17"/>
      <c r="AX465" s="263"/>
      <c r="AY465" s="1"/>
      <c r="AZ465" s="1"/>
      <c r="BA465" s="297"/>
      <c r="BB465" s="1"/>
      <c r="BC465" s="11"/>
      <c r="BD465" s="11"/>
      <c r="BE465" s="214"/>
      <c r="BF465" s="268"/>
      <c r="BG465" s="1"/>
      <c r="BH465" s="210"/>
      <c r="BI465" s="60"/>
      <c r="BJ465" s="15"/>
      <c r="BK465" s="15"/>
      <c r="BL465" s="1"/>
      <c r="BM465" s="49" t="e">
        <f>IF(OR(#REF!="",#REF!="")=TRUE,"",NETWORKDAYS.INTL(#REF!,#REF!))</f>
        <v>#REF!</v>
      </c>
    </row>
    <row r="466" spans="1:65" x14ac:dyDescent="0.45">
      <c r="A466" s="13">
        <v>461</v>
      </c>
      <c r="B466" s="155"/>
      <c r="C466" s="85"/>
      <c r="D466" s="1"/>
      <c r="E466" s="1"/>
      <c r="F466" s="1"/>
      <c r="G466" s="1"/>
      <c r="H466" s="1"/>
      <c r="I466" s="1"/>
      <c r="J466" s="15"/>
      <c r="K466" s="17"/>
      <c r="L466" s="17"/>
      <c r="M466" s="238"/>
      <c r="N466" s="242"/>
      <c r="O466" s="244"/>
      <c r="P466" s="17"/>
      <c r="Q466" s="210"/>
      <c r="R466" s="17"/>
      <c r="S466" s="15"/>
      <c r="T466" s="17"/>
      <c r="U466" s="17"/>
      <c r="V466" s="15"/>
      <c r="W466" s="15"/>
      <c r="X466" s="17"/>
      <c r="Y466" s="229"/>
      <c r="Z466" s="1"/>
      <c r="AA466" s="284"/>
      <c r="AB466" s="238"/>
      <c r="AC466" s="17"/>
      <c r="AD466" s="15"/>
      <c r="AE466" s="17"/>
      <c r="AF466" s="262"/>
      <c r="AG466" s="262"/>
      <c r="AH466" s="1"/>
      <c r="AI466" s="1"/>
      <c r="AJ466" s="1"/>
      <c r="AK466" s="1"/>
      <c r="AL466" s="1"/>
      <c r="AM466" s="1"/>
      <c r="AN466" s="1"/>
      <c r="AO466" s="1"/>
      <c r="AP466" s="1"/>
      <c r="AQ466" s="15"/>
      <c r="AR466" s="15"/>
      <c r="AS466" s="17"/>
      <c r="AT466" s="15"/>
      <c r="AU466" s="124"/>
      <c r="AV466" s="17"/>
      <c r="AW466" s="17"/>
      <c r="AX466" s="263"/>
      <c r="AY466" s="1"/>
      <c r="AZ466" s="1"/>
      <c r="BA466" s="297"/>
      <c r="BB466" s="1"/>
      <c r="BC466" s="11"/>
      <c r="BD466" s="11"/>
      <c r="BE466" s="214"/>
      <c r="BF466" s="268"/>
      <c r="BG466" s="1"/>
      <c r="BH466" s="210"/>
      <c r="BI466" s="60"/>
      <c r="BJ466" s="15"/>
      <c r="BK466" s="15"/>
      <c r="BL466" s="1"/>
      <c r="BM466" s="49" t="e">
        <f>IF(OR(#REF!="",#REF!="")=TRUE,"",NETWORKDAYS.INTL(#REF!,#REF!))</f>
        <v>#REF!</v>
      </c>
    </row>
    <row r="467" spans="1:65" x14ac:dyDescent="0.45">
      <c r="A467" s="13">
        <v>462</v>
      </c>
      <c r="B467" s="155"/>
      <c r="C467" s="85"/>
      <c r="D467" s="1"/>
      <c r="E467" s="1"/>
      <c r="F467" s="1"/>
      <c r="G467" s="1"/>
      <c r="H467" s="1"/>
      <c r="I467" s="1"/>
      <c r="J467" s="15"/>
      <c r="K467" s="17"/>
      <c r="L467" s="17"/>
      <c r="M467" s="238"/>
      <c r="N467" s="242"/>
      <c r="O467" s="244"/>
      <c r="P467" s="17"/>
      <c r="Q467" s="210"/>
      <c r="R467" s="17"/>
      <c r="S467" s="15"/>
      <c r="T467" s="17"/>
      <c r="U467" s="17"/>
      <c r="V467" s="15"/>
      <c r="W467" s="15"/>
      <c r="X467" s="17"/>
      <c r="Y467" s="229"/>
      <c r="Z467" s="1"/>
      <c r="AA467" s="284"/>
      <c r="AB467" s="238"/>
      <c r="AC467" s="17"/>
      <c r="AD467" s="15"/>
      <c r="AE467" s="17"/>
      <c r="AF467" s="262"/>
      <c r="AG467" s="262"/>
      <c r="AH467" s="1"/>
      <c r="AI467" s="1"/>
      <c r="AJ467" s="1"/>
      <c r="AK467" s="1"/>
      <c r="AL467" s="1"/>
      <c r="AM467" s="1"/>
      <c r="AN467" s="1"/>
      <c r="AO467" s="1"/>
      <c r="AP467" s="1"/>
      <c r="AQ467" s="15"/>
      <c r="AR467" s="15"/>
      <c r="AS467" s="17"/>
      <c r="AT467" s="15"/>
      <c r="AU467" s="124"/>
      <c r="AV467" s="17"/>
      <c r="AW467" s="17"/>
      <c r="AX467" s="263"/>
      <c r="AY467" s="1"/>
      <c r="AZ467" s="1"/>
      <c r="BA467" s="297"/>
      <c r="BB467" s="1"/>
      <c r="BC467" s="11"/>
      <c r="BD467" s="11"/>
      <c r="BE467" s="214"/>
      <c r="BF467" s="268"/>
      <c r="BG467" s="1"/>
      <c r="BH467" s="210"/>
      <c r="BI467" s="60"/>
      <c r="BJ467" s="15"/>
      <c r="BK467" s="15"/>
      <c r="BL467" s="1"/>
      <c r="BM467" s="49" t="e">
        <f>IF(OR(#REF!="",#REF!="")=TRUE,"",NETWORKDAYS.INTL(#REF!,#REF!))</f>
        <v>#REF!</v>
      </c>
    </row>
    <row r="468" spans="1:65" x14ac:dyDescent="0.45">
      <c r="A468" s="12">
        <v>463</v>
      </c>
      <c r="B468" s="150"/>
      <c r="C468" s="53"/>
      <c r="D468" s="1"/>
      <c r="E468" s="1"/>
      <c r="F468" s="1"/>
      <c r="G468" s="1"/>
      <c r="H468" s="1"/>
      <c r="I468" s="1"/>
      <c r="J468" s="15"/>
      <c r="K468" s="17"/>
      <c r="L468" s="17"/>
      <c r="M468" s="238"/>
      <c r="N468" s="242"/>
      <c r="O468" s="244"/>
      <c r="P468" s="17"/>
      <c r="Q468" s="210"/>
      <c r="R468" s="17"/>
      <c r="S468" s="15"/>
      <c r="T468" s="17"/>
      <c r="U468" s="17"/>
      <c r="V468" s="15"/>
      <c r="W468" s="15"/>
      <c r="X468" s="17"/>
      <c r="Y468" s="229"/>
      <c r="Z468" s="1"/>
      <c r="AA468" s="284"/>
      <c r="AB468" s="238"/>
      <c r="AC468" s="17"/>
      <c r="AD468" s="15"/>
      <c r="AE468" s="17"/>
      <c r="AF468" s="262"/>
      <c r="AG468" s="262"/>
      <c r="AH468" s="1"/>
      <c r="AI468" s="1"/>
      <c r="AJ468" s="1"/>
      <c r="AK468" s="1"/>
      <c r="AL468" s="1"/>
      <c r="AM468" s="1"/>
      <c r="AN468" s="1"/>
      <c r="AO468" s="1"/>
      <c r="AP468" s="1"/>
      <c r="AQ468" s="15"/>
      <c r="AR468" s="15"/>
      <c r="AS468" s="17"/>
      <c r="AT468" s="15"/>
      <c r="AU468" s="124"/>
      <c r="AV468" s="17"/>
      <c r="AW468" s="17"/>
      <c r="AX468" s="263"/>
      <c r="AY468" s="1"/>
      <c r="AZ468" s="1"/>
      <c r="BA468" s="297"/>
      <c r="BB468" s="1"/>
      <c r="BC468" s="11"/>
      <c r="BD468" s="11"/>
      <c r="BE468" s="214"/>
      <c r="BF468" s="268"/>
      <c r="BG468" s="1"/>
      <c r="BH468" s="210"/>
      <c r="BI468" s="60"/>
      <c r="BJ468" s="15"/>
      <c r="BK468" s="15"/>
      <c r="BL468" s="1"/>
      <c r="BM468" s="49" t="e">
        <f>IF(OR(#REF!="",#REF!="")=TRUE,"",NETWORKDAYS.INTL(#REF!,#REF!))</f>
        <v>#REF!</v>
      </c>
    </row>
    <row r="469" spans="1:65" x14ac:dyDescent="0.45">
      <c r="A469" s="13">
        <v>464</v>
      </c>
      <c r="B469" s="155"/>
      <c r="C469" s="85"/>
      <c r="D469" s="1"/>
      <c r="E469" s="1"/>
      <c r="F469" s="1"/>
      <c r="G469" s="1"/>
      <c r="H469" s="1"/>
      <c r="I469" s="1"/>
      <c r="J469" s="15"/>
      <c r="K469" s="17"/>
      <c r="L469" s="17"/>
      <c r="M469" s="238"/>
      <c r="N469" s="242"/>
      <c r="O469" s="244"/>
      <c r="P469" s="17"/>
      <c r="Q469" s="210"/>
      <c r="R469" s="17"/>
      <c r="S469" s="15"/>
      <c r="T469" s="17"/>
      <c r="U469" s="17"/>
      <c r="V469" s="15"/>
      <c r="W469" s="15"/>
      <c r="X469" s="17"/>
      <c r="Y469" s="229"/>
      <c r="Z469" s="1"/>
      <c r="AA469" s="284"/>
      <c r="AB469" s="238"/>
      <c r="AC469" s="17"/>
      <c r="AD469" s="15"/>
      <c r="AE469" s="17"/>
      <c r="AF469" s="262"/>
      <c r="AG469" s="262"/>
      <c r="AH469" s="1"/>
      <c r="AI469" s="1"/>
      <c r="AJ469" s="1"/>
      <c r="AK469" s="1"/>
      <c r="AL469" s="1"/>
      <c r="AM469" s="1"/>
      <c r="AN469" s="1"/>
      <c r="AO469" s="1"/>
      <c r="AP469" s="1"/>
      <c r="AQ469" s="15"/>
      <c r="AR469" s="15"/>
      <c r="AS469" s="17"/>
      <c r="AT469" s="15"/>
      <c r="AU469" s="124"/>
      <c r="AV469" s="17"/>
      <c r="AW469" s="17"/>
      <c r="AX469" s="263"/>
      <c r="AY469" s="1"/>
      <c r="AZ469" s="1"/>
      <c r="BA469" s="297"/>
      <c r="BB469" s="1"/>
      <c r="BC469" s="11"/>
      <c r="BD469" s="11"/>
      <c r="BE469" s="214"/>
      <c r="BF469" s="268"/>
      <c r="BG469" s="1"/>
      <c r="BH469" s="210"/>
      <c r="BI469" s="60"/>
      <c r="BJ469" s="15"/>
      <c r="BK469" s="15"/>
      <c r="BL469" s="1"/>
      <c r="BM469" s="49" t="e">
        <f>IF(OR(#REF!="",#REF!="")=TRUE,"",NETWORKDAYS.INTL(#REF!,#REF!))</f>
        <v>#REF!</v>
      </c>
    </row>
    <row r="470" spans="1:65" x14ac:dyDescent="0.45">
      <c r="A470" s="13">
        <v>465</v>
      </c>
      <c r="B470" s="155"/>
      <c r="C470" s="85"/>
      <c r="D470" s="1"/>
      <c r="E470" s="1"/>
      <c r="F470" s="1"/>
      <c r="G470" s="1"/>
      <c r="H470" s="1"/>
      <c r="I470" s="1"/>
      <c r="J470" s="15"/>
      <c r="K470" s="17"/>
      <c r="L470" s="17"/>
      <c r="M470" s="238"/>
      <c r="N470" s="242"/>
      <c r="O470" s="244"/>
      <c r="P470" s="17"/>
      <c r="Q470" s="210"/>
      <c r="R470" s="17"/>
      <c r="S470" s="15"/>
      <c r="T470" s="17"/>
      <c r="U470" s="17"/>
      <c r="V470" s="15"/>
      <c r="W470" s="15"/>
      <c r="X470" s="17"/>
      <c r="Y470" s="229"/>
      <c r="Z470" s="1"/>
      <c r="AA470" s="284"/>
      <c r="AB470" s="238"/>
      <c r="AC470" s="17"/>
      <c r="AD470" s="15"/>
      <c r="AE470" s="17"/>
      <c r="AF470" s="262"/>
      <c r="AG470" s="262"/>
      <c r="AH470" s="1"/>
      <c r="AI470" s="1"/>
      <c r="AJ470" s="1"/>
      <c r="AK470" s="1"/>
      <c r="AL470" s="1"/>
      <c r="AM470" s="1"/>
      <c r="AN470" s="1"/>
      <c r="AO470" s="1"/>
      <c r="AP470" s="1"/>
      <c r="AQ470" s="15"/>
      <c r="AR470" s="15"/>
      <c r="AS470" s="17"/>
      <c r="AT470" s="15"/>
      <c r="AU470" s="124"/>
      <c r="AV470" s="17"/>
      <c r="AW470" s="17"/>
      <c r="AX470" s="263"/>
      <c r="AY470" s="1"/>
      <c r="AZ470" s="1"/>
      <c r="BA470" s="297"/>
      <c r="BB470" s="1"/>
      <c r="BC470" s="11"/>
      <c r="BD470" s="11"/>
      <c r="BE470" s="214"/>
      <c r="BF470" s="268"/>
      <c r="BG470" s="1"/>
      <c r="BH470" s="210"/>
      <c r="BI470" s="60"/>
      <c r="BJ470" s="15"/>
      <c r="BK470" s="15"/>
      <c r="BL470" s="1"/>
      <c r="BM470" s="49" t="e">
        <f>IF(OR(#REF!="",#REF!="")=TRUE,"",NETWORKDAYS.INTL(#REF!,#REF!))</f>
        <v>#REF!</v>
      </c>
    </row>
    <row r="471" spans="1:65" x14ac:dyDescent="0.45">
      <c r="A471" s="12">
        <v>466</v>
      </c>
      <c r="B471" s="150"/>
      <c r="C471" s="53"/>
      <c r="D471" s="1"/>
      <c r="E471" s="1"/>
      <c r="F471" s="1"/>
      <c r="G471" s="1"/>
      <c r="H471" s="1"/>
      <c r="I471" s="1"/>
      <c r="J471" s="15"/>
      <c r="K471" s="17"/>
      <c r="L471" s="17"/>
      <c r="M471" s="238"/>
      <c r="N471" s="242"/>
      <c r="O471" s="244"/>
      <c r="P471" s="17"/>
      <c r="Q471" s="210"/>
      <c r="R471" s="17"/>
      <c r="S471" s="15"/>
      <c r="T471" s="17"/>
      <c r="U471" s="17"/>
      <c r="V471" s="15"/>
      <c r="W471" s="15"/>
      <c r="X471" s="17"/>
      <c r="Y471" s="229"/>
      <c r="Z471" s="1"/>
      <c r="AA471" s="284"/>
      <c r="AB471" s="238"/>
      <c r="AC471" s="17"/>
      <c r="AD471" s="15"/>
      <c r="AE471" s="17"/>
      <c r="AF471" s="262"/>
      <c r="AG471" s="262"/>
      <c r="AH471" s="1"/>
      <c r="AI471" s="1"/>
      <c r="AJ471" s="1"/>
      <c r="AK471" s="1"/>
      <c r="AL471" s="1"/>
      <c r="AM471" s="1"/>
      <c r="AN471" s="1"/>
      <c r="AO471" s="1"/>
      <c r="AP471" s="1"/>
      <c r="AQ471" s="15"/>
      <c r="AR471" s="15"/>
      <c r="AS471" s="17"/>
      <c r="AT471" s="15"/>
      <c r="AU471" s="124"/>
      <c r="AV471" s="17"/>
      <c r="AW471" s="17"/>
      <c r="AX471" s="263"/>
      <c r="AY471" s="1"/>
      <c r="AZ471" s="1"/>
      <c r="BA471" s="297"/>
      <c r="BB471" s="1"/>
      <c r="BC471" s="11"/>
      <c r="BD471" s="11"/>
      <c r="BE471" s="214"/>
      <c r="BF471" s="268"/>
      <c r="BG471" s="1"/>
      <c r="BH471" s="210"/>
      <c r="BI471" s="60"/>
      <c r="BJ471" s="15"/>
      <c r="BK471" s="15"/>
      <c r="BL471" s="1"/>
      <c r="BM471" s="49" t="e">
        <f>IF(OR(#REF!="",#REF!="")=TRUE,"",NETWORKDAYS.INTL(#REF!,#REF!))</f>
        <v>#REF!</v>
      </c>
    </row>
    <row r="472" spans="1:65" x14ac:dyDescent="0.45">
      <c r="A472" s="13">
        <v>467</v>
      </c>
      <c r="B472" s="155"/>
      <c r="C472" s="85"/>
      <c r="D472" s="1"/>
      <c r="E472" s="1"/>
      <c r="F472" s="1"/>
      <c r="G472" s="1"/>
      <c r="H472" s="1"/>
      <c r="I472" s="1"/>
      <c r="J472" s="15"/>
      <c r="K472" s="17"/>
      <c r="L472" s="17"/>
      <c r="M472" s="238"/>
      <c r="N472" s="242"/>
      <c r="O472" s="244"/>
      <c r="P472" s="17"/>
      <c r="Q472" s="210"/>
      <c r="R472" s="17"/>
      <c r="S472" s="15"/>
      <c r="T472" s="17"/>
      <c r="U472" s="17"/>
      <c r="V472" s="15"/>
      <c r="W472" s="15"/>
      <c r="X472" s="17"/>
      <c r="Y472" s="229"/>
      <c r="Z472" s="1"/>
      <c r="AA472" s="284"/>
      <c r="AB472" s="238"/>
      <c r="AC472" s="17"/>
      <c r="AD472" s="15"/>
      <c r="AE472" s="17"/>
      <c r="AF472" s="262"/>
      <c r="AG472" s="262"/>
      <c r="AH472" s="1"/>
      <c r="AI472" s="1"/>
      <c r="AJ472" s="1"/>
      <c r="AK472" s="1"/>
      <c r="AL472" s="1"/>
      <c r="AM472" s="1"/>
      <c r="AN472" s="1"/>
      <c r="AO472" s="1"/>
      <c r="AP472" s="1"/>
      <c r="AQ472" s="15"/>
      <c r="AR472" s="15"/>
      <c r="AS472" s="17"/>
      <c r="AT472" s="15"/>
      <c r="AU472" s="124"/>
      <c r="AV472" s="17"/>
      <c r="AW472" s="17"/>
      <c r="AX472" s="263"/>
      <c r="AY472" s="1"/>
      <c r="AZ472" s="1"/>
      <c r="BA472" s="297"/>
      <c r="BB472" s="1"/>
      <c r="BC472" s="11"/>
      <c r="BD472" s="11"/>
      <c r="BE472" s="214"/>
      <c r="BF472" s="268"/>
      <c r="BG472" s="1"/>
      <c r="BH472" s="210"/>
      <c r="BI472" s="60"/>
      <c r="BJ472" s="15"/>
      <c r="BK472" s="15"/>
      <c r="BL472" s="1"/>
      <c r="BM472" s="49" t="e">
        <f>IF(OR(#REF!="",#REF!="")=TRUE,"",NETWORKDAYS.INTL(#REF!,#REF!))</f>
        <v>#REF!</v>
      </c>
    </row>
    <row r="473" spans="1:65" x14ac:dyDescent="0.45">
      <c r="A473" s="13">
        <v>468</v>
      </c>
      <c r="B473" s="155"/>
      <c r="C473" s="85"/>
      <c r="D473" s="1"/>
      <c r="E473" s="1"/>
      <c r="F473" s="1"/>
      <c r="G473" s="1"/>
      <c r="H473" s="1"/>
      <c r="I473" s="1"/>
      <c r="J473" s="15"/>
      <c r="K473" s="17"/>
      <c r="L473" s="17"/>
      <c r="M473" s="238"/>
      <c r="N473" s="242"/>
      <c r="O473" s="244"/>
      <c r="P473" s="17"/>
      <c r="Q473" s="210"/>
      <c r="R473" s="17"/>
      <c r="S473" s="15"/>
      <c r="T473" s="17"/>
      <c r="U473" s="17"/>
      <c r="V473" s="15"/>
      <c r="W473" s="15"/>
      <c r="X473" s="17"/>
      <c r="Y473" s="229"/>
      <c r="Z473" s="1"/>
      <c r="AA473" s="284"/>
      <c r="AB473" s="238"/>
      <c r="AC473" s="17"/>
      <c r="AD473" s="15"/>
      <c r="AE473" s="17"/>
      <c r="AF473" s="262"/>
      <c r="AG473" s="262"/>
      <c r="AH473" s="1"/>
      <c r="AI473" s="1"/>
      <c r="AJ473" s="1"/>
      <c r="AK473" s="1"/>
      <c r="AL473" s="1"/>
      <c r="AM473" s="1"/>
      <c r="AN473" s="1"/>
      <c r="AO473" s="1"/>
      <c r="AP473" s="1"/>
      <c r="AQ473" s="15"/>
      <c r="AR473" s="15"/>
      <c r="AS473" s="17"/>
      <c r="AT473" s="15"/>
      <c r="AU473" s="124"/>
      <c r="AV473" s="17"/>
      <c r="AW473" s="17"/>
      <c r="AX473" s="263"/>
      <c r="AY473" s="1"/>
      <c r="AZ473" s="1"/>
      <c r="BA473" s="297"/>
      <c r="BB473" s="1"/>
      <c r="BC473" s="11"/>
      <c r="BD473" s="11"/>
      <c r="BE473" s="214"/>
      <c r="BF473" s="268"/>
      <c r="BG473" s="1"/>
      <c r="BH473" s="210"/>
      <c r="BI473" s="60"/>
      <c r="BJ473" s="15"/>
      <c r="BK473" s="15"/>
      <c r="BL473" s="1"/>
      <c r="BM473" s="49" t="e">
        <f>IF(OR(#REF!="",#REF!="")=TRUE,"",NETWORKDAYS.INTL(#REF!,#REF!))</f>
        <v>#REF!</v>
      </c>
    </row>
    <row r="474" spans="1:65" x14ac:dyDescent="0.45">
      <c r="A474" s="12">
        <v>469</v>
      </c>
      <c r="B474" s="150"/>
      <c r="C474" s="53"/>
      <c r="D474" s="1"/>
      <c r="E474" s="1"/>
      <c r="F474" s="1"/>
      <c r="G474" s="1"/>
      <c r="H474" s="1"/>
      <c r="I474" s="1"/>
      <c r="J474" s="15"/>
      <c r="K474" s="17"/>
      <c r="L474" s="17"/>
      <c r="M474" s="238"/>
      <c r="N474" s="242"/>
      <c r="O474" s="244"/>
      <c r="P474" s="17"/>
      <c r="Q474" s="210"/>
      <c r="R474" s="17"/>
      <c r="S474" s="15"/>
      <c r="T474" s="17"/>
      <c r="U474" s="17"/>
      <c r="V474" s="15"/>
      <c r="W474" s="15"/>
      <c r="X474" s="17"/>
      <c r="Y474" s="229"/>
      <c r="Z474" s="1"/>
      <c r="AA474" s="284"/>
      <c r="AB474" s="238"/>
      <c r="AC474" s="17"/>
      <c r="AD474" s="15"/>
      <c r="AE474" s="17"/>
      <c r="AF474" s="262"/>
      <c r="AG474" s="262"/>
      <c r="AH474" s="1"/>
      <c r="AI474" s="1"/>
      <c r="AJ474" s="1"/>
      <c r="AK474" s="1"/>
      <c r="AL474" s="1"/>
      <c r="AM474" s="1"/>
      <c r="AN474" s="1"/>
      <c r="AO474" s="1"/>
      <c r="AP474" s="1"/>
      <c r="AQ474" s="15"/>
      <c r="AR474" s="15"/>
      <c r="AS474" s="17"/>
      <c r="AT474" s="15"/>
      <c r="AU474" s="124"/>
      <c r="AV474" s="17"/>
      <c r="AW474" s="17"/>
      <c r="AX474" s="263"/>
      <c r="AY474" s="1"/>
      <c r="AZ474" s="1"/>
      <c r="BA474" s="297"/>
      <c r="BB474" s="1"/>
      <c r="BC474" s="11"/>
      <c r="BD474" s="11"/>
      <c r="BE474" s="214"/>
      <c r="BF474" s="268"/>
      <c r="BG474" s="1"/>
      <c r="BH474" s="210"/>
      <c r="BI474" s="60"/>
      <c r="BJ474" s="15"/>
      <c r="BK474" s="15"/>
      <c r="BL474" s="1"/>
      <c r="BM474" s="49" t="e">
        <f>IF(OR(#REF!="",#REF!="")=TRUE,"",NETWORKDAYS.INTL(#REF!,#REF!))</f>
        <v>#REF!</v>
      </c>
    </row>
    <row r="475" spans="1:65" x14ac:dyDescent="0.45">
      <c r="A475" s="13">
        <v>470</v>
      </c>
      <c r="B475" s="155"/>
      <c r="C475" s="85"/>
      <c r="D475" s="1"/>
      <c r="E475" s="1"/>
      <c r="F475" s="1"/>
      <c r="G475" s="1"/>
      <c r="H475" s="1"/>
      <c r="I475" s="1"/>
      <c r="J475" s="15"/>
      <c r="K475" s="17"/>
      <c r="L475" s="17"/>
      <c r="M475" s="238"/>
      <c r="N475" s="242"/>
      <c r="O475" s="244"/>
      <c r="P475" s="17"/>
      <c r="Q475" s="210"/>
      <c r="R475" s="17"/>
      <c r="S475" s="15"/>
      <c r="T475" s="17"/>
      <c r="U475" s="17"/>
      <c r="V475" s="15"/>
      <c r="W475" s="15"/>
      <c r="X475" s="17"/>
      <c r="Y475" s="229"/>
      <c r="Z475" s="1"/>
      <c r="AA475" s="284"/>
      <c r="AB475" s="238"/>
      <c r="AC475" s="17"/>
      <c r="AD475" s="15"/>
      <c r="AE475" s="17"/>
      <c r="AF475" s="262"/>
      <c r="AG475" s="262"/>
      <c r="AH475" s="1"/>
      <c r="AI475" s="1"/>
      <c r="AJ475" s="1"/>
      <c r="AK475" s="1"/>
      <c r="AL475" s="1"/>
      <c r="AM475" s="1"/>
      <c r="AN475" s="1"/>
      <c r="AO475" s="1"/>
      <c r="AP475" s="1"/>
      <c r="AQ475" s="15"/>
      <c r="AR475" s="15"/>
      <c r="AS475" s="17"/>
      <c r="AT475" s="15"/>
      <c r="AU475" s="124"/>
      <c r="AV475" s="17"/>
      <c r="AW475" s="17"/>
      <c r="AX475" s="263"/>
      <c r="AY475" s="1"/>
      <c r="AZ475" s="1"/>
      <c r="BA475" s="297"/>
      <c r="BB475" s="1"/>
      <c r="BC475" s="11"/>
      <c r="BD475" s="11"/>
      <c r="BE475" s="214"/>
      <c r="BF475" s="268"/>
      <c r="BG475" s="1"/>
      <c r="BH475" s="210"/>
      <c r="BI475" s="60"/>
      <c r="BJ475" s="15"/>
      <c r="BK475" s="15"/>
      <c r="BL475" s="1"/>
      <c r="BM475" s="49" t="e">
        <f>IF(OR(#REF!="",#REF!="")=TRUE,"",NETWORKDAYS.INTL(#REF!,#REF!))</f>
        <v>#REF!</v>
      </c>
    </row>
    <row r="476" spans="1:65" x14ac:dyDescent="0.45">
      <c r="A476" s="13">
        <v>471</v>
      </c>
      <c r="B476" s="155"/>
      <c r="C476" s="85"/>
      <c r="D476" s="1"/>
      <c r="E476" s="1"/>
      <c r="F476" s="1"/>
      <c r="G476" s="1"/>
      <c r="H476" s="1"/>
      <c r="I476" s="1"/>
      <c r="J476" s="15"/>
      <c r="K476" s="17"/>
      <c r="L476" s="17"/>
      <c r="M476" s="238"/>
      <c r="N476" s="242"/>
      <c r="O476" s="244"/>
      <c r="P476" s="17"/>
      <c r="Q476" s="210"/>
      <c r="R476" s="17"/>
      <c r="S476" s="15"/>
      <c r="T476" s="17"/>
      <c r="U476" s="17"/>
      <c r="V476" s="15"/>
      <c r="W476" s="15"/>
      <c r="X476" s="17"/>
      <c r="Y476" s="229"/>
      <c r="Z476" s="1"/>
      <c r="AA476" s="284"/>
      <c r="AB476" s="238"/>
      <c r="AC476" s="17"/>
      <c r="AD476" s="15"/>
      <c r="AE476" s="17"/>
      <c r="AF476" s="262"/>
      <c r="AG476" s="262"/>
      <c r="AH476" s="1"/>
      <c r="AI476" s="1"/>
      <c r="AJ476" s="1"/>
      <c r="AK476" s="1"/>
      <c r="AL476" s="1"/>
      <c r="AM476" s="1"/>
      <c r="AN476" s="1"/>
      <c r="AO476" s="1"/>
      <c r="AP476" s="1"/>
      <c r="AQ476" s="15"/>
      <c r="AR476" s="15"/>
      <c r="AS476" s="17"/>
      <c r="AT476" s="15"/>
      <c r="AU476" s="124"/>
      <c r="AV476" s="17"/>
      <c r="AW476" s="17"/>
      <c r="AX476" s="263"/>
      <c r="AY476" s="1"/>
      <c r="AZ476" s="1"/>
      <c r="BA476" s="297"/>
      <c r="BB476" s="1"/>
      <c r="BC476" s="11"/>
      <c r="BD476" s="11"/>
      <c r="BE476" s="214"/>
      <c r="BF476" s="268"/>
      <c r="BG476" s="1"/>
      <c r="BH476" s="210"/>
      <c r="BI476" s="60"/>
      <c r="BJ476" s="15"/>
      <c r="BK476" s="15"/>
      <c r="BL476" s="1"/>
      <c r="BM476" s="49" t="e">
        <f>IF(OR(#REF!="",#REF!="")=TRUE,"",NETWORKDAYS.INTL(#REF!,#REF!))</f>
        <v>#REF!</v>
      </c>
    </row>
    <row r="477" spans="1:65" x14ac:dyDescent="0.45">
      <c r="A477" s="12">
        <v>472</v>
      </c>
      <c r="B477" s="150"/>
      <c r="C477" s="53"/>
      <c r="D477" s="1"/>
      <c r="E477" s="1"/>
      <c r="F477" s="1"/>
      <c r="G477" s="1"/>
      <c r="H477" s="1"/>
      <c r="I477" s="1"/>
      <c r="J477" s="15"/>
      <c r="K477" s="17"/>
      <c r="L477" s="17"/>
      <c r="M477" s="238"/>
      <c r="N477" s="242"/>
      <c r="O477" s="244"/>
      <c r="P477" s="17"/>
      <c r="Q477" s="210"/>
      <c r="R477" s="17"/>
      <c r="S477" s="15"/>
      <c r="T477" s="17"/>
      <c r="U477" s="17"/>
      <c r="V477" s="15"/>
      <c r="W477" s="15"/>
      <c r="X477" s="17"/>
      <c r="Y477" s="229"/>
      <c r="Z477" s="1"/>
      <c r="AA477" s="284"/>
      <c r="AB477" s="238"/>
      <c r="AC477" s="17"/>
      <c r="AD477" s="15"/>
      <c r="AE477" s="17"/>
      <c r="AF477" s="262"/>
      <c r="AG477" s="262"/>
      <c r="AH477" s="1"/>
      <c r="AI477" s="1"/>
      <c r="AJ477" s="1"/>
      <c r="AK477" s="1"/>
      <c r="AL477" s="1"/>
      <c r="AM477" s="1"/>
      <c r="AN477" s="1"/>
      <c r="AO477" s="1"/>
      <c r="AP477" s="1"/>
      <c r="AQ477" s="15"/>
      <c r="AR477" s="15"/>
      <c r="AS477" s="17"/>
      <c r="AT477" s="15"/>
      <c r="AU477" s="124"/>
      <c r="AV477" s="17"/>
      <c r="AW477" s="17"/>
      <c r="AX477" s="263"/>
      <c r="AY477" s="1"/>
      <c r="AZ477" s="1"/>
      <c r="BA477" s="297"/>
      <c r="BB477" s="1"/>
      <c r="BC477" s="11"/>
      <c r="BD477" s="11"/>
      <c r="BE477" s="214"/>
      <c r="BF477" s="268"/>
      <c r="BG477" s="1"/>
      <c r="BH477" s="210"/>
      <c r="BI477" s="60"/>
      <c r="BJ477" s="15"/>
      <c r="BK477" s="15"/>
      <c r="BL477" s="1"/>
      <c r="BM477" s="49" t="e">
        <f>IF(OR(#REF!="",#REF!="")=TRUE,"",NETWORKDAYS.INTL(#REF!,#REF!))</f>
        <v>#REF!</v>
      </c>
    </row>
    <row r="478" spans="1:65" x14ac:dyDescent="0.45">
      <c r="A478" s="13">
        <v>473</v>
      </c>
      <c r="B478" s="155"/>
      <c r="C478" s="85"/>
      <c r="D478" s="1"/>
      <c r="E478" s="1"/>
      <c r="F478" s="1"/>
      <c r="G478" s="1"/>
      <c r="H478" s="1"/>
      <c r="I478" s="1"/>
      <c r="J478" s="15"/>
      <c r="K478" s="17"/>
      <c r="L478" s="17"/>
      <c r="M478" s="238"/>
      <c r="N478" s="242"/>
      <c r="O478" s="244"/>
      <c r="P478" s="17"/>
      <c r="Q478" s="210"/>
      <c r="R478" s="17"/>
      <c r="S478" s="15"/>
      <c r="T478" s="17"/>
      <c r="U478" s="17"/>
      <c r="V478" s="15"/>
      <c r="W478" s="15"/>
      <c r="X478" s="17"/>
      <c r="Y478" s="229"/>
      <c r="Z478" s="1"/>
      <c r="AA478" s="284"/>
      <c r="AB478" s="238"/>
      <c r="AC478" s="17"/>
      <c r="AD478" s="15"/>
      <c r="AE478" s="17"/>
      <c r="AF478" s="262"/>
      <c r="AG478" s="262"/>
      <c r="AH478" s="1"/>
      <c r="AI478" s="1"/>
      <c r="AJ478" s="1"/>
      <c r="AK478" s="1"/>
      <c r="AL478" s="1"/>
      <c r="AM478" s="1"/>
      <c r="AN478" s="1"/>
      <c r="AO478" s="1"/>
      <c r="AP478" s="1"/>
      <c r="AQ478" s="15"/>
      <c r="AR478" s="15"/>
      <c r="AS478" s="17"/>
      <c r="AT478" s="15"/>
      <c r="AU478" s="124"/>
      <c r="AV478" s="17"/>
      <c r="AW478" s="17"/>
      <c r="AX478" s="263"/>
      <c r="AY478" s="1"/>
      <c r="AZ478" s="1"/>
      <c r="BA478" s="297"/>
      <c r="BB478" s="1"/>
      <c r="BC478" s="11"/>
      <c r="BD478" s="11"/>
      <c r="BE478" s="214"/>
      <c r="BF478" s="268"/>
      <c r="BG478" s="1"/>
      <c r="BH478" s="210"/>
      <c r="BI478" s="60"/>
      <c r="BJ478" s="15"/>
      <c r="BK478" s="15"/>
      <c r="BL478" s="1"/>
      <c r="BM478" s="49" t="e">
        <f>IF(OR(#REF!="",#REF!="")=TRUE,"",NETWORKDAYS.INTL(#REF!,#REF!))</f>
        <v>#REF!</v>
      </c>
    </row>
    <row r="479" spans="1:65" x14ac:dyDescent="0.45">
      <c r="A479" s="13">
        <v>474</v>
      </c>
      <c r="B479" s="155"/>
      <c r="C479" s="85"/>
      <c r="D479" s="1"/>
      <c r="E479" s="1"/>
      <c r="F479" s="1"/>
      <c r="G479" s="1"/>
      <c r="H479" s="1"/>
      <c r="I479" s="1"/>
      <c r="J479" s="15"/>
      <c r="K479" s="17"/>
      <c r="L479" s="17"/>
      <c r="M479" s="238"/>
      <c r="N479" s="242"/>
      <c r="O479" s="244"/>
      <c r="P479" s="17"/>
      <c r="Q479" s="210"/>
      <c r="R479" s="17"/>
      <c r="S479" s="15"/>
      <c r="T479" s="17"/>
      <c r="U479" s="17"/>
      <c r="V479" s="15"/>
      <c r="W479" s="15"/>
      <c r="X479" s="17"/>
      <c r="Y479" s="229"/>
      <c r="Z479" s="1"/>
      <c r="AA479" s="284"/>
      <c r="AB479" s="238"/>
      <c r="AC479" s="17"/>
      <c r="AD479" s="15"/>
      <c r="AE479" s="17"/>
      <c r="AF479" s="262"/>
      <c r="AG479" s="262"/>
      <c r="AH479" s="1"/>
      <c r="AI479" s="1"/>
      <c r="AJ479" s="1"/>
      <c r="AK479" s="1"/>
      <c r="AL479" s="1"/>
      <c r="AM479" s="1"/>
      <c r="AN479" s="1"/>
      <c r="AO479" s="1"/>
      <c r="AP479" s="1"/>
      <c r="AQ479" s="15"/>
      <c r="AR479" s="15"/>
      <c r="AS479" s="17"/>
      <c r="AT479" s="15"/>
      <c r="AU479" s="124"/>
      <c r="AV479" s="17"/>
      <c r="AW479" s="17"/>
      <c r="AX479" s="263"/>
      <c r="AY479" s="1"/>
      <c r="AZ479" s="1"/>
      <c r="BA479" s="297"/>
      <c r="BB479" s="1"/>
      <c r="BC479" s="11"/>
      <c r="BD479" s="11"/>
      <c r="BE479" s="214"/>
      <c r="BF479" s="268"/>
      <c r="BG479" s="1"/>
      <c r="BH479" s="210"/>
      <c r="BI479" s="60"/>
      <c r="BJ479" s="15"/>
      <c r="BK479" s="15"/>
      <c r="BL479" s="1"/>
      <c r="BM479" s="49" t="e">
        <f>IF(OR(#REF!="",#REF!="")=TRUE,"",NETWORKDAYS.INTL(#REF!,#REF!))</f>
        <v>#REF!</v>
      </c>
    </row>
    <row r="480" spans="1:65" x14ac:dyDescent="0.45">
      <c r="A480" s="12">
        <v>475</v>
      </c>
      <c r="B480" s="150"/>
      <c r="C480" s="53"/>
      <c r="D480" s="1"/>
      <c r="E480" s="1"/>
      <c r="F480" s="1"/>
      <c r="G480" s="1"/>
      <c r="H480" s="1"/>
      <c r="I480" s="1"/>
      <c r="J480" s="15"/>
      <c r="K480" s="17"/>
      <c r="L480" s="17"/>
      <c r="M480" s="238"/>
      <c r="N480" s="242"/>
      <c r="O480" s="244"/>
      <c r="P480" s="17"/>
      <c r="Q480" s="210"/>
      <c r="R480" s="17"/>
      <c r="S480" s="15"/>
      <c r="T480" s="17"/>
      <c r="U480" s="17"/>
      <c r="V480" s="15"/>
      <c r="W480" s="15"/>
      <c r="X480" s="17"/>
      <c r="Y480" s="229"/>
      <c r="Z480" s="1"/>
      <c r="AA480" s="284"/>
      <c r="AB480" s="238"/>
      <c r="AC480" s="17"/>
      <c r="AD480" s="15"/>
      <c r="AE480" s="17"/>
      <c r="AF480" s="262"/>
      <c r="AG480" s="262"/>
      <c r="AH480" s="1"/>
      <c r="AI480" s="1"/>
      <c r="AJ480" s="1"/>
      <c r="AK480" s="1"/>
      <c r="AL480" s="1"/>
      <c r="AM480" s="1"/>
      <c r="AN480" s="1"/>
      <c r="AO480" s="1"/>
      <c r="AP480" s="1"/>
      <c r="AQ480" s="15"/>
      <c r="AR480" s="15"/>
      <c r="AS480" s="17"/>
      <c r="AT480" s="15"/>
      <c r="AU480" s="124"/>
      <c r="AV480" s="17"/>
      <c r="AW480" s="17"/>
      <c r="AX480" s="263"/>
      <c r="AY480" s="1"/>
      <c r="AZ480" s="1"/>
      <c r="BA480" s="297"/>
      <c r="BB480" s="1"/>
      <c r="BC480" s="11"/>
      <c r="BD480" s="11"/>
      <c r="BE480" s="214"/>
      <c r="BF480" s="268"/>
      <c r="BG480" s="1"/>
      <c r="BH480" s="210"/>
      <c r="BI480" s="60"/>
      <c r="BJ480" s="15"/>
      <c r="BK480" s="15"/>
      <c r="BL480" s="1"/>
      <c r="BM480" s="49" t="e">
        <f>IF(OR(#REF!="",#REF!="")=TRUE,"",NETWORKDAYS.INTL(#REF!,#REF!))</f>
        <v>#REF!</v>
      </c>
    </row>
    <row r="481" spans="1:65" x14ac:dyDescent="0.45">
      <c r="A481" s="13">
        <v>476</v>
      </c>
      <c r="B481" s="155"/>
      <c r="C481" s="85"/>
      <c r="D481" s="1"/>
      <c r="E481" s="1"/>
      <c r="F481" s="1"/>
      <c r="G481" s="1"/>
      <c r="H481" s="1"/>
      <c r="I481" s="1"/>
      <c r="J481" s="15"/>
      <c r="K481" s="17"/>
      <c r="L481" s="17"/>
      <c r="M481" s="238"/>
      <c r="N481" s="242"/>
      <c r="O481" s="244"/>
      <c r="P481" s="17"/>
      <c r="Q481" s="210"/>
      <c r="R481" s="17"/>
      <c r="S481" s="15"/>
      <c r="T481" s="17"/>
      <c r="U481" s="17"/>
      <c r="V481" s="15"/>
      <c r="W481" s="15"/>
      <c r="X481" s="17"/>
      <c r="Y481" s="229"/>
      <c r="Z481" s="1"/>
      <c r="AA481" s="284"/>
      <c r="AB481" s="238"/>
      <c r="AC481" s="17"/>
      <c r="AD481" s="15"/>
      <c r="AE481" s="17"/>
      <c r="AF481" s="262"/>
      <c r="AG481" s="262"/>
      <c r="AH481" s="1"/>
      <c r="AI481" s="1"/>
      <c r="AJ481" s="1"/>
      <c r="AK481" s="1"/>
      <c r="AL481" s="1"/>
      <c r="AM481" s="1"/>
      <c r="AN481" s="1"/>
      <c r="AO481" s="1"/>
      <c r="AP481" s="1"/>
      <c r="AQ481" s="15"/>
      <c r="AR481" s="15"/>
      <c r="AS481" s="17"/>
      <c r="AT481" s="15"/>
      <c r="AU481" s="124"/>
      <c r="AV481" s="17"/>
      <c r="AW481" s="17"/>
      <c r="AX481" s="263"/>
      <c r="AY481" s="1"/>
      <c r="AZ481" s="1"/>
      <c r="BA481" s="297"/>
      <c r="BB481" s="1"/>
      <c r="BC481" s="11"/>
      <c r="BD481" s="11"/>
      <c r="BE481" s="214"/>
      <c r="BF481" s="268"/>
      <c r="BG481" s="1"/>
      <c r="BH481" s="210"/>
      <c r="BI481" s="60"/>
      <c r="BJ481" s="15"/>
      <c r="BK481" s="15"/>
      <c r="BL481" s="1"/>
      <c r="BM481" s="49" t="e">
        <f>IF(OR(#REF!="",#REF!="")=TRUE,"",NETWORKDAYS.INTL(#REF!,#REF!))</f>
        <v>#REF!</v>
      </c>
    </row>
    <row r="482" spans="1:65" x14ac:dyDescent="0.45">
      <c r="A482" s="13">
        <v>477</v>
      </c>
      <c r="B482" s="155"/>
      <c r="C482" s="85"/>
      <c r="D482" s="1"/>
      <c r="E482" s="1"/>
      <c r="F482" s="1"/>
      <c r="G482" s="1"/>
      <c r="H482" s="1"/>
      <c r="I482" s="1"/>
      <c r="J482" s="15"/>
      <c r="K482" s="17"/>
      <c r="L482" s="17"/>
      <c r="M482" s="238"/>
      <c r="N482" s="242"/>
      <c r="O482" s="244"/>
      <c r="P482" s="17"/>
      <c r="Q482" s="210"/>
      <c r="R482" s="17"/>
      <c r="S482" s="15"/>
      <c r="T482" s="17"/>
      <c r="U482" s="17"/>
      <c r="V482" s="15"/>
      <c r="W482" s="15"/>
      <c r="X482" s="17"/>
      <c r="Y482" s="229"/>
      <c r="Z482" s="1"/>
      <c r="AA482" s="284"/>
      <c r="AB482" s="238"/>
      <c r="AC482" s="17"/>
      <c r="AD482" s="15"/>
      <c r="AE482" s="17"/>
      <c r="AF482" s="262"/>
      <c r="AG482" s="262"/>
      <c r="AH482" s="1"/>
      <c r="AI482" s="1"/>
      <c r="AJ482" s="1"/>
      <c r="AK482" s="1"/>
      <c r="AL482" s="1"/>
      <c r="AM482" s="1"/>
      <c r="AN482" s="1"/>
      <c r="AO482" s="1"/>
      <c r="AP482" s="1"/>
      <c r="AQ482" s="15"/>
      <c r="AR482" s="15"/>
      <c r="AS482" s="17"/>
      <c r="AT482" s="15"/>
      <c r="AU482" s="124"/>
      <c r="AV482" s="17"/>
      <c r="AW482" s="17"/>
      <c r="AX482" s="263"/>
      <c r="AY482" s="1"/>
      <c r="AZ482" s="1"/>
      <c r="BA482" s="297"/>
      <c r="BB482" s="1"/>
      <c r="BC482" s="11"/>
      <c r="BD482" s="11"/>
      <c r="BE482" s="214"/>
      <c r="BF482" s="268"/>
      <c r="BG482" s="1"/>
      <c r="BH482" s="210"/>
      <c r="BI482" s="60"/>
      <c r="BJ482" s="15"/>
      <c r="BK482" s="15"/>
      <c r="BL482" s="1"/>
      <c r="BM482" s="49" t="e">
        <f>IF(OR(#REF!="",#REF!="")=TRUE,"",NETWORKDAYS.INTL(#REF!,#REF!))</f>
        <v>#REF!</v>
      </c>
    </row>
    <row r="483" spans="1:65" x14ac:dyDescent="0.45">
      <c r="A483" s="12">
        <v>478</v>
      </c>
      <c r="B483" s="150"/>
      <c r="C483" s="53"/>
      <c r="D483" s="1"/>
      <c r="E483" s="1"/>
      <c r="F483" s="1"/>
      <c r="G483" s="1"/>
      <c r="H483" s="1"/>
      <c r="I483" s="1"/>
      <c r="J483" s="15"/>
      <c r="K483" s="17"/>
      <c r="L483" s="17"/>
      <c r="M483" s="238"/>
      <c r="N483" s="242"/>
      <c r="O483" s="244"/>
      <c r="P483" s="17"/>
      <c r="Q483" s="210"/>
      <c r="R483" s="17"/>
      <c r="S483" s="15"/>
      <c r="T483" s="17"/>
      <c r="U483" s="17"/>
      <c r="V483" s="15"/>
      <c r="W483" s="15"/>
      <c r="X483" s="17"/>
      <c r="Y483" s="229"/>
      <c r="Z483" s="1"/>
      <c r="AA483" s="284"/>
      <c r="AB483" s="238"/>
      <c r="AC483" s="17"/>
      <c r="AD483" s="15"/>
      <c r="AE483" s="17"/>
      <c r="AF483" s="262"/>
      <c r="AG483" s="262"/>
      <c r="AH483" s="1"/>
      <c r="AI483" s="1"/>
      <c r="AJ483" s="1"/>
      <c r="AK483" s="1"/>
      <c r="AL483" s="1"/>
      <c r="AM483" s="1"/>
      <c r="AN483" s="1"/>
      <c r="AO483" s="1"/>
      <c r="AP483" s="1"/>
      <c r="AQ483" s="15"/>
      <c r="AR483" s="15"/>
      <c r="AS483" s="17"/>
      <c r="AT483" s="15"/>
      <c r="AU483" s="124"/>
      <c r="AV483" s="17"/>
      <c r="AW483" s="17"/>
      <c r="AX483" s="263"/>
      <c r="AY483" s="1"/>
      <c r="AZ483" s="1"/>
      <c r="BA483" s="297"/>
      <c r="BB483" s="1"/>
      <c r="BC483" s="11"/>
      <c r="BD483" s="11"/>
      <c r="BE483" s="214"/>
      <c r="BF483" s="268"/>
      <c r="BG483" s="1"/>
      <c r="BH483" s="210"/>
      <c r="BI483" s="60"/>
      <c r="BJ483" s="15"/>
      <c r="BK483" s="15"/>
      <c r="BL483" s="1"/>
      <c r="BM483" s="49" t="e">
        <f>IF(OR(#REF!="",#REF!="")=TRUE,"",NETWORKDAYS.INTL(#REF!,#REF!))</f>
        <v>#REF!</v>
      </c>
    </row>
    <row r="484" spans="1:65" x14ac:dyDescent="0.45">
      <c r="A484" s="13">
        <v>479</v>
      </c>
      <c r="B484" s="155"/>
      <c r="C484" s="85"/>
      <c r="D484" s="1"/>
      <c r="E484" s="1"/>
      <c r="F484" s="1"/>
      <c r="G484" s="1"/>
      <c r="H484" s="1"/>
      <c r="I484" s="1"/>
      <c r="J484" s="15"/>
      <c r="K484" s="17"/>
      <c r="L484" s="17"/>
      <c r="M484" s="238"/>
      <c r="N484" s="242"/>
      <c r="O484" s="244"/>
      <c r="P484" s="17"/>
      <c r="Q484" s="210"/>
      <c r="R484" s="17"/>
      <c r="S484" s="15"/>
      <c r="T484" s="17"/>
      <c r="U484" s="17"/>
      <c r="V484" s="15"/>
      <c r="W484" s="15"/>
      <c r="X484" s="17"/>
      <c r="Y484" s="229"/>
      <c r="Z484" s="1"/>
      <c r="AA484" s="284"/>
      <c r="AB484" s="238"/>
      <c r="AC484" s="17"/>
      <c r="AD484" s="15"/>
      <c r="AE484" s="17"/>
      <c r="AF484" s="262"/>
      <c r="AG484" s="262"/>
      <c r="AH484" s="1"/>
      <c r="AI484" s="1"/>
      <c r="AJ484" s="1"/>
      <c r="AK484" s="1"/>
      <c r="AL484" s="1"/>
      <c r="AM484" s="1"/>
      <c r="AN484" s="1"/>
      <c r="AO484" s="1"/>
      <c r="AP484" s="1"/>
      <c r="AQ484" s="15"/>
      <c r="AR484" s="15"/>
      <c r="AS484" s="17"/>
      <c r="AT484" s="15"/>
      <c r="AU484" s="124"/>
      <c r="AV484" s="17"/>
      <c r="AW484" s="17"/>
      <c r="AX484" s="263"/>
      <c r="AY484" s="1"/>
      <c r="AZ484" s="1"/>
      <c r="BA484" s="297"/>
      <c r="BB484" s="1"/>
      <c r="BC484" s="11"/>
      <c r="BD484" s="11"/>
      <c r="BE484" s="214"/>
      <c r="BF484" s="268"/>
      <c r="BG484" s="1"/>
      <c r="BH484" s="210"/>
      <c r="BI484" s="60"/>
      <c r="BJ484" s="15"/>
      <c r="BK484" s="15"/>
      <c r="BL484" s="1"/>
      <c r="BM484" s="49" t="e">
        <f>IF(OR(#REF!="",#REF!="")=TRUE,"",NETWORKDAYS.INTL(#REF!,#REF!))</f>
        <v>#REF!</v>
      </c>
    </row>
    <row r="485" spans="1:65" x14ac:dyDescent="0.45">
      <c r="A485" s="13">
        <v>480</v>
      </c>
      <c r="B485" s="155"/>
      <c r="C485" s="85"/>
      <c r="D485" s="1"/>
      <c r="E485" s="1"/>
      <c r="F485" s="1"/>
      <c r="G485" s="1"/>
      <c r="H485" s="1"/>
      <c r="I485" s="1"/>
      <c r="J485" s="15"/>
      <c r="K485" s="17"/>
      <c r="L485" s="17"/>
      <c r="M485" s="238"/>
      <c r="N485" s="242"/>
      <c r="O485" s="244"/>
      <c r="P485" s="17"/>
      <c r="Q485" s="210"/>
      <c r="R485" s="17"/>
      <c r="S485" s="15"/>
      <c r="T485" s="17"/>
      <c r="U485" s="17"/>
      <c r="V485" s="15"/>
      <c r="W485" s="15"/>
      <c r="X485" s="17"/>
      <c r="Y485" s="229"/>
      <c r="Z485" s="1"/>
      <c r="AA485" s="284"/>
      <c r="AB485" s="238"/>
      <c r="AC485" s="17"/>
      <c r="AD485" s="15"/>
      <c r="AE485" s="17"/>
      <c r="AF485" s="262"/>
      <c r="AG485" s="262"/>
      <c r="AH485" s="1"/>
      <c r="AI485" s="1"/>
      <c r="AJ485" s="1"/>
      <c r="AK485" s="1"/>
      <c r="AL485" s="1"/>
      <c r="AM485" s="1"/>
      <c r="AN485" s="1"/>
      <c r="AO485" s="1"/>
      <c r="AP485" s="1"/>
      <c r="AQ485" s="15"/>
      <c r="AR485" s="15"/>
      <c r="AS485" s="17"/>
      <c r="AT485" s="15"/>
      <c r="AU485" s="124"/>
      <c r="AV485" s="17"/>
      <c r="AW485" s="17"/>
      <c r="AX485" s="263"/>
      <c r="AY485" s="1"/>
      <c r="AZ485" s="1"/>
      <c r="BA485" s="297"/>
      <c r="BB485" s="1"/>
      <c r="BC485" s="11"/>
      <c r="BD485" s="11"/>
      <c r="BE485" s="214"/>
      <c r="BF485" s="268"/>
      <c r="BG485" s="1"/>
      <c r="BH485" s="210"/>
      <c r="BI485" s="60"/>
      <c r="BJ485" s="15"/>
      <c r="BK485" s="15"/>
      <c r="BL485" s="1"/>
      <c r="BM485" s="49" t="e">
        <f>IF(OR(#REF!="",#REF!="")=TRUE,"",NETWORKDAYS.INTL(#REF!,#REF!))</f>
        <v>#REF!</v>
      </c>
    </row>
    <row r="486" spans="1:65" x14ac:dyDescent="0.45">
      <c r="A486" s="12">
        <v>481</v>
      </c>
      <c r="B486" s="150"/>
      <c r="C486" s="53"/>
      <c r="D486" s="1"/>
      <c r="E486" s="1"/>
      <c r="F486" s="1"/>
      <c r="G486" s="1"/>
      <c r="H486" s="1"/>
      <c r="I486" s="1"/>
      <c r="J486" s="15"/>
      <c r="K486" s="17"/>
      <c r="L486" s="17"/>
      <c r="M486" s="238"/>
      <c r="N486" s="242"/>
      <c r="O486" s="244"/>
      <c r="P486" s="17"/>
      <c r="Q486" s="210"/>
      <c r="R486" s="17"/>
      <c r="S486" s="15"/>
      <c r="T486" s="17"/>
      <c r="U486" s="17"/>
      <c r="V486" s="15"/>
      <c r="W486" s="15"/>
      <c r="X486" s="17"/>
      <c r="Y486" s="229"/>
      <c r="Z486" s="1"/>
      <c r="AA486" s="284"/>
      <c r="AB486" s="238"/>
      <c r="AC486" s="17"/>
      <c r="AD486" s="15"/>
      <c r="AE486" s="17"/>
      <c r="AF486" s="262"/>
      <c r="AG486" s="262"/>
      <c r="AH486" s="1"/>
      <c r="AI486" s="1"/>
      <c r="AJ486" s="1"/>
      <c r="AK486" s="1"/>
      <c r="AL486" s="1"/>
      <c r="AM486" s="1"/>
      <c r="AN486" s="1"/>
      <c r="AO486" s="1"/>
      <c r="AP486" s="1"/>
      <c r="AQ486" s="15"/>
      <c r="AR486" s="15"/>
      <c r="AS486" s="17"/>
      <c r="AT486" s="15"/>
      <c r="AU486" s="124"/>
      <c r="AV486" s="17"/>
      <c r="AW486" s="17"/>
      <c r="AX486" s="263"/>
      <c r="AY486" s="1"/>
      <c r="AZ486" s="1"/>
      <c r="BA486" s="297"/>
      <c r="BB486" s="1"/>
      <c r="BC486" s="11"/>
      <c r="BD486" s="11"/>
      <c r="BE486" s="214"/>
      <c r="BF486" s="268"/>
      <c r="BG486" s="1"/>
      <c r="BH486" s="210"/>
      <c r="BI486" s="60"/>
      <c r="BJ486" s="15"/>
      <c r="BK486" s="15"/>
      <c r="BL486" s="1"/>
      <c r="BM486" s="49" t="e">
        <f>IF(OR(#REF!="",#REF!="")=TRUE,"",NETWORKDAYS.INTL(#REF!,#REF!))</f>
        <v>#REF!</v>
      </c>
    </row>
    <row r="487" spans="1:65" x14ac:dyDescent="0.45">
      <c r="A487" s="13">
        <v>482</v>
      </c>
      <c r="B487" s="155"/>
      <c r="C487" s="85"/>
      <c r="D487" s="1"/>
      <c r="E487" s="1"/>
      <c r="F487" s="1"/>
      <c r="G487" s="1"/>
      <c r="H487" s="1"/>
      <c r="I487" s="1"/>
      <c r="J487" s="15"/>
      <c r="K487" s="17"/>
      <c r="L487" s="17"/>
      <c r="M487" s="238"/>
      <c r="N487" s="242"/>
      <c r="O487" s="244"/>
      <c r="P487" s="17"/>
      <c r="Q487" s="210"/>
      <c r="R487" s="17"/>
      <c r="S487" s="15"/>
      <c r="T487" s="17"/>
      <c r="U487" s="17"/>
      <c r="V487" s="15"/>
      <c r="W487" s="15"/>
      <c r="X487" s="17"/>
      <c r="Y487" s="229"/>
      <c r="Z487" s="1"/>
      <c r="AA487" s="284"/>
      <c r="AB487" s="238"/>
      <c r="AC487" s="17"/>
      <c r="AD487" s="15"/>
      <c r="AE487" s="17"/>
      <c r="AF487" s="262"/>
      <c r="AG487" s="262"/>
      <c r="AH487" s="1"/>
      <c r="AI487" s="1"/>
      <c r="AJ487" s="1"/>
      <c r="AK487" s="1"/>
      <c r="AL487" s="1"/>
      <c r="AM487" s="1"/>
      <c r="AN487" s="1"/>
      <c r="AO487" s="1"/>
      <c r="AP487" s="1"/>
      <c r="AQ487" s="15"/>
      <c r="AR487" s="15"/>
      <c r="AS487" s="17"/>
      <c r="AT487" s="15"/>
      <c r="AU487" s="124"/>
      <c r="AV487" s="17"/>
      <c r="AW487" s="17"/>
      <c r="AX487" s="263"/>
      <c r="AY487" s="1"/>
      <c r="AZ487" s="1"/>
      <c r="BA487" s="297"/>
      <c r="BB487" s="1"/>
      <c r="BC487" s="11"/>
      <c r="BD487" s="11"/>
      <c r="BE487" s="214"/>
      <c r="BF487" s="268"/>
      <c r="BG487" s="1"/>
      <c r="BH487" s="210"/>
      <c r="BI487" s="60"/>
      <c r="BJ487" s="15"/>
      <c r="BK487" s="15"/>
      <c r="BL487" s="1"/>
      <c r="BM487" s="49" t="e">
        <f>IF(OR(#REF!="",#REF!="")=TRUE,"",NETWORKDAYS.INTL(#REF!,#REF!))</f>
        <v>#REF!</v>
      </c>
    </row>
    <row r="488" spans="1:65" x14ac:dyDescent="0.45">
      <c r="A488" s="13">
        <v>483</v>
      </c>
      <c r="B488" s="155"/>
      <c r="C488" s="85"/>
      <c r="D488" s="1"/>
      <c r="E488" s="1"/>
      <c r="F488" s="1"/>
      <c r="G488" s="1"/>
      <c r="H488" s="1"/>
      <c r="I488" s="1"/>
      <c r="J488" s="15"/>
      <c r="K488" s="17"/>
      <c r="L488" s="17"/>
      <c r="M488" s="238"/>
      <c r="N488" s="242"/>
      <c r="O488" s="244"/>
      <c r="P488" s="17"/>
      <c r="Q488" s="210"/>
      <c r="R488" s="17"/>
      <c r="S488" s="15"/>
      <c r="T488" s="17"/>
      <c r="U488" s="17"/>
      <c r="V488" s="15"/>
      <c r="W488" s="15"/>
      <c r="X488" s="17"/>
      <c r="Y488" s="229"/>
      <c r="Z488" s="1"/>
      <c r="AA488" s="284"/>
      <c r="AB488" s="238"/>
      <c r="AC488" s="17"/>
      <c r="AD488" s="15"/>
      <c r="AE488" s="17"/>
      <c r="AF488" s="262"/>
      <c r="AG488" s="262"/>
      <c r="AH488" s="1"/>
      <c r="AI488" s="1"/>
      <c r="AJ488" s="1"/>
      <c r="AK488" s="1"/>
      <c r="AL488" s="1"/>
      <c r="AM488" s="1"/>
      <c r="AN488" s="1"/>
      <c r="AO488" s="1"/>
      <c r="AP488" s="1"/>
      <c r="AQ488" s="15"/>
      <c r="AR488" s="15"/>
      <c r="AS488" s="17"/>
      <c r="AT488" s="15"/>
      <c r="AU488" s="124"/>
      <c r="AV488" s="17"/>
      <c r="AW488" s="17"/>
      <c r="AX488" s="263"/>
      <c r="AY488" s="1"/>
      <c r="AZ488" s="1"/>
      <c r="BA488" s="297"/>
      <c r="BB488" s="1"/>
      <c r="BC488" s="11"/>
      <c r="BD488" s="11"/>
      <c r="BE488" s="214"/>
      <c r="BF488" s="268"/>
      <c r="BG488" s="1"/>
      <c r="BH488" s="210"/>
      <c r="BI488" s="60"/>
      <c r="BJ488" s="15"/>
      <c r="BK488" s="15"/>
      <c r="BL488" s="1"/>
      <c r="BM488" s="49" t="e">
        <f>IF(OR(#REF!="",#REF!="")=TRUE,"",NETWORKDAYS.INTL(#REF!,#REF!))</f>
        <v>#REF!</v>
      </c>
    </row>
    <row r="489" spans="1:65" x14ac:dyDescent="0.45">
      <c r="A489" s="12">
        <v>484</v>
      </c>
      <c r="B489" s="150"/>
      <c r="C489" s="53"/>
      <c r="D489" s="1"/>
      <c r="E489" s="1"/>
      <c r="F489" s="1"/>
      <c r="G489" s="1"/>
      <c r="H489" s="1"/>
      <c r="I489" s="1"/>
      <c r="J489" s="15"/>
      <c r="K489" s="17"/>
      <c r="L489" s="17"/>
      <c r="M489" s="238"/>
      <c r="N489" s="242"/>
      <c r="O489" s="244"/>
      <c r="P489" s="17"/>
      <c r="Q489" s="210"/>
      <c r="R489" s="17"/>
      <c r="S489" s="15"/>
      <c r="T489" s="17"/>
      <c r="U489" s="17"/>
      <c r="V489" s="15"/>
      <c r="W489" s="15"/>
      <c r="X489" s="17"/>
      <c r="Y489" s="229"/>
      <c r="Z489" s="1"/>
      <c r="AA489" s="284"/>
      <c r="AB489" s="238"/>
      <c r="AC489" s="17"/>
      <c r="AD489" s="15"/>
      <c r="AE489" s="17"/>
      <c r="AF489" s="262"/>
      <c r="AG489" s="262"/>
      <c r="AH489" s="1"/>
      <c r="AI489" s="1"/>
      <c r="AJ489" s="1"/>
      <c r="AK489" s="1"/>
      <c r="AL489" s="1"/>
      <c r="AM489" s="1"/>
      <c r="AN489" s="1"/>
      <c r="AO489" s="1"/>
      <c r="AP489" s="1"/>
      <c r="AQ489" s="15"/>
      <c r="AR489" s="15"/>
      <c r="AS489" s="17"/>
      <c r="AT489" s="15"/>
      <c r="AU489" s="124"/>
      <c r="AV489" s="17"/>
      <c r="AW489" s="17"/>
      <c r="AX489" s="263"/>
      <c r="AY489" s="1"/>
      <c r="AZ489" s="1"/>
      <c r="BA489" s="297"/>
      <c r="BB489" s="1"/>
      <c r="BC489" s="11"/>
      <c r="BD489" s="11"/>
      <c r="BE489" s="214"/>
      <c r="BF489" s="268"/>
      <c r="BG489" s="1"/>
      <c r="BH489" s="210"/>
      <c r="BI489" s="60"/>
      <c r="BJ489" s="15"/>
      <c r="BK489" s="15"/>
      <c r="BL489" s="1"/>
      <c r="BM489" s="49" t="e">
        <f>IF(OR(#REF!="",#REF!="")=TRUE,"",NETWORKDAYS.INTL(#REF!,#REF!))</f>
        <v>#REF!</v>
      </c>
    </row>
    <row r="490" spans="1:65" x14ac:dyDescent="0.45">
      <c r="A490" s="13">
        <v>485</v>
      </c>
      <c r="B490" s="155"/>
      <c r="C490" s="85"/>
      <c r="D490" s="1"/>
      <c r="E490" s="1"/>
      <c r="F490" s="1"/>
      <c r="G490" s="1"/>
      <c r="H490" s="1"/>
      <c r="I490" s="1"/>
      <c r="J490" s="15"/>
      <c r="K490" s="17"/>
      <c r="L490" s="17"/>
      <c r="M490" s="238"/>
      <c r="N490" s="242"/>
      <c r="O490" s="244"/>
      <c r="P490" s="17"/>
      <c r="Q490" s="210"/>
      <c r="R490" s="17"/>
      <c r="S490" s="15"/>
      <c r="T490" s="17"/>
      <c r="U490" s="17"/>
      <c r="V490" s="15"/>
      <c r="W490" s="15"/>
      <c r="X490" s="17"/>
      <c r="Y490" s="229"/>
      <c r="Z490" s="1"/>
      <c r="AA490" s="284"/>
      <c r="AB490" s="238"/>
      <c r="AC490" s="17"/>
      <c r="AD490" s="15"/>
      <c r="AE490" s="17"/>
      <c r="AF490" s="262"/>
      <c r="AG490" s="262"/>
      <c r="AH490" s="1"/>
      <c r="AI490" s="1"/>
      <c r="AJ490" s="1"/>
      <c r="AK490" s="1"/>
      <c r="AL490" s="1"/>
      <c r="AM490" s="1"/>
      <c r="AN490" s="1"/>
      <c r="AO490" s="1"/>
      <c r="AP490" s="1"/>
      <c r="AQ490" s="15"/>
      <c r="AR490" s="15"/>
      <c r="AS490" s="17"/>
      <c r="AT490" s="15"/>
      <c r="AU490" s="124"/>
      <c r="AV490" s="17"/>
      <c r="AW490" s="17"/>
      <c r="AX490" s="263"/>
      <c r="AY490" s="1"/>
      <c r="AZ490" s="1"/>
      <c r="BA490" s="297"/>
      <c r="BB490" s="1"/>
      <c r="BC490" s="11"/>
      <c r="BD490" s="11"/>
      <c r="BE490" s="214"/>
      <c r="BF490" s="268"/>
      <c r="BG490" s="1"/>
      <c r="BH490" s="210"/>
      <c r="BI490" s="60"/>
      <c r="BJ490" s="15"/>
      <c r="BK490" s="15"/>
      <c r="BL490" s="1"/>
      <c r="BM490" s="49" t="e">
        <f>IF(OR(#REF!="",#REF!="")=TRUE,"",NETWORKDAYS.INTL(#REF!,#REF!))</f>
        <v>#REF!</v>
      </c>
    </row>
    <row r="491" spans="1:65" x14ac:dyDescent="0.45">
      <c r="A491" s="13">
        <v>486</v>
      </c>
      <c r="B491" s="155"/>
      <c r="C491" s="85"/>
      <c r="D491" s="1"/>
      <c r="E491" s="1"/>
      <c r="F491" s="1"/>
      <c r="G491" s="1"/>
      <c r="H491" s="1"/>
      <c r="I491" s="1"/>
      <c r="J491" s="15"/>
      <c r="K491" s="17"/>
      <c r="L491" s="17"/>
      <c r="M491" s="238"/>
      <c r="N491" s="242"/>
      <c r="O491" s="244"/>
      <c r="P491" s="17"/>
      <c r="Q491" s="210"/>
      <c r="R491" s="17"/>
      <c r="S491" s="15"/>
      <c r="T491" s="17"/>
      <c r="U491" s="17"/>
      <c r="V491" s="15"/>
      <c r="W491" s="15"/>
      <c r="X491" s="17"/>
      <c r="Y491" s="229"/>
      <c r="Z491" s="1"/>
      <c r="AA491" s="284"/>
      <c r="AB491" s="238"/>
      <c r="AC491" s="17"/>
      <c r="AD491" s="15"/>
      <c r="AE491" s="17"/>
      <c r="AF491" s="262"/>
      <c r="AG491" s="262"/>
      <c r="AH491" s="1"/>
      <c r="AI491" s="1"/>
      <c r="AJ491" s="1"/>
      <c r="AK491" s="1"/>
      <c r="AL491" s="1"/>
      <c r="AM491" s="1"/>
      <c r="AN491" s="1"/>
      <c r="AO491" s="1"/>
      <c r="AP491" s="1"/>
      <c r="AQ491" s="15"/>
      <c r="AR491" s="15"/>
      <c r="AS491" s="17"/>
      <c r="AT491" s="15"/>
      <c r="AU491" s="124"/>
      <c r="AV491" s="17"/>
      <c r="AW491" s="17"/>
      <c r="AX491" s="263"/>
      <c r="AY491" s="1"/>
      <c r="AZ491" s="1"/>
      <c r="BA491" s="297"/>
      <c r="BB491" s="1"/>
      <c r="BC491" s="11"/>
      <c r="BD491" s="11"/>
      <c r="BE491" s="214"/>
      <c r="BF491" s="268"/>
      <c r="BG491" s="1"/>
      <c r="BH491" s="210"/>
      <c r="BI491" s="60"/>
      <c r="BJ491" s="15"/>
      <c r="BK491" s="15"/>
      <c r="BL491" s="1"/>
      <c r="BM491" s="49" t="e">
        <f>IF(OR(#REF!="",#REF!="")=TRUE,"",NETWORKDAYS.INTL(#REF!,#REF!))</f>
        <v>#REF!</v>
      </c>
    </row>
    <row r="492" spans="1:65" x14ac:dyDescent="0.45">
      <c r="A492" s="12">
        <v>487</v>
      </c>
      <c r="B492" s="150"/>
      <c r="C492" s="53"/>
      <c r="D492" s="1"/>
      <c r="E492" s="1"/>
      <c r="F492" s="1"/>
      <c r="G492" s="1"/>
      <c r="H492" s="1"/>
      <c r="I492" s="1"/>
      <c r="J492" s="15"/>
      <c r="K492" s="17"/>
      <c r="L492" s="17"/>
      <c r="M492" s="238"/>
      <c r="N492" s="242"/>
      <c r="O492" s="244"/>
      <c r="P492" s="17"/>
      <c r="Q492" s="210"/>
      <c r="R492" s="17"/>
      <c r="S492" s="15"/>
      <c r="T492" s="17"/>
      <c r="U492" s="17"/>
      <c r="V492" s="15"/>
      <c r="W492" s="15"/>
      <c r="X492" s="17"/>
      <c r="Y492" s="229"/>
      <c r="Z492" s="1"/>
      <c r="AA492" s="284"/>
      <c r="AB492" s="238"/>
      <c r="AC492" s="17"/>
      <c r="AD492" s="15"/>
      <c r="AE492" s="17"/>
      <c r="AF492" s="262"/>
      <c r="AG492" s="262"/>
      <c r="AH492" s="1"/>
      <c r="AI492" s="1"/>
      <c r="AJ492" s="1"/>
      <c r="AK492" s="1"/>
      <c r="AL492" s="1"/>
      <c r="AM492" s="1"/>
      <c r="AN492" s="1"/>
      <c r="AO492" s="1"/>
      <c r="AP492" s="1"/>
      <c r="AQ492" s="15"/>
      <c r="AR492" s="15"/>
      <c r="AS492" s="17"/>
      <c r="AT492" s="15"/>
      <c r="AU492" s="124"/>
      <c r="AV492" s="17"/>
      <c r="AW492" s="17"/>
      <c r="AX492" s="263"/>
      <c r="AY492" s="1"/>
      <c r="AZ492" s="1"/>
      <c r="BA492" s="297"/>
      <c r="BB492" s="1"/>
      <c r="BC492" s="11"/>
      <c r="BD492" s="11"/>
      <c r="BE492" s="214"/>
      <c r="BF492" s="268"/>
      <c r="BG492" s="1"/>
      <c r="BH492" s="210"/>
      <c r="BI492" s="60"/>
      <c r="BJ492" s="15"/>
      <c r="BK492" s="15"/>
      <c r="BL492" s="1"/>
      <c r="BM492" s="49" t="e">
        <f>IF(OR(#REF!="",#REF!="")=TRUE,"",NETWORKDAYS.INTL(#REF!,#REF!))</f>
        <v>#REF!</v>
      </c>
    </row>
    <row r="493" spans="1:65" x14ac:dyDescent="0.45">
      <c r="A493" s="13">
        <v>488</v>
      </c>
      <c r="B493" s="155"/>
      <c r="C493" s="85"/>
      <c r="D493" s="1"/>
      <c r="E493" s="1"/>
      <c r="F493" s="1"/>
      <c r="G493" s="1"/>
      <c r="H493" s="1"/>
      <c r="I493" s="1"/>
      <c r="J493" s="15"/>
      <c r="K493" s="17"/>
      <c r="L493" s="17"/>
      <c r="M493" s="238"/>
      <c r="N493" s="242"/>
      <c r="O493" s="244"/>
      <c r="P493" s="17"/>
      <c r="Q493" s="210"/>
      <c r="R493" s="17"/>
      <c r="S493" s="15"/>
      <c r="T493" s="17"/>
      <c r="U493" s="17"/>
      <c r="V493" s="15"/>
      <c r="W493" s="15"/>
      <c r="X493" s="17"/>
      <c r="Y493" s="229"/>
      <c r="Z493" s="1"/>
      <c r="AA493" s="284"/>
      <c r="AB493" s="238"/>
      <c r="AC493" s="17"/>
      <c r="AD493" s="15"/>
      <c r="AE493" s="17"/>
      <c r="AF493" s="262"/>
      <c r="AG493" s="262"/>
      <c r="AH493" s="1"/>
      <c r="AI493" s="1"/>
      <c r="AJ493" s="1"/>
      <c r="AK493" s="1"/>
      <c r="AL493" s="1"/>
      <c r="AM493" s="1"/>
      <c r="AN493" s="1"/>
      <c r="AO493" s="1"/>
      <c r="AP493" s="1"/>
      <c r="AQ493" s="15"/>
      <c r="AR493" s="15"/>
      <c r="AS493" s="17"/>
      <c r="AT493" s="15"/>
      <c r="AU493" s="124"/>
      <c r="AV493" s="17"/>
      <c r="AW493" s="17"/>
      <c r="AX493" s="263"/>
      <c r="AY493" s="1"/>
      <c r="AZ493" s="1"/>
      <c r="BA493" s="297"/>
      <c r="BB493" s="1"/>
      <c r="BC493" s="11"/>
      <c r="BD493" s="11"/>
      <c r="BE493" s="214"/>
      <c r="BF493" s="268"/>
      <c r="BG493" s="1"/>
      <c r="BH493" s="210"/>
      <c r="BI493" s="60"/>
      <c r="BJ493" s="15"/>
      <c r="BK493" s="15"/>
      <c r="BL493" s="1"/>
      <c r="BM493" s="49" t="e">
        <f>IF(OR(#REF!="",#REF!="")=TRUE,"",NETWORKDAYS.INTL(#REF!,#REF!))</f>
        <v>#REF!</v>
      </c>
    </row>
    <row r="494" spans="1:65" x14ac:dyDescent="0.45">
      <c r="A494" s="13">
        <v>489</v>
      </c>
      <c r="B494" s="155"/>
      <c r="C494" s="85"/>
      <c r="D494" s="1"/>
      <c r="E494" s="1"/>
      <c r="F494" s="1"/>
      <c r="G494" s="1"/>
      <c r="H494" s="1"/>
      <c r="I494" s="1"/>
      <c r="J494" s="15"/>
      <c r="K494" s="17"/>
      <c r="L494" s="17"/>
      <c r="M494" s="238"/>
      <c r="N494" s="242"/>
      <c r="O494" s="244"/>
      <c r="P494" s="17"/>
      <c r="Q494" s="210"/>
      <c r="R494" s="17"/>
      <c r="S494" s="15"/>
      <c r="T494" s="17"/>
      <c r="U494" s="17"/>
      <c r="V494" s="15"/>
      <c r="W494" s="15"/>
      <c r="X494" s="17"/>
      <c r="Y494" s="229"/>
      <c r="Z494" s="1"/>
      <c r="AA494" s="284"/>
      <c r="AB494" s="238"/>
      <c r="AC494" s="17"/>
      <c r="AD494" s="15"/>
      <c r="AE494" s="17"/>
      <c r="AF494" s="262"/>
      <c r="AG494" s="262"/>
      <c r="AH494" s="1"/>
      <c r="AI494" s="1"/>
      <c r="AJ494" s="1"/>
      <c r="AK494" s="1"/>
      <c r="AL494" s="1"/>
      <c r="AM494" s="1"/>
      <c r="AN494" s="1"/>
      <c r="AO494" s="1"/>
      <c r="AP494" s="1"/>
      <c r="AQ494" s="15"/>
      <c r="AR494" s="15"/>
      <c r="AS494" s="17"/>
      <c r="AT494" s="15"/>
      <c r="AU494" s="124"/>
      <c r="AV494" s="17"/>
      <c r="AW494" s="17"/>
      <c r="AX494" s="263"/>
      <c r="AY494" s="1"/>
      <c r="AZ494" s="1"/>
      <c r="BA494" s="297"/>
      <c r="BB494" s="1"/>
      <c r="BC494" s="11"/>
      <c r="BD494" s="11"/>
      <c r="BE494" s="214"/>
      <c r="BF494" s="268"/>
      <c r="BG494" s="1"/>
      <c r="BH494" s="210"/>
      <c r="BI494" s="60"/>
      <c r="BJ494" s="15"/>
      <c r="BK494" s="15"/>
      <c r="BL494" s="1"/>
      <c r="BM494" s="49" t="e">
        <f>IF(OR(#REF!="",#REF!="")=TRUE,"",NETWORKDAYS.INTL(#REF!,#REF!))</f>
        <v>#REF!</v>
      </c>
    </row>
    <row r="495" spans="1:65" x14ac:dyDescent="0.45">
      <c r="A495" s="12">
        <v>490</v>
      </c>
      <c r="B495" s="150"/>
      <c r="C495" s="53"/>
      <c r="D495" s="1"/>
      <c r="E495" s="1"/>
      <c r="F495" s="1"/>
      <c r="G495" s="1"/>
      <c r="H495" s="1"/>
      <c r="I495" s="1"/>
      <c r="J495" s="15"/>
      <c r="K495" s="17"/>
      <c r="L495" s="17"/>
      <c r="M495" s="238"/>
      <c r="N495" s="242"/>
      <c r="O495" s="244"/>
      <c r="P495" s="17"/>
      <c r="Q495" s="210"/>
      <c r="R495" s="17"/>
      <c r="S495" s="15"/>
      <c r="T495" s="17"/>
      <c r="U495" s="17"/>
      <c r="V495" s="15"/>
      <c r="W495" s="15"/>
      <c r="X495" s="17"/>
      <c r="Y495" s="229"/>
      <c r="Z495" s="1"/>
      <c r="AA495" s="284"/>
      <c r="AB495" s="238"/>
      <c r="AC495" s="17"/>
      <c r="AD495" s="15"/>
      <c r="AE495" s="17"/>
      <c r="AF495" s="262"/>
      <c r="AG495" s="262"/>
      <c r="AH495" s="1"/>
      <c r="AI495" s="1"/>
      <c r="AJ495" s="1"/>
      <c r="AK495" s="1"/>
      <c r="AL495" s="1"/>
      <c r="AM495" s="1"/>
      <c r="AN495" s="1"/>
      <c r="AO495" s="1"/>
      <c r="AP495" s="1"/>
      <c r="AQ495" s="15"/>
      <c r="AR495" s="15"/>
      <c r="AS495" s="17"/>
      <c r="AT495" s="15"/>
      <c r="AU495" s="124"/>
      <c r="AV495" s="17"/>
      <c r="AW495" s="17"/>
      <c r="AX495" s="263"/>
      <c r="AY495" s="1"/>
      <c r="AZ495" s="1"/>
      <c r="BA495" s="297"/>
      <c r="BB495" s="1"/>
      <c r="BC495" s="11"/>
      <c r="BD495" s="11"/>
      <c r="BE495" s="214"/>
      <c r="BF495" s="268"/>
      <c r="BG495" s="1"/>
      <c r="BH495" s="210"/>
      <c r="BI495" s="60"/>
      <c r="BJ495" s="15"/>
      <c r="BK495" s="15"/>
      <c r="BL495" s="1"/>
      <c r="BM495" s="49" t="e">
        <f>IF(OR(#REF!="",#REF!="")=TRUE,"",NETWORKDAYS.INTL(#REF!,#REF!))</f>
        <v>#REF!</v>
      </c>
    </row>
    <row r="496" spans="1:65" x14ac:dyDescent="0.45">
      <c r="A496" s="13">
        <v>491</v>
      </c>
      <c r="B496" s="155"/>
      <c r="C496" s="85"/>
      <c r="D496" s="1"/>
      <c r="E496" s="1"/>
      <c r="F496" s="1"/>
      <c r="G496" s="1"/>
      <c r="H496" s="1"/>
      <c r="I496" s="1"/>
      <c r="J496" s="15"/>
      <c r="K496" s="17"/>
      <c r="L496" s="17"/>
      <c r="M496" s="238"/>
      <c r="N496" s="242"/>
      <c r="O496" s="244"/>
      <c r="P496" s="17"/>
      <c r="Q496" s="210"/>
      <c r="R496" s="17"/>
      <c r="S496" s="15"/>
      <c r="T496" s="17"/>
      <c r="U496" s="17"/>
      <c r="V496" s="15"/>
      <c r="W496" s="15"/>
      <c r="X496" s="17"/>
      <c r="Y496" s="229"/>
      <c r="Z496" s="1"/>
      <c r="AA496" s="284"/>
      <c r="AB496" s="238"/>
      <c r="AC496" s="17"/>
      <c r="AD496" s="15"/>
      <c r="AE496" s="17"/>
      <c r="AF496" s="262"/>
      <c r="AG496" s="262"/>
      <c r="AH496" s="1"/>
      <c r="AI496" s="1"/>
      <c r="AJ496" s="1"/>
      <c r="AK496" s="1"/>
      <c r="AL496" s="1"/>
      <c r="AM496" s="1"/>
      <c r="AN496" s="1"/>
      <c r="AO496" s="1"/>
      <c r="AP496" s="1"/>
      <c r="AQ496" s="15"/>
      <c r="AR496" s="15"/>
      <c r="AS496" s="17"/>
      <c r="AT496" s="15"/>
      <c r="AU496" s="124"/>
      <c r="AV496" s="17"/>
      <c r="AW496" s="17"/>
      <c r="AX496" s="263"/>
      <c r="AY496" s="1"/>
      <c r="AZ496" s="1"/>
      <c r="BA496" s="297"/>
      <c r="BB496" s="1"/>
      <c r="BC496" s="11"/>
      <c r="BD496" s="11"/>
      <c r="BE496" s="214"/>
      <c r="BF496" s="268"/>
      <c r="BG496" s="1"/>
      <c r="BH496" s="210"/>
      <c r="BI496" s="60"/>
      <c r="BJ496" s="15"/>
      <c r="BK496" s="15"/>
      <c r="BL496" s="1"/>
      <c r="BM496" s="49" t="e">
        <f>IF(OR(#REF!="",#REF!="")=TRUE,"",NETWORKDAYS.INTL(#REF!,#REF!))</f>
        <v>#REF!</v>
      </c>
    </row>
    <row r="497" spans="1:65" x14ac:dyDescent="0.45">
      <c r="A497" s="13">
        <v>492</v>
      </c>
      <c r="B497" s="155"/>
      <c r="C497" s="85"/>
      <c r="D497" s="1"/>
      <c r="E497" s="1"/>
      <c r="F497" s="1"/>
      <c r="G497" s="1"/>
      <c r="H497" s="1"/>
      <c r="I497" s="1"/>
      <c r="J497" s="15"/>
      <c r="K497" s="17"/>
      <c r="L497" s="17"/>
      <c r="M497" s="238"/>
      <c r="N497" s="242"/>
      <c r="O497" s="244"/>
      <c r="P497" s="17"/>
      <c r="Q497" s="210"/>
      <c r="R497" s="17"/>
      <c r="S497" s="15"/>
      <c r="T497" s="17"/>
      <c r="U497" s="17"/>
      <c r="V497" s="15"/>
      <c r="W497" s="15"/>
      <c r="X497" s="17"/>
      <c r="Y497" s="229"/>
      <c r="Z497" s="1"/>
      <c r="AA497" s="284"/>
      <c r="AB497" s="238"/>
      <c r="AC497" s="17"/>
      <c r="AD497" s="15"/>
      <c r="AE497" s="17"/>
      <c r="AF497" s="262"/>
      <c r="AG497" s="262"/>
      <c r="AH497" s="1"/>
      <c r="AI497" s="1"/>
      <c r="AJ497" s="1"/>
      <c r="AK497" s="1"/>
      <c r="AL497" s="1"/>
      <c r="AM497" s="1"/>
      <c r="AN497" s="1"/>
      <c r="AO497" s="1"/>
      <c r="AP497" s="1"/>
      <c r="AQ497" s="15"/>
      <c r="AR497" s="15"/>
      <c r="AS497" s="17"/>
      <c r="AT497" s="15"/>
      <c r="AU497" s="124"/>
      <c r="AV497" s="17"/>
      <c r="AW497" s="17"/>
      <c r="AX497" s="263"/>
      <c r="AY497" s="1"/>
      <c r="AZ497" s="1"/>
      <c r="BA497" s="297"/>
      <c r="BB497" s="1"/>
      <c r="BC497" s="11"/>
      <c r="BD497" s="11"/>
      <c r="BE497" s="214"/>
      <c r="BF497" s="268"/>
      <c r="BG497" s="1"/>
      <c r="BH497" s="210"/>
      <c r="BI497" s="60"/>
      <c r="BJ497" s="15"/>
      <c r="BK497" s="15"/>
      <c r="BL497" s="1"/>
      <c r="BM497" s="49" t="e">
        <f>IF(OR(#REF!="",#REF!="")=TRUE,"",NETWORKDAYS.INTL(#REF!,#REF!))</f>
        <v>#REF!</v>
      </c>
    </row>
    <row r="498" spans="1:65" x14ac:dyDescent="0.45">
      <c r="A498" s="12">
        <v>493</v>
      </c>
      <c r="B498" s="150"/>
      <c r="C498" s="53"/>
      <c r="D498" s="1"/>
      <c r="E498" s="1"/>
      <c r="F498" s="1"/>
      <c r="G498" s="1"/>
      <c r="H498" s="1"/>
      <c r="I498" s="1"/>
      <c r="J498" s="15"/>
      <c r="K498" s="17"/>
      <c r="L498" s="17"/>
      <c r="M498" s="238"/>
      <c r="N498" s="242"/>
      <c r="O498" s="244"/>
      <c r="P498" s="17"/>
      <c r="Q498" s="210"/>
      <c r="R498" s="17"/>
      <c r="S498" s="15"/>
      <c r="T498" s="17"/>
      <c r="U498" s="17"/>
      <c r="V498" s="15"/>
      <c r="W498" s="15"/>
      <c r="X498" s="17"/>
      <c r="Y498" s="229"/>
      <c r="Z498" s="1"/>
      <c r="AA498" s="284"/>
      <c r="AB498" s="238"/>
      <c r="AC498" s="17"/>
      <c r="AD498" s="15"/>
      <c r="AE498" s="17"/>
      <c r="AF498" s="262"/>
      <c r="AG498" s="262"/>
      <c r="AH498" s="1"/>
      <c r="AI498" s="1"/>
      <c r="AJ498" s="1"/>
      <c r="AK498" s="1"/>
      <c r="AL498" s="1"/>
      <c r="AM498" s="1"/>
      <c r="AN498" s="1"/>
      <c r="AO498" s="1"/>
      <c r="AP498" s="1"/>
      <c r="AQ498" s="15"/>
      <c r="AR498" s="15"/>
      <c r="AS498" s="17"/>
      <c r="AT498" s="15"/>
      <c r="AU498" s="124"/>
      <c r="AV498" s="17"/>
      <c r="AW498" s="17"/>
      <c r="AX498" s="263"/>
      <c r="AY498" s="1"/>
      <c r="AZ498" s="1"/>
      <c r="BA498" s="297"/>
      <c r="BB498" s="1"/>
      <c r="BC498" s="11"/>
      <c r="BD498" s="11"/>
      <c r="BE498" s="214"/>
      <c r="BF498" s="268"/>
      <c r="BG498" s="1"/>
      <c r="BH498" s="210"/>
      <c r="BI498" s="60"/>
      <c r="BJ498" s="15"/>
      <c r="BK498" s="15"/>
      <c r="BL498" s="1"/>
      <c r="BM498" s="49" t="e">
        <f>IF(OR(#REF!="",#REF!="")=TRUE,"",NETWORKDAYS.INTL(#REF!,#REF!))</f>
        <v>#REF!</v>
      </c>
    </row>
    <row r="499" spans="1:65" x14ac:dyDescent="0.45">
      <c r="A499" s="13">
        <v>494</v>
      </c>
      <c r="B499" s="155"/>
      <c r="C499" s="85"/>
      <c r="D499" s="1"/>
      <c r="E499" s="1"/>
      <c r="F499" s="1"/>
      <c r="G499" s="1"/>
      <c r="H499" s="1"/>
      <c r="I499" s="1"/>
      <c r="J499" s="15"/>
      <c r="K499" s="17"/>
      <c r="L499" s="17"/>
      <c r="M499" s="238"/>
      <c r="N499" s="242"/>
      <c r="O499" s="244"/>
      <c r="P499" s="17"/>
      <c r="Q499" s="210"/>
      <c r="R499" s="17"/>
      <c r="S499" s="15"/>
      <c r="T499" s="17"/>
      <c r="U499" s="17"/>
      <c r="V499" s="15"/>
      <c r="W499" s="15"/>
      <c r="X499" s="17"/>
      <c r="Y499" s="229"/>
      <c r="Z499" s="1"/>
      <c r="AA499" s="284"/>
      <c r="AB499" s="238"/>
      <c r="AC499" s="17"/>
      <c r="AD499" s="15"/>
      <c r="AE499" s="17"/>
      <c r="AF499" s="262"/>
      <c r="AG499" s="262"/>
      <c r="AH499" s="1"/>
      <c r="AI499" s="1"/>
      <c r="AJ499" s="1"/>
      <c r="AK499" s="1"/>
      <c r="AL499" s="1"/>
      <c r="AM499" s="1"/>
      <c r="AN499" s="1"/>
      <c r="AO499" s="1"/>
      <c r="AP499" s="1"/>
      <c r="AQ499" s="15"/>
      <c r="AR499" s="15"/>
      <c r="AS499" s="17"/>
      <c r="AT499" s="15"/>
      <c r="AU499" s="124"/>
      <c r="AV499" s="17"/>
      <c r="AW499" s="17"/>
      <c r="AX499" s="263"/>
      <c r="AY499" s="1"/>
      <c r="AZ499" s="1"/>
      <c r="BA499" s="297"/>
      <c r="BB499" s="1"/>
      <c r="BC499" s="11"/>
      <c r="BD499" s="11"/>
      <c r="BE499" s="214"/>
      <c r="BF499" s="268"/>
      <c r="BG499" s="1"/>
      <c r="BH499" s="210"/>
      <c r="BI499" s="60"/>
      <c r="BJ499" s="15"/>
      <c r="BK499" s="15"/>
      <c r="BL499" s="1"/>
      <c r="BM499" s="49" t="e">
        <f>IF(OR(#REF!="",#REF!="")=TRUE,"",NETWORKDAYS.INTL(#REF!,#REF!))</f>
        <v>#REF!</v>
      </c>
    </row>
    <row r="500" spans="1:65" x14ac:dyDescent="0.45">
      <c r="A500" s="13">
        <v>495</v>
      </c>
      <c r="B500" s="155"/>
      <c r="C500" s="85"/>
      <c r="D500" s="1"/>
      <c r="E500" s="1"/>
      <c r="F500" s="1"/>
      <c r="G500" s="1"/>
      <c r="H500" s="1"/>
      <c r="I500" s="1"/>
      <c r="J500" s="15"/>
      <c r="K500" s="17"/>
      <c r="L500" s="17"/>
      <c r="M500" s="238"/>
      <c r="N500" s="242"/>
      <c r="O500" s="244"/>
      <c r="P500" s="17"/>
      <c r="Q500" s="210"/>
      <c r="R500" s="17"/>
      <c r="S500" s="15"/>
      <c r="T500" s="17"/>
      <c r="U500" s="17"/>
      <c r="V500" s="15"/>
      <c r="W500" s="15"/>
      <c r="X500" s="17"/>
      <c r="Y500" s="229"/>
      <c r="Z500" s="1"/>
      <c r="AA500" s="284"/>
      <c r="AB500" s="238"/>
      <c r="AC500" s="17"/>
      <c r="AD500" s="15"/>
      <c r="AE500" s="17"/>
      <c r="AF500" s="262"/>
      <c r="AG500" s="262"/>
      <c r="AH500" s="1"/>
      <c r="AI500" s="1"/>
      <c r="AJ500" s="1"/>
      <c r="AK500" s="1"/>
      <c r="AL500" s="1"/>
      <c r="AM500" s="1"/>
      <c r="AN500" s="1"/>
      <c r="AO500" s="1"/>
      <c r="AP500" s="1"/>
      <c r="AQ500" s="15"/>
      <c r="AR500" s="15"/>
      <c r="AS500" s="17"/>
      <c r="AT500" s="15"/>
      <c r="AU500" s="124"/>
      <c r="AV500" s="17"/>
      <c r="AW500" s="17"/>
      <c r="AX500" s="263"/>
      <c r="AY500" s="1"/>
      <c r="AZ500" s="1"/>
      <c r="BA500" s="297"/>
      <c r="BB500" s="1"/>
      <c r="BC500" s="11"/>
      <c r="BD500" s="11"/>
      <c r="BE500" s="214"/>
      <c r="BF500" s="268"/>
      <c r="BG500" s="1"/>
      <c r="BH500" s="210"/>
      <c r="BI500" s="60"/>
      <c r="BJ500" s="15"/>
      <c r="BK500" s="15"/>
      <c r="BL500" s="1"/>
      <c r="BM500" s="49" t="e">
        <f>IF(OR(#REF!="",#REF!="")=TRUE,"",NETWORKDAYS.INTL(#REF!,#REF!))</f>
        <v>#REF!</v>
      </c>
    </row>
    <row r="501" spans="1:65" x14ac:dyDescent="0.45">
      <c r="A501" s="12">
        <v>496</v>
      </c>
      <c r="B501" s="150"/>
      <c r="C501" s="53"/>
      <c r="D501" s="1"/>
      <c r="E501" s="1"/>
      <c r="F501" s="1"/>
      <c r="G501" s="1"/>
      <c r="H501" s="1"/>
      <c r="I501" s="1"/>
      <c r="J501" s="15"/>
      <c r="K501" s="17"/>
      <c r="L501" s="17"/>
      <c r="M501" s="238"/>
      <c r="N501" s="242"/>
      <c r="O501" s="244"/>
      <c r="P501" s="17"/>
      <c r="Q501" s="210"/>
      <c r="R501" s="17"/>
      <c r="S501" s="15"/>
      <c r="T501" s="17"/>
      <c r="U501" s="17"/>
      <c r="V501" s="15"/>
      <c r="W501" s="15"/>
      <c r="X501" s="17"/>
      <c r="Y501" s="229"/>
      <c r="Z501" s="1"/>
      <c r="AA501" s="284"/>
      <c r="AB501" s="238"/>
      <c r="AC501" s="17"/>
      <c r="AD501" s="15"/>
      <c r="AE501" s="17"/>
      <c r="AF501" s="262"/>
      <c r="AG501" s="262"/>
      <c r="AH501" s="1"/>
      <c r="AI501" s="1"/>
      <c r="AJ501" s="1"/>
      <c r="AK501" s="1"/>
      <c r="AL501" s="1"/>
      <c r="AM501" s="1"/>
      <c r="AN501" s="1"/>
      <c r="AO501" s="1"/>
      <c r="AP501" s="1"/>
      <c r="AQ501" s="15"/>
      <c r="AR501" s="15"/>
      <c r="AS501" s="17"/>
      <c r="AT501" s="15"/>
      <c r="AU501" s="124"/>
      <c r="AV501" s="17"/>
      <c r="AW501" s="17"/>
      <c r="AX501" s="263"/>
      <c r="AY501" s="1"/>
      <c r="AZ501" s="1"/>
      <c r="BA501" s="297"/>
      <c r="BB501" s="1"/>
      <c r="BC501" s="11"/>
      <c r="BD501" s="11"/>
      <c r="BE501" s="214"/>
      <c r="BF501" s="268"/>
      <c r="BG501" s="1"/>
      <c r="BH501" s="210"/>
      <c r="BI501" s="60"/>
      <c r="BJ501" s="15"/>
      <c r="BK501" s="15"/>
      <c r="BL501" s="1"/>
      <c r="BM501" s="49" t="e">
        <f>IF(OR(#REF!="",#REF!="")=TRUE,"",NETWORKDAYS.INTL(#REF!,#REF!))</f>
        <v>#REF!</v>
      </c>
    </row>
    <row r="502" spans="1:65" x14ac:dyDescent="0.45">
      <c r="A502" s="13">
        <v>497</v>
      </c>
      <c r="B502" s="155"/>
      <c r="C502" s="85"/>
      <c r="D502" s="1"/>
      <c r="E502" s="1"/>
      <c r="F502" s="1"/>
      <c r="G502" s="1"/>
      <c r="H502" s="1"/>
      <c r="I502" s="1"/>
      <c r="J502" s="15"/>
      <c r="K502" s="17"/>
      <c r="L502" s="17"/>
      <c r="M502" s="238"/>
      <c r="N502" s="242"/>
      <c r="O502" s="244"/>
      <c r="P502" s="17"/>
      <c r="Q502" s="210"/>
      <c r="R502" s="17"/>
      <c r="S502" s="15"/>
      <c r="T502" s="17"/>
      <c r="U502" s="17"/>
      <c r="V502" s="15"/>
      <c r="W502" s="15"/>
      <c r="X502" s="17"/>
      <c r="Y502" s="229"/>
      <c r="Z502" s="1"/>
      <c r="AA502" s="284"/>
      <c r="AB502" s="238"/>
      <c r="AC502" s="17"/>
      <c r="AD502" s="15"/>
      <c r="AE502" s="17"/>
      <c r="AF502" s="262"/>
      <c r="AG502" s="262"/>
      <c r="AH502" s="1"/>
      <c r="AI502" s="1"/>
      <c r="AJ502" s="1"/>
      <c r="AK502" s="1"/>
      <c r="AL502" s="1"/>
      <c r="AM502" s="1"/>
      <c r="AN502" s="1"/>
      <c r="AO502" s="1"/>
      <c r="AP502" s="1"/>
      <c r="AQ502" s="15"/>
      <c r="AR502" s="15"/>
      <c r="AS502" s="17"/>
      <c r="AT502" s="15"/>
      <c r="AU502" s="124"/>
      <c r="AV502" s="17"/>
      <c r="AW502" s="17"/>
      <c r="AX502" s="263"/>
      <c r="AY502" s="1"/>
      <c r="AZ502" s="1"/>
      <c r="BA502" s="297"/>
      <c r="BB502" s="1"/>
      <c r="BC502" s="11"/>
      <c r="BD502" s="11"/>
      <c r="BE502" s="214"/>
      <c r="BF502" s="268"/>
      <c r="BG502" s="1"/>
      <c r="BH502" s="210"/>
      <c r="BI502" s="60"/>
      <c r="BJ502" s="15"/>
      <c r="BK502" s="15"/>
      <c r="BL502" s="1"/>
      <c r="BM502" s="49" t="e">
        <f>IF(OR(#REF!="",#REF!="")=TRUE,"",NETWORKDAYS.INTL(#REF!,#REF!))</f>
        <v>#REF!</v>
      </c>
    </row>
    <row r="503" spans="1:65" x14ac:dyDescent="0.45">
      <c r="A503" s="13">
        <v>498</v>
      </c>
      <c r="B503" s="155"/>
      <c r="C503" s="85"/>
      <c r="D503" s="1"/>
      <c r="E503" s="1"/>
      <c r="F503" s="1"/>
      <c r="G503" s="1"/>
      <c r="H503" s="1"/>
      <c r="I503" s="1"/>
      <c r="J503" s="15"/>
      <c r="K503" s="17"/>
      <c r="L503" s="17"/>
      <c r="M503" s="238"/>
      <c r="N503" s="242"/>
      <c r="O503" s="244"/>
      <c r="P503" s="17"/>
      <c r="Q503" s="210"/>
      <c r="R503" s="17"/>
      <c r="S503" s="15"/>
      <c r="T503" s="17"/>
      <c r="U503" s="17"/>
      <c r="V503" s="15"/>
      <c r="W503" s="15"/>
      <c r="X503" s="17"/>
      <c r="Y503" s="229"/>
      <c r="Z503" s="1"/>
      <c r="AA503" s="284"/>
      <c r="AB503" s="238"/>
      <c r="AC503" s="17"/>
      <c r="AD503" s="15"/>
      <c r="AE503" s="17"/>
      <c r="AF503" s="262"/>
      <c r="AG503" s="262"/>
      <c r="AH503" s="1"/>
      <c r="AI503" s="1"/>
      <c r="AJ503" s="1"/>
      <c r="AK503" s="1"/>
      <c r="AL503" s="1"/>
      <c r="AM503" s="1"/>
      <c r="AN503" s="1"/>
      <c r="AO503" s="1"/>
      <c r="AP503" s="1"/>
      <c r="AQ503" s="15"/>
      <c r="AR503" s="15"/>
      <c r="AS503" s="17"/>
      <c r="AT503" s="15"/>
      <c r="AU503" s="124"/>
      <c r="AV503" s="17"/>
      <c r="AW503" s="17"/>
      <c r="AX503" s="263"/>
      <c r="AY503" s="1"/>
      <c r="AZ503" s="1"/>
      <c r="BA503" s="297"/>
      <c r="BB503" s="1"/>
      <c r="BC503" s="11"/>
      <c r="BD503" s="11"/>
      <c r="BE503" s="214"/>
      <c r="BF503" s="268"/>
      <c r="BG503" s="1"/>
      <c r="BH503" s="210"/>
      <c r="BI503" s="60"/>
      <c r="BJ503" s="15"/>
      <c r="BK503" s="15"/>
      <c r="BL503" s="1"/>
      <c r="BM503" s="49" t="e">
        <f>IF(OR(#REF!="",#REF!="")=TRUE,"",NETWORKDAYS.INTL(#REF!,#REF!))</f>
        <v>#REF!</v>
      </c>
    </row>
    <row r="504" spans="1:65" x14ac:dyDescent="0.45">
      <c r="A504" s="12">
        <v>499</v>
      </c>
      <c r="B504" s="150"/>
      <c r="C504" s="53"/>
      <c r="D504" s="1"/>
      <c r="E504" s="1"/>
      <c r="F504" s="1"/>
      <c r="G504" s="1"/>
      <c r="H504" s="1"/>
      <c r="I504" s="1"/>
      <c r="J504" s="15"/>
      <c r="K504" s="17"/>
      <c r="L504" s="17"/>
      <c r="M504" s="238"/>
      <c r="N504" s="242"/>
      <c r="O504" s="244"/>
      <c r="P504" s="17"/>
      <c r="Q504" s="210"/>
      <c r="R504" s="17"/>
      <c r="S504" s="15"/>
      <c r="T504" s="17"/>
      <c r="U504" s="17"/>
      <c r="V504" s="15"/>
      <c r="W504" s="15"/>
      <c r="X504" s="17"/>
      <c r="Y504" s="229"/>
      <c r="Z504" s="1"/>
      <c r="AA504" s="284"/>
      <c r="AB504" s="238"/>
      <c r="AC504" s="17"/>
      <c r="AD504" s="15"/>
      <c r="AE504" s="17"/>
      <c r="AF504" s="262"/>
      <c r="AG504" s="262"/>
      <c r="AH504" s="1"/>
      <c r="AI504" s="1"/>
      <c r="AJ504" s="1"/>
      <c r="AK504" s="1"/>
      <c r="AL504" s="1"/>
      <c r="AM504" s="1"/>
      <c r="AN504" s="1"/>
      <c r="AO504" s="1"/>
      <c r="AP504" s="1"/>
      <c r="AQ504" s="15"/>
      <c r="AR504" s="15"/>
      <c r="AS504" s="17"/>
      <c r="AT504" s="15"/>
      <c r="AU504" s="124"/>
      <c r="AV504" s="17"/>
      <c r="AW504" s="17"/>
      <c r="AX504" s="263"/>
      <c r="AY504" s="1"/>
      <c r="AZ504" s="1"/>
      <c r="BA504" s="297"/>
      <c r="BB504" s="1"/>
      <c r="BC504" s="11"/>
      <c r="BD504" s="11"/>
      <c r="BE504" s="214"/>
      <c r="BF504" s="268"/>
      <c r="BG504" s="1"/>
      <c r="BH504" s="210"/>
      <c r="BI504" s="60"/>
      <c r="BJ504" s="15"/>
      <c r="BK504" s="15"/>
      <c r="BL504" s="1"/>
      <c r="BM504" s="49" t="e">
        <f>IF(OR(#REF!="",#REF!="")=TRUE,"",NETWORKDAYS.INTL(#REF!,#REF!))</f>
        <v>#REF!</v>
      </c>
    </row>
    <row r="505" spans="1:65" x14ac:dyDescent="0.45">
      <c r="A505" s="13">
        <v>500</v>
      </c>
      <c r="B505" s="155"/>
      <c r="C505" s="85"/>
      <c r="D505" s="1"/>
      <c r="E505" s="1"/>
      <c r="F505" s="1"/>
      <c r="G505" s="1"/>
      <c r="H505" s="1"/>
      <c r="I505" s="1"/>
      <c r="J505" s="15"/>
      <c r="K505" s="17"/>
      <c r="L505" s="17"/>
      <c r="M505" s="238"/>
      <c r="N505" s="242"/>
      <c r="O505" s="244"/>
      <c r="P505" s="17"/>
      <c r="Q505" s="210"/>
      <c r="R505" s="17"/>
      <c r="S505" s="15"/>
      <c r="T505" s="17"/>
      <c r="U505" s="17"/>
      <c r="V505" s="15"/>
      <c r="W505" s="15"/>
      <c r="X505" s="17"/>
      <c r="Y505" s="229"/>
      <c r="Z505" s="1"/>
      <c r="AA505" s="284"/>
      <c r="AB505" s="238"/>
      <c r="AC505" s="17"/>
      <c r="AD505" s="15"/>
      <c r="AE505" s="17"/>
      <c r="AF505" s="262"/>
      <c r="AG505" s="262"/>
      <c r="AH505" s="1"/>
      <c r="AI505" s="1"/>
      <c r="AJ505" s="1"/>
      <c r="AK505" s="1"/>
      <c r="AL505" s="1"/>
      <c r="AM505" s="1"/>
      <c r="AN505" s="1"/>
      <c r="AO505" s="1"/>
      <c r="AP505" s="1"/>
      <c r="AQ505" s="15"/>
      <c r="AR505" s="15"/>
      <c r="AS505" s="17"/>
      <c r="AT505" s="15"/>
      <c r="AU505" s="124"/>
      <c r="AV505" s="17"/>
      <c r="AW505" s="17"/>
      <c r="AX505" s="263"/>
      <c r="AY505" s="1"/>
      <c r="AZ505" s="1"/>
      <c r="BA505" s="297"/>
      <c r="BB505" s="1"/>
      <c r="BC505" s="11"/>
      <c r="BD505" s="11"/>
      <c r="BE505" s="214"/>
      <c r="BF505" s="268"/>
      <c r="BG505" s="1"/>
      <c r="BH505" s="210"/>
      <c r="BI505" s="60"/>
      <c r="BJ505" s="15"/>
      <c r="BK505" s="15"/>
      <c r="BL505" s="1"/>
      <c r="BM505" s="49" t="e">
        <f>IF(OR(#REF!="",#REF!="")=TRUE,"",NETWORKDAYS.INTL(#REF!,#REF!))</f>
        <v>#REF!</v>
      </c>
    </row>
    <row r="506" spans="1:65" x14ac:dyDescent="0.45">
      <c r="A506" s="13">
        <v>501</v>
      </c>
      <c r="B506" s="155"/>
      <c r="C506" s="85"/>
      <c r="D506" s="1"/>
      <c r="E506" s="1"/>
      <c r="F506" s="1"/>
      <c r="G506" s="1"/>
      <c r="H506" s="1"/>
      <c r="I506" s="1"/>
      <c r="J506" s="15"/>
      <c r="K506" s="17"/>
      <c r="L506" s="17"/>
      <c r="M506" s="238"/>
      <c r="N506" s="242"/>
      <c r="O506" s="244"/>
      <c r="P506" s="17"/>
      <c r="Q506" s="210"/>
      <c r="R506" s="17"/>
      <c r="S506" s="15"/>
      <c r="T506" s="17"/>
      <c r="U506" s="17"/>
      <c r="V506" s="15"/>
      <c r="W506" s="15"/>
      <c r="X506" s="17"/>
      <c r="Y506" s="229"/>
      <c r="Z506" s="1"/>
      <c r="AA506" s="284"/>
      <c r="AB506" s="238"/>
      <c r="AC506" s="17"/>
      <c r="AD506" s="15"/>
      <c r="AE506" s="17"/>
      <c r="AF506" s="262"/>
      <c r="AG506" s="262"/>
      <c r="AH506" s="1"/>
      <c r="AI506" s="1"/>
      <c r="AJ506" s="1"/>
      <c r="AK506" s="1"/>
      <c r="AL506" s="1"/>
      <c r="AM506" s="1"/>
      <c r="AN506" s="1"/>
      <c r="AO506" s="1"/>
      <c r="AP506" s="1"/>
      <c r="AQ506" s="15"/>
      <c r="AR506" s="15"/>
      <c r="AS506" s="17"/>
      <c r="AT506" s="15"/>
      <c r="AU506" s="124"/>
      <c r="AV506" s="17"/>
      <c r="AW506" s="17"/>
      <c r="AX506" s="263"/>
      <c r="AY506" s="1"/>
      <c r="AZ506" s="1"/>
      <c r="BA506" s="297"/>
      <c r="BB506" s="1"/>
      <c r="BC506" s="11"/>
      <c r="BD506" s="11"/>
      <c r="BE506" s="214"/>
      <c r="BF506" s="268"/>
      <c r="BG506" s="1"/>
      <c r="BH506" s="210"/>
      <c r="BI506" s="60"/>
      <c r="BJ506" s="15"/>
      <c r="BK506" s="15"/>
      <c r="BL506" s="1"/>
      <c r="BM506" s="49" t="e">
        <f>IF(OR(#REF!="",#REF!="")=TRUE,"",NETWORKDAYS.INTL(#REF!,#REF!))</f>
        <v>#REF!</v>
      </c>
    </row>
    <row r="507" spans="1:65" x14ac:dyDescent="0.45">
      <c r="A507" s="12">
        <v>502</v>
      </c>
      <c r="B507" s="150"/>
      <c r="C507" s="53"/>
      <c r="D507" s="1"/>
      <c r="E507" s="1"/>
      <c r="F507" s="1"/>
      <c r="G507" s="1"/>
      <c r="H507" s="1"/>
      <c r="I507" s="1"/>
      <c r="J507" s="15"/>
      <c r="K507" s="17"/>
      <c r="L507" s="17"/>
      <c r="M507" s="238"/>
      <c r="N507" s="242"/>
      <c r="O507" s="244"/>
      <c r="P507" s="17"/>
      <c r="Q507" s="210"/>
      <c r="R507" s="17"/>
      <c r="S507" s="15"/>
      <c r="T507" s="17"/>
      <c r="U507" s="17"/>
      <c r="V507" s="15"/>
      <c r="W507" s="15"/>
      <c r="X507" s="17"/>
      <c r="Y507" s="229"/>
      <c r="Z507" s="1"/>
      <c r="AA507" s="284"/>
      <c r="AB507" s="238"/>
      <c r="AC507" s="17"/>
      <c r="AD507" s="15"/>
      <c r="AE507" s="17"/>
      <c r="AF507" s="262"/>
      <c r="AG507" s="262"/>
      <c r="AH507" s="1"/>
      <c r="AI507" s="1"/>
      <c r="AJ507" s="1"/>
      <c r="AK507" s="1"/>
      <c r="AL507" s="1"/>
      <c r="AM507" s="1"/>
      <c r="AN507" s="1"/>
      <c r="AO507" s="1"/>
      <c r="AP507" s="1"/>
      <c r="AQ507" s="15"/>
      <c r="AR507" s="15"/>
      <c r="AS507" s="17"/>
      <c r="AT507" s="15"/>
      <c r="AU507" s="124"/>
      <c r="AV507" s="17"/>
      <c r="AW507" s="17"/>
      <c r="AX507" s="263"/>
      <c r="AY507" s="1"/>
      <c r="AZ507" s="1"/>
      <c r="BA507" s="297"/>
      <c r="BB507" s="1"/>
      <c r="BC507" s="11"/>
      <c r="BD507" s="11"/>
      <c r="BE507" s="214"/>
      <c r="BF507" s="268"/>
      <c r="BG507" s="1"/>
      <c r="BH507" s="210"/>
      <c r="BI507" s="60"/>
      <c r="BJ507" s="15"/>
      <c r="BK507" s="15"/>
      <c r="BL507" s="1"/>
      <c r="BM507" s="49" t="e">
        <f>IF(OR(#REF!="",#REF!="")=TRUE,"",NETWORKDAYS.INTL(#REF!,#REF!))</f>
        <v>#REF!</v>
      </c>
    </row>
    <row r="508" spans="1:65" x14ac:dyDescent="0.45">
      <c r="A508" s="13">
        <v>503</v>
      </c>
      <c r="B508" s="155"/>
      <c r="C508" s="85"/>
      <c r="D508" s="1"/>
      <c r="E508" s="1"/>
      <c r="F508" s="1"/>
      <c r="G508" s="1"/>
      <c r="H508" s="1"/>
      <c r="I508" s="1"/>
      <c r="J508" s="15"/>
      <c r="K508" s="17"/>
      <c r="L508" s="17"/>
      <c r="M508" s="238"/>
      <c r="N508" s="242"/>
      <c r="O508" s="244"/>
      <c r="P508" s="17"/>
      <c r="Q508" s="210"/>
      <c r="R508" s="17"/>
      <c r="S508" s="15"/>
      <c r="T508" s="17"/>
      <c r="U508" s="17"/>
      <c r="V508" s="15"/>
      <c r="W508" s="15"/>
      <c r="X508" s="17"/>
      <c r="Y508" s="229"/>
      <c r="Z508" s="1"/>
      <c r="AA508" s="284"/>
      <c r="AB508" s="238"/>
      <c r="AC508" s="17"/>
      <c r="AD508" s="15"/>
      <c r="AE508" s="17"/>
      <c r="AF508" s="262"/>
      <c r="AG508" s="262"/>
      <c r="AH508" s="1"/>
      <c r="AI508" s="1"/>
      <c r="AJ508" s="1"/>
      <c r="AK508" s="1"/>
      <c r="AL508" s="1"/>
      <c r="AM508" s="1"/>
      <c r="AN508" s="1"/>
      <c r="AO508" s="1"/>
      <c r="AP508" s="1"/>
      <c r="AQ508" s="15"/>
      <c r="AR508" s="15"/>
      <c r="AS508" s="17"/>
      <c r="AT508" s="15"/>
      <c r="AU508" s="124"/>
      <c r="AV508" s="17"/>
      <c r="AW508" s="17"/>
      <c r="AX508" s="263"/>
      <c r="AY508" s="1"/>
      <c r="AZ508" s="1"/>
      <c r="BA508" s="297"/>
      <c r="BB508" s="1"/>
      <c r="BC508" s="11"/>
      <c r="BD508" s="11"/>
      <c r="BE508" s="214"/>
      <c r="BF508" s="268"/>
      <c r="BG508" s="1"/>
      <c r="BH508" s="210"/>
      <c r="BI508" s="60"/>
      <c r="BJ508" s="15"/>
      <c r="BK508" s="15"/>
      <c r="BL508" s="1"/>
      <c r="BM508" s="49" t="e">
        <f>IF(OR(#REF!="",#REF!="")=TRUE,"",NETWORKDAYS.INTL(#REF!,#REF!))</f>
        <v>#REF!</v>
      </c>
    </row>
    <row r="509" spans="1:65" x14ac:dyDescent="0.45">
      <c r="A509" s="13">
        <v>504</v>
      </c>
      <c r="B509" s="155"/>
      <c r="C509" s="85"/>
      <c r="D509" s="1"/>
      <c r="E509" s="1"/>
      <c r="F509" s="1"/>
      <c r="G509" s="1"/>
      <c r="H509" s="1"/>
      <c r="I509" s="1"/>
      <c r="J509" s="15"/>
      <c r="K509" s="17"/>
      <c r="L509" s="17"/>
      <c r="M509" s="238"/>
      <c r="N509" s="242"/>
      <c r="O509" s="244"/>
      <c r="P509" s="17"/>
      <c r="Q509" s="210"/>
      <c r="R509" s="17"/>
      <c r="S509" s="15"/>
      <c r="T509" s="17"/>
      <c r="U509" s="17"/>
      <c r="V509" s="15"/>
      <c r="W509" s="15"/>
      <c r="X509" s="17"/>
      <c r="Y509" s="229"/>
      <c r="Z509" s="1"/>
      <c r="AA509" s="284"/>
      <c r="AB509" s="238"/>
      <c r="AC509" s="17"/>
      <c r="AD509" s="15"/>
      <c r="AE509" s="17"/>
      <c r="AF509" s="262"/>
      <c r="AG509" s="262"/>
      <c r="AH509" s="1"/>
      <c r="AI509" s="1"/>
      <c r="AJ509" s="1"/>
      <c r="AK509" s="1"/>
      <c r="AL509" s="1"/>
      <c r="AM509" s="1"/>
      <c r="AN509" s="1"/>
      <c r="AO509" s="1"/>
      <c r="AP509" s="1"/>
      <c r="AQ509" s="15"/>
      <c r="AR509" s="15"/>
      <c r="AS509" s="17"/>
      <c r="AT509" s="15"/>
      <c r="AU509" s="124"/>
      <c r="AV509" s="17"/>
      <c r="AW509" s="17"/>
      <c r="AX509" s="263"/>
      <c r="AY509" s="1"/>
      <c r="AZ509" s="1"/>
      <c r="BA509" s="297"/>
      <c r="BB509" s="1"/>
      <c r="BC509" s="11"/>
      <c r="BD509" s="11"/>
      <c r="BE509" s="214"/>
      <c r="BF509" s="268"/>
      <c r="BG509" s="1"/>
      <c r="BH509" s="210"/>
      <c r="BI509" s="60"/>
      <c r="BJ509" s="15"/>
      <c r="BK509" s="15"/>
      <c r="BL509" s="1"/>
      <c r="BM509" s="49" t="e">
        <f>IF(OR(#REF!="",#REF!="")=TRUE,"",NETWORKDAYS.INTL(#REF!,#REF!))</f>
        <v>#REF!</v>
      </c>
    </row>
    <row r="510" spans="1:65" x14ac:dyDescent="0.45">
      <c r="A510" s="12">
        <v>505</v>
      </c>
      <c r="B510" s="150"/>
      <c r="C510" s="53"/>
      <c r="D510" s="1"/>
      <c r="E510" s="1"/>
      <c r="F510" s="1"/>
      <c r="G510" s="1"/>
      <c r="H510" s="1"/>
      <c r="I510" s="1"/>
      <c r="J510" s="15"/>
      <c r="K510" s="17"/>
      <c r="L510" s="17"/>
      <c r="M510" s="238"/>
      <c r="N510" s="242"/>
      <c r="O510" s="244"/>
      <c r="P510" s="17"/>
      <c r="Q510" s="210"/>
      <c r="R510" s="17"/>
      <c r="S510" s="15"/>
      <c r="T510" s="17"/>
      <c r="U510" s="17"/>
      <c r="V510" s="15"/>
      <c r="W510" s="15"/>
      <c r="X510" s="17"/>
      <c r="Y510" s="229"/>
      <c r="Z510" s="1"/>
      <c r="AA510" s="284"/>
      <c r="AB510" s="238"/>
      <c r="AC510" s="17"/>
      <c r="AD510" s="15"/>
      <c r="AE510" s="17"/>
      <c r="AF510" s="262"/>
      <c r="AG510" s="262"/>
      <c r="AH510" s="1"/>
      <c r="AI510" s="1"/>
      <c r="AJ510" s="1"/>
      <c r="AK510" s="1"/>
      <c r="AL510" s="1"/>
      <c r="AM510" s="1"/>
      <c r="AN510" s="1"/>
      <c r="AO510" s="1"/>
      <c r="AP510" s="1"/>
      <c r="AQ510" s="15"/>
      <c r="AR510" s="15"/>
      <c r="AS510" s="17"/>
      <c r="AT510" s="15"/>
      <c r="AU510" s="124"/>
      <c r="AV510" s="17"/>
      <c r="AW510" s="17"/>
      <c r="AX510" s="263"/>
      <c r="AY510" s="1"/>
      <c r="AZ510" s="1"/>
      <c r="BA510" s="297"/>
      <c r="BB510" s="1"/>
      <c r="BC510" s="11"/>
      <c r="BD510" s="11"/>
      <c r="BE510" s="214"/>
      <c r="BF510" s="268"/>
      <c r="BG510" s="1"/>
      <c r="BH510" s="210"/>
      <c r="BI510" s="60"/>
      <c r="BJ510" s="15"/>
      <c r="BK510" s="15"/>
      <c r="BL510" s="1"/>
      <c r="BM510" s="49" t="e">
        <f>IF(OR(#REF!="",#REF!="")=TRUE,"",NETWORKDAYS.INTL(#REF!,#REF!))</f>
        <v>#REF!</v>
      </c>
    </row>
    <row r="511" spans="1:65" x14ac:dyDescent="0.45">
      <c r="A511" s="13">
        <v>506</v>
      </c>
      <c r="B511" s="155"/>
      <c r="C511" s="85"/>
      <c r="D511" s="1"/>
      <c r="E511" s="1"/>
      <c r="F511" s="1"/>
      <c r="G511" s="1"/>
      <c r="H511" s="1"/>
      <c r="I511" s="1"/>
      <c r="J511" s="15"/>
      <c r="K511" s="17"/>
      <c r="L511" s="17"/>
      <c r="M511" s="238"/>
      <c r="N511" s="242"/>
      <c r="O511" s="244"/>
      <c r="P511" s="17"/>
      <c r="Q511" s="210"/>
      <c r="R511" s="17"/>
      <c r="S511" s="15"/>
      <c r="T511" s="17"/>
      <c r="U511" s="17"/>
      <c r="V511" s="15"/>
      <c r="W511" s="15"/>
      <c r="X511" s="17"/>
      <c r="Y511" s="229"/>
      <c r="Z511" s="1"/>
      <c r="AA511" s="284"/>
      <c r="AB511" s="238"/>
      <c r="AC511" s="17"/>
      <c r="AD511" s="15"/>
      <c r="AE511" s="17"/>
      <c r="AF511" s="262"/>
      <c r="AG511" s="262"/>
      <c r="AH511" s="1"/>
      <c r="AI511" s="1"/>
      <c r="AJ511" s="1"/>
      <c r="AK511" s="1"/>
      <c r="AL511" s="1"/>
      <c r="AM511" s="1"/>
      <c r="AN511" s="1"/>
      <c r="AO511" s="1"/>
      <c r="AP511" s="1"/>
      <c r="AQ511" s="15"/>
      <c r="AR511" s="15"/>
      <c r="AS511" s="17"/>
      <c r="AT511" s="15"/>
      <c r="AU511" s="124"/>
      <c r="AV511" s="17"/>
      <c r="AW511" s="17"/>
      <c r="AX511" s="263"/>
      <c r="AY511" s="1"/>
      <c r="AZ511" s="1"/>
      <c r="BA511" s="297"/>
      <c r="BB511" s="1"/>
      <c r="BC511" s="11"/>
      <c r="BD511" s="11"/>
      <c r="BE511" s="214"/>
      <c r="BF511" s="268"/>
      <c r="BG511" s="1"/>
      <c r="BH511" s="210"/>
      <c r="BI511" s="60"/>
      <c r="BJ511" s="15"/>
      <c r="BK511" s="15"/>
      <c r="BL511" s="1"/>
      <c r="BM511" s="49" t="e">
        <f>IF(OR(#REF!="",#REF!="")=TRUE,"",NETWORKDAYS.INTL(#REF!,#REF!))</f>
        <v>#REF!</v>
      </c>
    </row>
    <row r="512" spans="1:65" x14ac:dyDescent="0.45">
      <c r="A512" s="13">
        <v>507</v>
      </c>
      <c r="B512" s="155"/>
      <c r="C512" s="85"/>
      <c r="D512" s="1"/>
      <c r="E512" s="1"/>
      <c r="F512" s="1"/>
      <c r="G512" s="1"/>
      <c r="H512" s="1"/>
      <c r="I512" s="1"/>
      <c r="J512" s="15"/>
      <c r="K512" s="17"/>
      <c r="L512" s="17"/>
      <c r="M512" s="238"/>
      <c r="N512" s="242"/>
      <c r="O512" s="244"/>
      <c r="P512" s="17"/>
      <c r="Q512" s="210"/>
      <c r="R512" s="17"/>
      <c r="S512" s="15"/>
      <c r="T512" s="17"/>
      <c r="U512" s="17"/>
      <c r="V512" s="15"/>
      <c r="W512" s="15"/>
      <c r="X512" s="17"/>
      <c r="Y512" s="229"/>
      <c r="Z512" s="1"/>
      <c r="AA512" s="284"/>
      <c r="AB512" s="238"/>
      <c r="AC512" s="17"/>
      <c r="AD512" s="15"/>
      <c r="AE512" s="17"/>
      <c r="AF512" s="262"/>
      <c r="AG512" s="262"/>
      <c r="AH512" s="1"/>
      <c r="AI512" s="1"/>
      <c r="AJ512" s="1"/>
      <c r="AK512" s="1"/>
      <c r="AL512" s="1"/>
      <c r="AM512" s="1"/>
      <c r="AN512" s="1"/>
      <c r="AO512" s="1"/>
      <c r="AP512" s="1"/>
      <c r="AQ512" s="15"/>
      <c r="AR512" s="15"/>
      <c r="AS512" s="17"/>
      <c r="AT512" s="15"/>
      <c r="AU512" s="124"/>
      <c r="AV512" s="17"/>
      <c r="AW512" s="17"/>
      <c r="AX512" s="263"/>
      <c r="AY512" s="1"/>
      <c r="AZ512" s="1"/>
      <c r="BA512" s="297"/>
      <c r="BB512" s="1"/>
      <c r="BC512" s="11"/>
      <c r="BD512" s="11"/>
      <c r="BE512" s="214"/>
      <c r="BF512" s="268"/>
      <c r="BG512" s="1"/>
      <c r="BH512" s="210"/>
      <c r="BI512" s="60"/>
      <c r="BJ512" s="15"/>
      <c r="BK512" s="15"/>
      <c r="BL512" s="1"/>
      <c r="BM512" s="49" t="e">
        <f>IF(OR(#REF!="",#REF!="")=TRUE,"",NETWORKDAYS.INTL(#REF!,#REF!))</f>
        <v>#REF!</v>
      </c>
    </row>
    <row r="513" spans="1:65" x14ac:dyDescent="0.45">
      <c r="A513" s="12">
        <v>508</v>
      </c>
      <c r="B513" s="150"/>
      <c r="C513" s="53"/>
      <c r="D513" s="1"/>
      <c r="E513" s="1"/>
      <c r="F513" s="1"/>
      <c r="G513" s="1"/>
      <c r="H513" s="1"/>
      <c r="I513" s="1"/>
      <c r="J513" s="15"/>
      <c r="K513" s="17"/>
      <c r="L513" s="17"/>
      <c r="M513" s="238"/>
      <c r="N513" s="242"/>
      <c r="O513" s="244"/>
      <c r="P513" s="17"/>
      <c r="Q513" s="210"/>
      <c r="R513" s="17"/>
      <c r="S513" s="15"/>
      <c r="T513" s="17"/>
      <c r="U513" s="17"/>
      <c r="V513" s="15"/>
      <c r="W513" s="15"/>
      <c r="X513" s="17"/>
      <c r="Y513" s="229"/>
      <c r="Z513" s="1"/>
      <c r="AA513" s="284"/>
      <c r="AB513" s="238"/>
      <c r="AC513" s="17"/>
      <c r="AD513" s="15"/>
      <c r="AE513" s="17"/>
      <c r="AF513" s="262"/>
      <c r="AG513" s="262"/>
      <c r="AH513" s="1"/>
      <c r="AI513" s="1"/>
      <c r="AJ513" s="1"/>
      <c r="AK513" s="1"/>
      <c r="AL513" s="1"/>
      <c r="AM513" s="1"/>
      <c r="AN513" s="1"/>
      <c r="AO513" s="1"/>
      <c r="AP513" s="1"/>
      <c r="AQ513" s="15"/>
      <c r="AR513" s="15"/>
      <c r="AS513" s="17"/>
      <c r="AT513" s="15"/>
      <c r="AU513" s="124"/>
      <c r="AV513" s="17"/>
      <c r="AW513" s="17"/>
      <c r="AX513" s="263"/>
      <c r="AY513" s="1"/>
      <c r="AZ513" s="1"/>
      <c r="BA513" s="297"/>
      <c r="BB513" s="1"/>
      <c r="BC513" s="11"/>
      <c r="BD513" s="11"/>
      <c r="BE513" s="214"/>
      <c r="BF513" s="268"/>
      <c r="BG513" s="1"/>
      <c r="BH513" s="210"/>
      <c r="BI513" s="60"/>
      <c r="BJ513" s="15"/>
      <c r="BK513" s="15"/>
      <c r="BL513" s="1"/>
      <c r="BM513" s="49" t="e">
        <f>IF(OR(#REF!="",#REF!="")=TRUE,"",NETWORKDAYS.INTL(#REF!,#REF!))</f>
        <v>#REF!</v>
      </c>
    </row>
    <row r="514" spans="1:65" x14ac:dyDescent="0.45">
      <c r="A514" s="13">
        <v>509</v>
      </c>
      <c r="B514" s="155"/>
      <c r="C514" s="85"/>
      <c r="D514" s="1"/>
      <c r="E514" s="1"/>
      <c r="F514" s="1"/>
      <c r="G514" s="1"/>
      <c r="H514" s="1"/>
      <c r="I514" s="1"/>
      <c r="J514" s="15"/>
      <c r="K514" s="17"/>
      <c r="L514" s="17"/>
      <c r="M514" s="238"/>
      <c r="N514" s="242"/>
      <c r="O514" s="244"/>
      <c r="P514" s="17"/>
      <c r="Q514" s="210"/>
      <c r="R514" s="17"/>
      <c r="S514" s="15"/>
      <c r="T514" s="17"/>
      <c r="U514" s="17"/>
      <c r="V514" s="15"/>
      <c r="W514" s="15"/>
      <c r="X514" s="17"/>
      <c r="Y514" s="229"/>
      <c r="Z514" s="1"/>
      <c r="AA514" s="284"/>
      <c r="AB514" s="238"/>
      <c r="AC514" s="17"/>
      <c r="AD514" s="15"/>
      <c r="AE514" s="17"/>
      <c r="AF514" s="262"/>
      <c r="AG514" s="262"/>
      <c r="AH514" s="1"/>
      <c r="AI514" s="1"/>
      <c r="AJ514" s="1"/>
      <c r="AK514" s="1"/>
      <c r="AL514" s="1"/>
      <c r="AM514" s="1"/>
      <c r="AN514" s="1"/>
      <c r="AO514" s="1"/>
      <c r="AP514" s="1"/>
      <c r="AQ514" s="15"/>
      <c r="AR514" s="15"/>
      <c r="AS514" s="17"/>
      <c r="AT514" s="15"/>
      <c r="AU514" s="124"/>
      <c r="AV514" s="17"/>
      <c r="AW514" s="17"/>
      <c r="AX514" s="263"/>
      <c r="AY514" s="1"/>
      <c r="AZ514" s="1"/>
      <c r="BA514" s="297"/>
      <c r="BB514" s="1"/>
      <c r="BC514" s="11"/>
      <c r="BD514" s="11"/>
      <c r="BE514" s="214"/>
      <c r="BF514" s="268"/>
      <c r="BG514" s="1"/>
      <c r="BH514" s="210"/>
      <c r="BI514" s="60"/>
      <c r="BJ514" s="15"/>
      <c r="BK514" s="15"/>
      <c r="BL514" s="1"/>
      <c r="BM514" s="49" t="e">
        <f>IF(OR(#REF!="",#REF!="")=TRUE,"",NETWORKDAYS.INTL(#REF!,#REF!))</f>
        <v>#REF!</v>
      </c>
    </row>
    <row r="515" spans="1:65" x14ac:dyDescent="0.45">
      <c r="A515" s="13">
        <v>510</v>
      </c>
      <c r="B515" s="155"/>
      <c r="C515" s="85"/>
      <c r="D515" s="1"/>
      <c r="E515" s="1"/>
      <c r="F515" s="1"/>
      <c r="G515" s="1"/>
      <c r="H515" s="1"/>
      <c r="I515" s="1"/>
      <c r="J515" s="15"/>
      <c r="K515" s="17"/>
      <c r="L515" s="17"/>
      <c r="M515" s="238"/>
      <c r="N515" s="242"/>
      <c r="O515" s="244"/>
      <c r="P515" s="17"/>
      <c r="Q515" s="210"/>
      <c r="R515" s="17"/>
      <c r="S515" s="15"/>
      <c r="T515" s="17"/>
      <c r="U515" s="17"/>
      <c r="V515" s="15"/>
      <c r="W515" s="15"/>
      <c r="X515" s="17"/>
      <c r="Y515" s="229"/>
      <c r="Z515" s="1"/>
      <c r="AA515" s="284"/>
      <c r="AB515" s="238"/>
      <c r="AC515" s="17"/>
      <c r="AD515" s="15"/>
      <c r="AE515" s="17"/>
      <c r="AF515" s="262"/>
      <c r="AG515" s="262"/>
      <c r="AH515" s="1"/>
      <c r="AI515" s="1"/>
      <c r="AJ515" s="1"/>
      <c r="AK515" s="1"/>
      <c r="AL515" s="1"/>
      <c r="AM515" s="1"/>
      <c r="AN515" s="1"/>
      <c r="AO515" s="1"/>
      <c r="AP515" s="1"/>
      <c r="AQ515" s="15"/>
      <c r="AR515" s="15"/>
      <c r="AS515" s="17"/>
      <c r="AT515" s="15"/>
      <c r="AU515" s="124"/>
      <c r="AV515" s="17"/>
      <c r="AW515" s="17"/>
      <c r="AX515" s="263"/>
      <c r="AY515" s="1"/>
      <c r="AZ515" s="1"/>
      <c r="BA515" s="297"/>
      <c r="BB515" s="1"/>
      <c r="BC515" s="11"/>
      <c r="BD515" s="11"/>
      <c r="BE515" s="214"/>
      <c r="BF515" s="268"/>
      <c r="BG515" s="1"/>
      <c r="BH515" s="210"/>
      <c r="BI515" s="60"/>
      <c r="BJ515" s="15"/>
      <c r="BK515" s="15"/>
      <c r="BL515" s="1"/>
      <c r="BM515" s="49" t="e">
        <f>IF(OR(#REF!="",#REF!="")=TRUE,"",NETWORKDAYS.INTL(#REF!,#REF!))</f>
        <v>#REF!</v>
      </c>
    </row>
    <row r="516" spans="1:65" x14ac:dyDescent="0.45">
      <c r="A516" s="12">
        <v>511</v>
      </c>
      <c r="B516" s="150"/>
      <c r="C516" s="53"/>
      <c r="D516" s="1"/>
      <c r="E516" s="1"/>
      <c r="F516" s="1"/>
      <c r="G516" s="1"/>
      <c r="H516" s="1"/>
      <c r="I516" s="1"/>
      <c r="J516" s="15"/>
      <c r="K516" s="17"/>
      <c r="L516" s="17"/>
      <c r="M516" s="238"/>
      <c r="N516" s="242"/>
      <c r="O516" s="244"/>
      <c r="P516" s="17"/>
      <c r="Q516" s="210"/>
      <c r="R516" s="17"/>
      <c r="S516" s="15"/>
      <c r="T516" s="17"/>
      <c r="U516" s="17"/>
      <c r="V516" s="15"/>
      <c r="W516" s="15"/>
      <c r="X516" s="17"/>
      <c r="Y516" s="229"/>
      <c r="Z516" s="1"/>
      <c r="AA516" s="284"/>
      <c r="AB516" s="238"/>
      <c r="AC516" s="17"/>
      <c r="AD516" s="15"/>
      <c r="AE516" s="17"/>
      <c r="AF516" s="262"/>
      <c r="AG516" s="262"/>
      <c r="AH516" s="1"/>
      <c r="AI516" s="1"/>
      <c r="AJ516" s="1"/>
      <c r="AK516" s="1"/>
      <c r="AL516" s="1"/>
      <c r="AM516" s="1"/>
      <c r="AN516" s="1"/>
      <c r="AO516" s="1"/>
      <c r="AP516" s="1"/>
      <c r="AQ516" s="15"/>
      <c r="AR516" s="15"/>
      <c r="AS516" s="17"/>
      <c r="AT516" s="15"/>
      <c r="AU516" s="124"/>
      <c r="AV516" s="17"/>
      <c r="AW516" s="17"/>
      <c r="AX516" s="263"/>
      <c r="AY516" s="1"/>
      <c r="AZ516" s="1"/>
      <c r="BA516" s="297"/>
      <c r="BB516" s="1"/>
      <c r="BC516" s="11"/>
      <c r="BD516" s="11"/>
      <c r="BE516" s="214"/>
      <c r="BF516" s="268"/>
      <c r="BG516" s="1"/>
      <c r="BH516" s="210"/>
      <c r="BI516" s="60"/>
      <c r="BJ516" s="15"/>
      <c r="BK516" s="15"/>
      <c r="BL516" s="1"/>
      <c r="BM516" s="49" t="e">
        <f>IF(OR(#REF!="",#REF!="")=TRUE,"",NETWORKDAYS.INTL(#REF!,#REF!))</f>
        <v>#REF!</v>
      </c>
    </row>
    <row r="517" spans="1:65" x14ac:dyDescent="0.45">
      <c r="A517" s="13">
        <v>512</v>
      </c>
      <c r="B517" s="155"/>
      <c r="C517" s="85"/>
      <c r="D517" s="1"/>
      <c r="E517" s="1"/>
      <c r="F517" s="1"/>
      <c r="G517" s="1"/>
      <c r="H517" s="1"/>
      <c r="I517" s="1"/>
      <c r="J517" s="15"/>
      <c r="K517" s="17"/>
      <c r="L517" s="17"/>
      <c r="M517" s="238"/>
      <c r="N517" s="242"/>
      <c r="O517" s="244"/>
      <c r="P517" s="17"/>
      <c r="Q517" s="210"/>
      <c r="R517" s="17"/>
      <c r="S517" s="15"/>
      <c r="T517" s="17"/>
      <c r="U517" s="17"/>
      <c r="V517" s="15"/>
      <c r="W517" s="15"/>
      <c r="X517" s="17"/>
      <c r="Y517" s="229"/>
      <c r="Z517" s="1"/>
      <c r="AA517" s="284"/>
      <c r="AB517" s="238"/>
      <c r="AC517" s="17"/>
      <c r="AD517" s="15"/>
      <c r="AE517" s="17"/>
      <c r="AF517" s="262"/>
      <c r="AG517" s="262"/>
      <c r="AH517" s="1"/>
      <c r="AI517" s="1"/>
      <c r="AJ517" s="1"/>
      <c r="AK517" s="1"/>
      <c r="AL517" s="1"/>
      <c r="AM517" s="1"/>
      <c r="AN517" s="1"/>
      <c r="AO517" s="1"/>
      <c r="AP517" s="1"/>
      <c r="AQ517" s="15"/>
      <c r="AR517" s="15"/>
      <c r="AS517" s="17"/>
      <c r="AT517" s="15"/>
      <c r="AU517" s="124"/>
      <c r="AV517" s="17"/>
      <c r="AW517" s="17"/>
      <c r="AX517" s="263"/>
      <c r="AY517" s="1"/>
      <c r="AZ517" s="1"/>
      <c r="BA517" s="297"/>
      <c r="BB517" s="1"/>
      <c r="BC517" s="11"/>
      <c r="BD517" s="11"/>
      <c r="BE517" s="214"/>
      <c r="BF517" s="268"/>
      <c r="BG517" s="1"/>
      <c r="BH517" s="210"/>
      <c r="BI517" s="60"/>
      <c r="BJ517" s="15"/>
      <c r="BK517" s="15"/>
      <c r="BL517" s="1"/>
      <c r="BM517" s="49" t="e">
        <f>IF(OR(#REF!="",#REF!="")=TRUE,"",NETWORKDAYS.INTL(#REF!,#REF!))</f>
        <v>#REF!</v>
      </c>
    </row>
    <row r="518" spans="1:65" x14ac:dyDescent="0.45">
      <c r="A518" s="13">
        <v>513</v>
      </c>
      <c r="B518" s="155"/>
      <c r="C518" s="85"/>
      <c r="D518" s="1"/>
      <c r="E518" s="1"/>
      <c r="F518" s="1"/>
      <c r="G518" s="1"/>
      <c r="H518" s="1"/>
      <c r="I518" s="1"/>
      <c r="J518" s="15"/>
      <c r="K518" s="17"/>
      <c r="L518" s="17"/>
      <c r="M518" s="238"/>
      <c r="N518" s="242"/>
      <c r="O518" s="244"/>
      <c r="P518" s="17"/>
      <c r="Q518" s="210"/>
      <c r="R518" s="17"/>
      <c r="S518" s="15"/>
      <c r="T518" s="17"/>
      <c r="U518" s="17"/>
      <c r="V518" s="15"/>
      <c r="W518" s="15"/>
      <c r="X518" s="17"/>
      <c r="Y518" s="229"/>
      <c r="Z518" s="1"/>
      <c r="AA518" s="284"/>
      <c r="AB518" s="238"/>
      <c r="AC518" s="17"/>
      <c r="AD518" s="15"/>
      <c r="AE518" s="17"/>
      <c r="AF518" s="262"/>
      <c r="AG518" s="262"/>
      <c r="AH518" s="1"/>
      <c r="AI518" s="1"/>
      <c r="AJ518" s="1"/>
      <c r="AK518" s="1"/>
      <c r="AL518" s="1"/>
      <c r="AM518" s="1"/>
      <c r="AN518" s="1"/>
      <c r="AO518" s="1"/>
      <c r="AP518" s="1"/>
      <c r="AQ518" s="15"/>
      <c r="AR518" s="15"/>
      <c r="AS518" s="17"/>
      <c r="AT518" s="15"/>
      <c r="AU518" s="124"/>
      <c r="AV518" s="17"/>
      <c r="AW518" s="17"/>
      <c r="AX518" s="263"/>
      <c r="AY518" s="1"/>
      <c r="AZ518" s="1"/>
      <c r="BA518" s="297"/>
      <c r="BB518" s="1"/>
      <c r="BC518" s="11"/>
      <c r="BD518" s="11"/>
      <c r="BE518" s="214"/>
      <c r="BF518" s="268"/>
      <c r="BG518" s="1"/>
      <c r="BH518" s="210"/>
      <c r="BI518" s="60"/>
      <c r="BJ518" s="15"/>
      <c r="BK518" s="15"/>
      <c r="BL518" s="1"/>
      <c r="BM518" s="49" t="e">
        <f>IF(OR(#REF!="",#REF!="")=TRUE,"",NETWORKDAYS.INTL(#REF!,#REF!))</f>
        <v>#REF!</v>
      </c>
    </row>
    <row r="519" spans="1:65" x14ac:dyDescent="0.45">
      <c r="A519" s="12">
        <v>514</v>
      </c>
      <c r="B519" s="150"/>
      <c r="C519" s="53"/>
      <c r="D519" s="1"/>
      <c r="E519" s="1"/>
      <c r="F519" s="1"/>
      <c r="G519" s="1"/>
      <c r="H519" s="1"/>
      <c r="I519" s="1"/>
      <c r="J519" s="15"/>
      <c r="K519" s="17"/>
      <c r="L519" s="17"/>
      <c r="M519" s="238"/>
      <c r="N519" s="242"/>
      <c r="O519" s="244"/>
      <c r="P519" s="17"/>
      <c r="Q519" s="210"/>
      <c r="R519" s="17"/>
      <c r="S519" s="15"/>
      <c r="T519" s="17"/>
      <c r="U519" s="17"/>
      <c r="V519" s="15"/>
      <c r="W519" s="15"/>
      <c r="X519" s="17"/>
      <c r="Y519" s="229"/>
      <c r="Z519" s="1"/>
      <c r="AA519" s="284"/>
      <c r="AB519" s="238"/>
      <c r="AC519" s="17"/>
      <c r="AD519" s="15"/>
      <c r="AE519" s="17"/>
      <c r="AF519" s="262"/>
      <c r="AG519" s="262"/>
      <c r="AH519" s="1"/>
      <c r="AI519" s="1"/>
      <c r="AJ519" s="1"/>
      <c r="AK519" s="1"/>
      <c r="AL519" s="1"/>
      <c r="AM519" s="1"/>
      <c r="AN519" s="1"/>
      <c r="AO519" s="1"/>
      <c r="AP519" s="1"/>
      <c r="AQ519" s="15"/>
      <c r="AR519" s="15"/>
      <c r="AS519" s="17"/>
      <c r="AT519" s="15"/>
      <c r="AU519" s="124"/>
      <c r="AV519" s="17"/>
      <c r="AW519" s="17"/>
      <c r="AX519" s="263"/>
      <c r="AY519" s="1"/>
      <c r="AZ519" s="1"/>
      <c r="BA519" s="297"/>
      <c r="BB519" s="1"/>
      <c r="BC519" s="11"/>
      <c r="BD519" s="11"/>
      <c r="BE519" s="214"/>
      <c r="BF519" s="268"/>
      <c r="BG519" s="1"/>
      <c r="BH519" s="210"/>
      <c r="BI519" s="60"/>
      <c r="BJ519" s="15"/>
      <c r="BK519" s="15"/>
      <c r="BL519" s="1"/>
      <c r="BM519" s="49" t="e">
        <f>IF(OR(#REF!="",#REF!="")=TRUE,"",NETWORKDAYS.INTL(#REF!,#REF!))</f>
        <v>#REF!</v>
      </c>
    </row>
    <row r="520" spans="1:65" x14ac:dyDescent="0.45">
      <c r="A520" s="13">
        <v>515</v>
      </c>
      <c r="B520" s="155"/>
      <c r="C520" s="85"/>
      <c r="D520" s="1"/>
      <c r="E520" s="1"/>
      <c r="F520" s="1"/>
      <c r="G520" s="1"/>
      <c r="H520" s="1"/>
      <c r="I520" s="1"/>
      <c r="J520" s="15"/>
      <c r="K520" s="17"/>
      <c r="L520" s="17"/>
      <c r="M520" s="238"/>
      <c r="N520" s="242"/>
      <c r="O520" s="244"/>
      <c r="P520" s="17"/>
      <c r="Q520" s="210"/>
      <c r="R520" s="17"/>
      <c r="S520" s="15"/>
      <c r="T520" s="17"/>
      <c r="U520" s="17"/>
      <c r="V520" s="15"/>
      <c r="W520" s="15"/>
      <c r="X520" s="17"/>
      <c r="Y520" s="229"/>
      <c r="Z520" s="1"/>
      <c r="AA520" s="284"/>
      <c r="AB520" s="238"/>
      <c r="AC520" s="17"/>
      <c r="AD520" s="15"/>
      <c r="AE520" s="17"/>
      <c r="AF520" s="262"/>
      <c r="AG520" s="262"/>
      <c r="AH520" s="1"/>
      <c r="AI520" s="1"/>
      <c r="AJ520" s="1"/>
      <c r="AK520" s="1"/>
      <c r="AL520" s="1"/>
      <c r="AM520" s="1"/>
      <c r="AN520" s="1"/>
      <c r="AO520" s="1"/>
      <c r="AP520" s="1"/>
      <c r="AQ520" s="15"/>
      <c r="AR520" s="15"/>
      <c r="AS520" s="17"/>
      <c r="AT520" s="15"/>
      <c r="AU520" s="124"/>
      <c r="AV520" s="17"/>
      <c r="AW520" s="17"/>
      <c r="AX520" s="263"/>
      <c r="AY520" s="1"/>
      <c r="AZ520" s="1"/>
      <c r="BA520" s="297"/>
      <c r="BB520" s="1"/>
      <c r="BC520" s="11"/>
      <c r="BD520" s="11"/>
      <c r="BE520" s="214"/>
      <c r="BF520" s="268"/>
      <c r="BG520" s="1"/>
      <c r="BH520" s="210"/>
      <c r="BI520" s="60"/>
      <c r="BJ520" s="15"/>
      <c r="BK520" s="15"/>
      <c r="BL520" s="1"/>
      <c r="BM520" s="49" t="e">
        <f>IF(OR(#REF!="",#REF!="")=TRUE,"",NETWORKDAYS.INTL(#REF!,#REF!))</f>
        <v>#REF!</v>
      </c>
    </row>
    <row r="521" spans="1:65" x14ac:dyDescent="0.45">
      <c r="A521" s="13">
        <v>516</v>
      </c>
      <c r="B521" s="155"/>
      <c r="C521" s="85"/>
      <c r="D521" s="1"/>
      <c r="E521" s="1"/>
      <c r="F521" s="1"/>
      <c r="G521" s="1"/>
      <c r="H521" s="1"/>
      <c r="I521" s="1"/>
      <c r="J521" s="15"/>
      <c r="K521" s="17"/>
      <c r="L521" s="17"/>
      <c r="M521" s="238"/>
      <c r="N521" s="242"/>
      <c r="O521" s="244"/>
      <c r="P521" s="17"/>
      <c r="Q521" s="210"/>
      <c r="R521" s="17"/>
      <c r="S521" s="15"/>
      <c r="T521" s="17"/>
      <c r="U521" s="17"/>
      <c r="V521" s="15"/>
      <c r="W521" s="15"/>
      <c r="X521" s="17"/>
      <c r="Y521" s="229"/>
      <c r="Z521" s="1"/>
      <c r="AA521" s="284"/>
      <c r="AB521" s="238"/>
      <c r="AC521" s="17"/>
      <c r="AD521" s="15"/>
      <c r="AE521" s="17"/>
      <c r="AF521" s="262"/>
      <c r="AG521" s="262"/>
      <c r="AH521" s="1"/>
      <c r="AI521" s="1"/>
      <c r="AJ521" s="1"/>
      <c r="AK521" s="1"/>
      <c r="AL521" s="1"/>
      <c r="AM521" s="1"/>
      <c r="AN521" s="1"/>
      <c r="AO521" s="1"/>
      <c r="AP521" s="1"/>
      <c r="AQ521" s="15"/>
      <c r="AR521" s="15"/>
      <c r="AS521" s="17"/>
      <c r="AT521" s="15"/>
      <c r="AU521" s="124"/>
      <c r="AV521" s="17"/>
      <c r="AW521" s="17"/>
      <c r="AX521" s="263"/>
      <c r="AY521" s="1"/>
      <c r="AZ521" s="1"/>
      <c r="BA521" s="297"/>
      <c r="BB521" s="1"/>
      <c r="BC521" s="11"/>
      <c r="BD521" s="11"/>
      <c r="BE521" s="214"/>
      <c r="BF521" s="268"/>
      <c r="BG521" s="1"/>
      <c r="BH521" s="210"/>
      <c r="BI521" s="60"/>
      <c r="BJ521" s="15"/>
      <c r="BK521" s="15"/>
      <c r="BL521" s="1"/>
      <c r="BM521" s="49" t="e">
        <f>IF(OR(#REF!="",#REF!="")=TRUE,"",NETWORKDAYS.INTL(#REF!,#REF!))</f>
        <v>#REF!</v>
      </c>
    </row>
    <row r="522" spans="1:65" x14ac:dyDescent="0.45">
      <c r="A522" s="12">
        <v>517</v>
      </c>
      <c r="B522" s="150"/>
      <c r="C522" s="53"/>
      <c r="D522" s="1"/>
      <c r="E522" s="1"/>
      <c r="F522" s="1"/>
      <c r="G522" s="1"/>
      <c r="H522" s="1"/>
      <c r="I522" s="1"/>
      <c r="J522" s="15"/>
      <c r="K522" s="17"/>
      <c r="L522" s="17"/>
      <c r="M522" s="238"/>
      <c r="N522" s="242"/>
      <c r="O522" s="244"/>
      <c r="P522" s="17"/>
      <c r="Q522" s="210"/>
      <c r="R522" s="17"/>
      <c r="S522" s="15"/>
      <c r="T522" s="17"/>
      <c r="U522" s="17"/>
      <c r="V522" s="15"/>
      <c r="W522" s="15"/>
      <c r="X522" s="17"/>
      <c r="Y522" s="229"/>
      <c r="Z522" s="1"/>
      <c r="AA522" s="284"/>
      <c r="AB522" s="238"/>
      <c r="AC522" s="17"/>
      <c r="AD522" s="15"/>
      <c r="AE522" s="17"/>
      <c r="AF522" s="262"/>
      <c r="AG522" s="262"/>
      <c r="AH522" s="1"/>
      <c r="AI522" s="1"/>
      <c r="AJ522" s="1"/>
      <c r="AK522" s="1"/>
      <c r="AL522" s="1"/>
      <c r="AM522" s="1"/>
      <c r="AN522" s="1"/>
      <c r="AO522" s="1"/>
      <c r="AP522" s="1"/>
      <c r="AQ522" s="15"/>
      <c r="AR522" s="15"/>
      <c r="AS522" s="17"/>
      <c r="AT522" s="15"/>
      <c r="AU522" s="124"/>
      <c r="AV522" s="17"/>
      <c r="AW522" s="17"/>
      <c r="AX522" s="263"/>
      <c r="AY522" s="1"/>
      <c r="AZ522" s="1"/>
      <c r="BA522" s="297"/>
      <c r="BB522" s="1"/>
      <c r="BC522" s="11"/>
      <c r="BD522" s="11"/>
      <c r="BE522" s="214"/>
      <c r="BF522" s="268"/>
      <c r="BG522" s="1"/>
      <c r="BH522" s="210"/>
      <c r="BI522" s="60"/>
      <c r="BJ522" s="15"/>
      <c r="BK522" s="15"/>
      <c r="BL522" s="1"/>
      <c r="BM522" s="49" t="e">
        <f>IF(OR(#REF!="",#REF!="")=TRUE,"",NETWORKDAYS.INTL(#REF!,#REF!))</f>
        <v>#REF!</v>
      </c>
    </row>
    <row r="523" spans="1:65" x14ac:dyDescent="0.45">
      <c r="A523" s="13">
        <v>518</v>
      </c>
      <c r="B523" s="155"/>
      <c r="C523" s="85"/>
      <c r="D523" s="1"/>
      <c r="E523" s="1"/>
      <c r="F523" s="1"/>
      <c r="G523" s="1"/>
      <c r="H523" s="1"/>
      <c r="I523" s="1"/>
      <c r="J523" s="15"/>
      <c r="K523" s="17"/>
      <c r="L523" s="17"/>
      <c r="M523" s="238"/>
      <c r="N523" s="242"/>
      <c r="O523" s="244"/>
      <c r="P523" s="17"/>
      <c r="Q523" s="210"/>
      <c r="R523" s="17"/>
      <c r="S523" s="15"/>
      <c r="T523" s="17"/>
      <c r="U523" s="17"/>
      <c r="V523" s="15"/>
      <c r="W523" s="15"/>
      <c r="X523" s="17"/>
      <c r="Y523" s="229"/>
      <c r="Z523" s="1"/>
      <c r="AA523" s="284"/>
      <c r="AB523" s="238"/>
      <c r="AC523" s="17"/>
      <c r="AD523" s="15"/>
      <c r="AE523" s="17"/>
      <c r="AF523" s="262"/>
      <c r="AG523" s="262"/>
      <c r="AH523" s="1"/>
      <c r="AI523" s="1"/>
      <c r="AJ523" s="1"/>
      <c r="AK523" s="1"/>
      <c r="AL523" s="1"/>
      <c r="AM523" s="1"/>
      <c r="AN523" s="1"/>
      <c r="AO523" s="1"/>
      <c r="AP523" s="1"/>
      <c r="AQ523" s="15"/>
      <c r="AR523" s="15"/>
      <c r="AS523" s="17"/>
      <c r="AT523" s="15"/>
      <c r="AU523" s="124"/>
      <c r="AV523" s="17"/>
      <c r="AW523" s="17"/>
      <c r="AX523" s="263"/>
      <c r="AY523" s="1"/>
      <c r="AZ523" s="1"/>
      <c r="BA523" s="297"/>
      <c r="BB523" s="1"/>
      <c r="BC523" s="11"/>
      <c r="BD523" s="11"/>
      <c r="BE523" s="214"/>
      <c r="BF523" s="268"/>
      <c r="BG523" s="1"/>
      <c r="BH523" s="210"/>
      <c r="BI523" s="60"/>
      <c r="BJ523" s="15"/>
      <c r="BK523" s="15"/>
      <c r="BL523" s="1"/>
      <c r="BM523" s="49" t="e">
        <f>IF(OR(#REF!="",#REF!="")=TRUE,"",NETWORKDAYS.INTL(#REF!,#REF!))</f>
        <v>#REF!</v>
      </c>
    </row>
    <row r="524" spans="1:65" x14ac:dyDescent="0.45">
      <c r="A524" s="13">
        <v>519</v>
      </c>
      <c r="B524" s="155"/>
      <c r="C524" s="85"/>
      <c r="D524" s="1"/>
      <c r="E524" s="1"/>
      <c r="F524" s="1"/>
      <c r="G524" s="1"/>
      <c r="H524" s="1"/>
      <c r="I524" s="1"/>
      <c r="J524" s="15"/>
      <c r="K524" s="17"/>
      <c r="L524" s="17"/>
      <c r="M524" s="238"/>
      <c r="N524" s="242"/>
      <c r="O524" s="244"/>
      <c r="P524" s="17"/>
      <c r="Q524" s="210"/>
      <c r="R524" s="17"/>
      <c r="S524" s="15"/>
      <c r="T524" s="17"/>
      <c r="U524" s="17"/>
      <c r="V524" s="15"/>
      <c r="W524" s="15"/>
      <c r="X524" s="17"/>
      <c r="Y524" s="229"/>
      <c r="Z524" s="1"/>
      <c r="AA524" s="284"/>
      <c r="AB524" s="238"/>
      <c r="AC524" s="17"/>
      <c r="AD524" s="15"/>
      <c r="AE524" s="17"/>
      <c r="AF524" s="262"/>
      <c r="AG524" s="262"/>
      <c r="AH524" s="1"/>
      <c r="AI524" s="1"/>
      <c r="AJ524" s="1"/>
      <c r="AK524" s="1"/>
      <c r="AL524" s="1"/>
      <c r="AM524" s="1"/>
      <c r="AN524" s="1"/>
      <c r="AO524" s="1"/>
      <c r="AP524" s="1"/>
      <c r="AQ524" s="15"/>
      <c r="AR524" s="15"/>
      <c r="AS524" s="17"/>
      <c r="AT524" s="15"/>
      <c r="AU524" s="124"/>
      <c r="AV524" s="17"/>
      <c r="AW524" s="17"/>
      <c r="AX524" s="263"/>
      <c r="AY524" s="1"/>
      <c r="AZ524" s="1"/>
      <c r="BA524" s="297"/>
      <c r="BB524" s="1"/>
      <c r="BC524" s="11"/>
      <c r="BD524" s="11"/>
      <c r="BE524" s="214"/>
      <c r="BF524" s="268"/>
      <c r="BG524" s="1"/>
      <c r="BH524" s="210"/>
      <c r="BI524" s="60"/>
      <c r="BJ524" s="15"/>
      <c r="BK524" s="15"/>
      <c r="BL524" s="1"/>
      <c r="BM524" s="49" t="e">
        <f>IF(OR(#REF!="",#REF!="")=TRUE,"",NETWORKDAYS.INTL(#REF!,#REF!))</f>
        <v>#REF!</v>
      </c>
    </row>
    <row r="525" spans="1:65" x14ac:dyDescent="0.45">
      <c r="A525" s="12">
        <v>520</v>
      </c>
      <c r="B525" s="150"/>
      <c r="C525" s="53"/>
      <c r="D525" s="1"/>
      <c r="E525" s="1"/>
      <c r="F525" s="1"/>
      <c r="G525" s="1"/>
      <c r="H525" s="1"/>
      <c r="I525" s="1"/>
      <c r="J525" s="15"/>
      <c r="K525" s="17"/>
      <c r="L525" s="17"/>
      <c r="M525" s="238"/>
      <c r="N525" s="242"/>
      <c r="O525" s="244"/>
      <c r="P525" s="17"/>
      <c r="Q525" s="210"/>
      <c r="R525" s="17"/>
      <c r="S525" s="15"/>
      <c r="T525" s="17"/>
      <c r="U525" s="17"/>
      <c r="V525" s="15"/>
      <c r="W525" s="15"/>
      <c r="X525" s="17"/>
      <c r="Y525" s="229"/>
      <c r="Z525" s="1"/>
      <c r="AA525" s="284"/>
      <c r="AB525" s="238"/>
      <c r="AC525" s="17"/>
      <c r="AD525" s="15"/>
      <c r="AE525" s="17"/>
      <c r="AF525" s="262"/>
      <c r="AG525" s="262"/>
      <c r="AH525" s="1"/>
      <c r="AI525" s="1"/>
      <c r="AJ525" s="1"/>
      <c r="AK525" s="1"/>
      <c r="AL525" s="1"/>
      <c r="AM525" s="1"/>
      <c r="AN525" s="1"/>
      <c r="AO525" s="1"/>
      <c r="AP525" s="1"/>
      <c r="AQ525" s="15"/>
      <c r="AR525" s="15"/>
      <c r="AS525" s="17"/>
      <c r="AT525" s="15"/>
      <c r="AU525" s="124"/>
      <c r="AV525" s="17"/>
      <c r="AW525" s="17"/>
      <c r="AX525" s="263"/>
      <c r="AY525" s="1"/>
      <c r="AZ525" s="1"/>
      <c r="BA525" s="297"/>
      <c r="BB525" s="1"/>
      <c r="BC525" s="11"/>
      <c r="BD525" s="11"/>
      <c r="BE525" s="214"/>
      <c r="BF525" s="268"/>
      <c r="BG525" s="1"/>
      <c r="BH525" s="210"/>
      <c r="BI525" s="60"/>
      <c r="BJ525" s="15"/>
      <c r="BK525" s="15"/>
      <c r="BL525" s="1"/>
      <c r="BM525" s="49" t="e">
        <f>IF(OR(#REF!="",#REF!="")=TRUE,"",NETWORKDAYS.INTL(#REF!,#REF!))</f>
        <v>#REF!</v>
      </c>
    </row>
    <row r="526" spans="1:65" x14ac:dyDescent="0.45">
      <c r="A526" s="13">
        <v>521</v>
      </c>
      <c r="B526" s="155"/>
      <c r="C526" s="85"/>
      <c r="D526" s="1"/>
      <c r="E526" s="1"/>
      <c r="F526" s="1"/>
      <c r="G526" s="1"/>
      <c r="H526" s="1"/>
      <c r="I526" s="1"/>
      <c r="J526" s="15"/>
      <c r="K526" s="17"/>
      <c r="L526" s="17"/>
      <c r="M526" s="238"/>
      <c r="N526" s="242"/>
      <c r="O526" s="244"/>
      <c r="P526" s="17"/>
      <c r="Q526" s="210"/>
      <c r="R526" s="17"/>
      <c r="S526" s="15"/>
      <c r="T526" s="17"/>
      <c r="U526" s="17"/>
      <c r="V526" s="15"/>
      <c r="W526" s="15"/>
      <c r="X526" s="17"/>
      <c r="Y526" s="229"/>
      <c r="Z526" s="1"/>
      <c r="AA526" s="284"/>
      <c r="AB526" s="238"/>
      <c r="AC526" s="17"/>
      <c r="AD526" s="15"/>
      <c r="AE526" s="17"/>
      <c r="AF526" s="262"/>
      <c r="AG526" s="262"/>
      <c r="AH526" s="1"/>
      <c r="AI526" s="1"/>
      <c r="AJ526" s="1"/>
      <c r="AK526" s="1"/>
      <c r="AL526" s="1"/>
      <c r="AM526" s="1"/>
      <c r="AN526" s="1"/>
      <c r="AO526" s="1"/>
      <c r="AP526" s="1"/>
      <c r="AQ526" s="15"/>
      <c r="AR526" s="15"/>
      <c r="AS526" s="17"/>
      <c r="AT526" s="15"/>
      <c r="AU526" s="124"/>
      <c r="AV526" s="17"/>
      <c r="AW526" s="17"/>
      <c r="AX526" s="263"/>
      <c r="AY526" s="1"/>
      <c r="AZ526" s="1"/>
      <c r="BA526" s="297"/>
      <c r="BB526" s="1"/>
      <c r="BC526" s="11"/>
      <c r="BD526" s="11"/>
      <c r="BE526" s="214"/>
      <c r="BF526" s="268"/>
      <c r="BG526" s="1"/>
      <c r="BH526" s="210"/>
      <c r="BI526" s="60"/>
      <c r="BJ526" s="15"/>
      <c r="BK526" s="15"/>
      <c r="BL526" s="1"/>
      <c r="BM526" s="49" t="e">
        <f>IF(OR(#REF!="",#REF!="")=TRUE,"",NETWORKDAYS.INTL(#REF!,#REF!))</f>
        <v>#REF!</v>
      </c>
    </row>
    <row r="527" spans="1:65" x14ac:dyDescent="0.45">
      <c r="A527" s="13">
        <v>522</v>
      </c>
      <c r="B527" s="155"/>
      <c r="C527" s="85"/>
      <c r="D527" s="1"/>
      <c r="E527" s="1"/>
      <c r="F527" s="1"/>
      <c r="G527" s="1"/>
      <c r="H527" s="1"/>
      <c r="I527" s="1"/>
      <c r="J527" s="15"/>
      <c r="K527" s="17"/>
      <c r="L527" s="17"/>
      <c r="M527" s="238"/>
      <c r="N527" s="242"/>
      <c r="O527" s="244"/>
      <c r="P527" s="17"/>
      <c r="Q527" s="210"/>
      <c r="R527" s="17"/>
      <c r="S527" s="15"/>
      <c r="T527" s="17"/>
      <c r="U527" s="17"/>
      <c r="V527" s="15"/>
      <c r="W527" s="15"/>
      <c r="X527" s="17"/>
      <c r="Y527" s="229"/>
      <c r="Z527" s="1"/>
      <c r="AA527" s="284"/>
      <c r="AB527" s="238"/>
      <c r="AC527" s="17"/>
      <c r="AD527" s="15"/>
      <c r="AE527" s="17"/>
      <c r="AF527" s="262"/>
      <c r="AG527" s="262"/>
      <c r="AH527" s="1"/>
      <c r="AI527" s="1"/>
      <c r="AJ527" s="1"/>
      <c r="AK527" s="1"/>
      <c r="AL527" s="1"/>
      <c r="AM527" s="1"/>
      <c r="AN527" s="1"/>
      <c r="AO527" s="1"/>
      <c r="AP527" s="1"/>
      <c r="AQ527" s="15"/>
      <c r="AR527" s="15"/>
      <c r="AS527" s="17"/>
      <c r="AT527" s="15"/>
      <c r="AU527" s="124"/>
      <c r="AV527" s="17"/>
      <c r="AW527" s="17"/>
      <c r="AX527" s="263"/>
      <c r="AY527" s="1"/>
      <c r="AZ527" s="1"/>
      <c r="BA527" s="297"/>
      <c r="BB527" s="1"/>
      <c r="BC527" s="11"/>
      <c r="BD527" s="11"/>
      <c r="BE527" s="214"/>
      <c r="BF527" s="268"/>
      <c r="BG527" s="1"/>
      <c r="BH527" s="210"/>
      <c r="BI527" s="60"/>
      <c r="BJ527" s="15"/>
      <c r="BK527" s="15"/>
      <c r="BL527" s="1"/>
      <c r="BM527" s="49" t="e">
        <f>IF(OR(#REF!="",#REF!="")=TRUE,"",NETWORKDAYS.INTL(#REF!,#REF!))</f>
        <v>#REF!</v>
      </c>
    </row>
    <row r="528" spans="1:65" x14ac:dyDescent="0.45">
      <c r="A528" s="12">
        <v>523</v>
      </c>
      <c r="B528" s="150"/>
      <c r="C528" s="53"/>
      <c r="D528" s="1"/>
      <c r="E528" s="1"/>
      <c r="F528" s="1"/>
      <c r="G528" s="1"/>
      <c r="H528" s="1"/>
      <c r="I528" s="1"/>
      <c r="J528" s="15"/>
      <c r="K528" s="17"/>
      <c r="L528" s="17"/>
      <c r="M528" s="238"/>
      <c r="N528" s="242"/>
      <c r="O528" s="244"/>
      <c r="P528" s="17"/>
      <c r="Q528" s="210"/>
      <c r="R528" s="17"/>
      <c r="S528" s="15"/>
      <c r="T528" s="17"/>
      <c r="U528" s="17"/>
      <c r="V528" s="15"/>
      <c r="W528" s="15"/>
      <c r="X528" s="17"/>
      <c r="Y528" s="229"/>
      <c r="Z528" s="1"/>
      <c r="AA528" s="284"/>
      <c r="AB528" s="238"/>
      <c r="AC528" s="17"/>
      <c r="AD528" s="15"/>
      <c r="AE528" s="17"/>
      <c r="AF528" s="262"/>
      <c r="AG528" s="262"/>
      <c r="AH528" s="1"/>
      <c r="AI528" s="1"/>
      <c r="AJ528" s="1"/>
      <c r="AK528" s="1"/>
      <c r="AL528" s="1"/>
      <c r="AM528" s="1"/>
      <c r="AN528" s="1"/>
      <c r="AO528" s="1"/>
      <c r="AP528" s="1"/>
      <c r="AQ528" s="15"/>
      <c r="AR528" s="15"/>
      <c r="AS528" s="17"/>
      <c r="AT528" s="15"/>
      <c r="AU528" s="124"/>
      <c r="AV528" s="17"/>
      <c r="AW528" s="17"/>
      <c r="AX528" s="263"/>
      <c r="AY528" s="1"/>
      <c r="AZ528" s="1"/>
      <c r="BA528" s="297"/>
      <c r="BB528" s="1"/>
      <c r="BC528" s="11"/>
      <c r="BD528" s="11"/>
      <c r="BE528" s="214"/>
      <c r="BF528" s="268"/>
      <c r="BG528" s="1"/>
      <c r="BH528" s="210"/>
      <c r="BI528" s="60"/>
      <c r="BJ528" s="15"/>
      <c r="BK528" s="15"/>
      <c r="BL528" s="1"/>
      <c r="BM528" s="49" t="e">
        <f>IF(OR(#REF!="",#REF!="")=TRUE,"",NETWORKDAYS.INTL(#REF!,#REF!))</f>
        <v>#REF!</v>
      </c>
    </row>
    <row r="529" spans="1:65" x14ac:dyDescent="0.45">
      <c r="A529" s="13">
        <v>524</v>
      </c>
      <c r="B529" s="155"/>
      <c r="C529" s="85"/>
      <c r="D529" s="1"/>
      <c r="E529" s="1"/>
      <c r="F529" s="1"/>
      <c r="G529" s="1"/>
      <c r="H529" s="1"/>
      <c r="I529" s="1"/>
      <c r="J529" s="15"/>
      <c r="K529" s="17"/>
      <c r="L529" s="17"/>
      <c r="M529" s="238"/>
      <c r="N529" s="242"/>
      <c r="O529" s="244"/>
      <c r="P529" s="17"/>
      <c r="Q529" s="210"/>
      <c r="R529" s="17"/>
      <c r="S529" s="15"/>
      <c r="T529" s="17"/>
      <c r="U529" s="17"/>
      <c r="V529" s="15"/>
      <c r="W529" s="15"/>
      <c r="X529" s="17"/>
      <c r="Y529" s="229"/>
      <c r="Z529" s="1"/>
      <c r="AA529" s="284"/>
      <c r="AB529" s="238"/>
      <c r="AC529" s="17"/>
      <c r="AD529" s="15"/>
      <c r="AE529" s="17"/>
      <c r="AF529" s="262"/>
      <c r="AG529" s="262"/>
      <c r="AH529" s="1"/>
      <c r="AI529" s="1"/>
      <c r="AJ529" s="1"/>
      <c r="AK529" s="1"/>
      <c r="AL529" s="1"/>
      <c r="AM529" s="1"/>
      <c r="AN529" s="1"/>
      <c r="AO529" s="1"/>
      <c r="AP529" s="1"/>
      <c r="AQ529" s="15"/>
      <c r="AR529" s="15"/>
      <c r="AS529" s="17"/>
      <c r="AT529" s="15"/>
      <c r="AU529" s="124"/>
      <c r="AV529" s="17"/>
      <c r="AW529" s="17"/>
      <c r="AX529" s="263"/>
      <c r="AY529" s="1"/>
      <c r="AZ529" s="1"/>
      <c r="BA529" s="297"/>
      <c r="BB529" s="1"/>
      <c r="BC529" s="11"/>
      <c r="BD529" s="11"/>
      <c r="BE529" s="214"/>
      <c r="BF529" s="268"/>
      <c r="BG529" s="1"/>
      <c r="BH529" s="210"/>
      <c r="BI529" s="60"/>
      <c r="BJ529" s="15"/>
      <c r="BK529" s="15"/>
      <c r="BL529" s="1"/>
      <c r="BM529" s="49" t="e">
        <f>IF(OR(#REF!="",#REF!="")=TRUE,"",NETWORKDAYS.INTL(#REF!,#REF!))</f>
        <v>#REF!</v>
      </c>
    </row>
    <row r="530" spans="1:65" x14ac:dyDescent="0.45">
      <c r="A530" s="13">
        <v>525</v>
      </c>
      <c r="B530" s="155"/>
      <c r="C530" s="85"/>
      <c r="D530" s="1"/>
      <c r="E530" s="1"/>
      <c r="F530" s="1"/>
      <c r="G530" s="1"/>
      <c r="H530" s="1"/>
      <c r="I530" s="1"/>
      <c r="J530" s="15"/>
      <c r="K530" s="17"/>
      <c r="L530" s="17"/>
      <c r="M530" s="238"/>
      <c r="N530" s="242"/>
      <c r="O530" s="244"/>
      <c r="P530" s="17"/>
      <c r="Q530" s="210"/>
      <c r="R530" s="17"/>
      <c r="S530" s="15"/>
      <c r="T530" s="17"/>
      <c r="U530" s="17"/>
      <c r="V530" s="15"/>
      <c r="W530" s="15"/>
      <c r="X530" s="17"/>
      <c r="Y530" s="229"/>
      <c r="Z530" s="1"/>
      <c r="AA530" s="284"/>
      <c r="AB530" s="238"/>
      <c r="AC530" s="17"/>
      <c r="AD530" s="15"/>
      <c r="AE530" s="17"/>
      <c r="AF530" s="262"/>
      <c r="AG530" s="262"/>
      <c r="AH530" s="1"/>
      <c r="AI530" s="1"/>
      <c r="AJ530" s="1"/>
      <c r="AK530" s="1"/>
      <c r="AL530" s="1"/>
      <c r="AM530" s="1"/>
      <c r="AN530" s="1"/>
      <c r="AO530" s="1"/>
      <c r="AP530" s="1"/>
      <c r="AQ530" s="15"/>
      <c r="AR530" s="15"/>
      <c r="AS530" s="17"/>
      <c r="AT530" s="15"/>
      <c r="AU530" s="124"/>
      <c r="AV530" s="17"/>
      <c r="AW530" s="17"/>
      <c r="AX530" s="263"/>
      <c r="AY530" s="1"/>
      <c r="AZ530" s="1"/>
      <c r="BA530" s="297"/>
      <c r="BB530" s="1"/>
      <c r="BC530" s="11"/>
      <c r="BD530" s="11"/>
      <c r="BE530" s="214"/>
      <c r="BF530" s="268"/>
      <c r="BG530" s="1"/>
      <c r="BH530" s="210"/>
      <c r="BI530" s="60"/>
      <c r="BJ530" s="15"/>
      <c r="BK530" s="15"/>
      <c r="BL530" s="1"/>
      <c r="BM530" s="49" t="e">
        <f>IF(OR(#REF!="",#REF!="")=TRUE,"",NETWORKDAYS.INTL(#REF!,#REF!))</f>
        <v>#REF!</v>
      </c>
    </row>
    <row r="531" spans="1:65" x14ac:dyDescent="0.45">
      <c r="A531" s="12">
        <v>526</v>
      </c>
      <c r="B531" s="150"/>
      <c r="C531" s="53"/>
      <c r="D531" s="1"/>
      <c r="E531" s="1"/>
      <c r="F531" s="1"/>
      <c r="G531" s="1"/>
      <c r="H531" s="1"/>
      <c r="I531" s="1"/>
      <c r="J531" s="15"/>
      <c r="K531" s="17"/>
      <c r="L531" s="17"/>
      <c r="M531" s="238"/>
      <c r="N531" s="242"/>
      <c r="O531" s="244"/>
      <c r="P531" s="17"/>
      <c r="Q531" s="210"/>
      <c r="R531" s="17"/>
      <c r="S531" s="15"/>
      <c r="T531" s="17"/>
      <c r="U531" s="17"/>
      <c r="V531" s="15"/>
      <c r="W531" s="15"/>
      <c r="X531" s="17"/>
      <c r="Y531" s="229"/>
      <c r="Z531" s="1"/>
      <c r="AA531" s="284"/>
      <c r="AB531" s="238"/>
      <c r="AC531" s="17"/>
      <c r="AD531" s="15"/>
      <c r="AE531" s="17"/>
      <c r="AF531" s="262"/>
      <c r="AG531" s="262"/>
      <c r="AH531" s="1"/>
      <c r="AI531" s="1"/>
      <c r="AJ531" s="1"/>
      <c r="AK531" s="1"/>
      <c r="AL531" s="1"/>
      <c r="AM531" s="1"/>
      <c r="AN531" s="1"/>
      <c r="AO531" s="1"/>
      <c r="AP531" s="1"/>
      <c r="AQ531" s="15"/>
      <c r="AR531" s="15"/>
      <c r="AS531" s="17"/>
      <c r="AT531" s="15"/>
      <c r="AU531" s="124"/>
      <c r="AV531" s="17"/>
      <c r="AW531" s="17"/>
      <c r="AX531" s="263"/>
      <c r="AY531" s="1"/>
      <c r="AZ531" s="1"/>
      <c r="BA531" s="297"/>
      <c r="BB531" s="1"/>
      <c r="BC531" s="11"/>
      <c r="BD531" s="11"/>
      <c r="BE531" s="214"/>
      <c r="BF531" s="268"/>
      <c r="BG531" s="1"/>
      <c r="BH531" s="210"/>
      <c r="BI531" s="60"/>
      <c r="BJ531" s="15"/>
      <c r="BK531" s="15"/>
      <c r="BL531" s="1"/>
      <c r="BM531" s="49" t="e">
        <f>IF(OR(#REF!="",#REF!="")=TRUE,"",NETWORKDAYS.INTL(#REF!,#REF!))</f>
        <v>#REF!</v>
      </c>
    </row>
    <row r="532" spans="1:65" x14ac:dyDescent="0.45">
      <c r="A532" s="13">
        <v>527</v>
      </c>
      <c r="B532" s="155"/>
      <c r="C532" s="85"/>
      <c r="D532" s="1"/>
      <c r="E532" s="1"/>
      <c r="F532" s="1"/>
      <c r="G532" s="1"/>
      <c r="H532" s="1"/>
      <c r="I532" s="1"/>
      <c r="J532" s="15"/>
      <c r="K532" s="17"/>
      <c r="L532" s="17"/>
      <c r="M532" s="238"/>
      <c r="N532" s="242"/>
      <c r="O532" s="244"/>
      <c r="P532" s="17"/>
      <c r="Q532" s="210"/>
      <c r="R532" s="17"/>
      <c r="S532" s="15"/>
      <c r="T532" s="17"/>
      <c r="U532" s="17"/>
      <c r="V532" s="15"/>
      <c r="W532" s="15"/>
      <c r="X532" s="17"/>
      <c r="Y532" s="229"/>
      <c r="Z532" s="1"/>
      <c r="AA532" s="284"/>
      <c r="AB532" s="238"/>
      <c r="AC532" s="17"/>
      <c r="AD532" s="15"/>
      <c r="AE532" s="17"/>
      <c r="AF532" s="262"/>
      <c r="AG532" s="262"/>
      <c r="AH532" s="1"/>
      <c r="AI532" s="1"/>
      <c r="AJ532" s="1"/>
      <c r="AK532" s="1"/>
      <c r="AL532" s="1"/>
      <c r="AM532" s="1"/>
      <c r="AN532" s="1"/>
      <c r="AO532" s="1"/>
      <c r="AP532" s="1"/>
      <c r="AQ532" s="15"/>
      <c r="AR532" s="15"/>
      <c r="AS532" s="17"/>
      <c r="AT532" s="15"/>
      <c r="AU532" s="124"/>
      <c r="AV532" s="17"/>
      <c r="AW532" s="17"/>
      <c r="AX532" s="263"/>
      <c r="AY532" s="1"/>
      <c r="AZ532" s="1"/>
      <c r="BA532" s="297"/>
      <c r="BB532" s="1"/>
      <c r="BC532" s="11"/>
      <c r="BD532" s="11"/>
      <c r="BE532" s="214"/>
      <c r="BF532" s="268"/>
      <c r="BG532" s="1"/>
      <c r="BH532" s="210"/>
      <c r="BI532" s="60"/>
      <c r="BJ532" s="15"/>
      <c r="BK532" s="15"/>
      <c r="BL532" s="1"/>
      <c r="BM532" s="49" t="e">
        <f>IF(OR(#REF!="",#REF!="")=TRUE,"",NETWORKDAYS.INTL(#REF!,#REF!))</f>
        <v>#REF!</v>
      </c>
    </row>
    <row r="533" spans="1:65" x14ac:dyDescent="0.45">
      <c r="A533" s="13">
        <v>528</v>
      </c>
      <c r="B533" s="155"/>
      <c r="C533" s="85"/>
      <c r="D533" s="1"/>
      <c r="E533" s="1"/>
      <c r="F533" s="1"/>
      <c r="G533" s="1"/>
      <c r="H533" s="1"/>
      <c r="I533" s="1"/>
      <c r="J533" s="15"/>
      <c r="K533" s="17"/>
      <c r="L533" s="17"/>
      <c r="M533" s="238"/>
      <c r="N533" s="242"/>
      <c r="O533" s="244"/>
      <c r="P533" s="17"/>
      <c r="Q533" s="210"/>
      <c r="R533" s="17"/>
      <c r="S533" s="15"/>
      <c r="T533" s="17"/>
      <c r="U533" s="17"/>
      <c r="V533" s="15"/>
      <c r="W533" s="15"/>
      <c r="X533" s="17"/>
      <c r="Y533" s="229"/>
      <c r="Z533" s="1"/>
      <c r="AA533" s="284"/>
      <c r="AB533" s="238"/>
      <c r="AC533" s="17"/>
      <c r="AD533" s="15"/>
      <c r="AE533" s="17"/>
      <c r="AF533" s="262"/>
      <c r="AG533" s="262"/>
      <c r="AH533" s="1"/>
      <c r="AI533" s="1"/>
      <c r="AJ533" s="1"/>
      <c r="AK533" s="1"/>
      <c r="AL533" s="1"/>
      <c r="AM533" s="1"/>
      <c r="AN533" s="1"/>
      <c r="AO533" s="1"/>
      <c r="AP533" s="1"/>
      <c r="AQ533" s="15"/>
      <c r="AR533" s="15"/>
      <c r="AS533" s="17"/>
      <c r="AT533" s="15"/>
      <c r="AU533" s="124"/>
      <c r="AV533" s="17"/>
      <c r="AW533" s="17"/>
      <c r="AX533" s="263"/>
      <c r="AY533" s="1"/>
      <c r="AZ533" s="1"/>
      <c r="BA533" s="297"/>
      <c r="BB533" s="1"/>
      <c r="BC533" s="11"/>
      <c r="BD533" s="11"/>
      <c r="BE533" s="214"/>
      <c r="BF533" s="268"/>
      <c r="BG533" s="1"/>
      <c r="BH533" s="210"/>
      <c r="BI533" s="60"/>
      <c r="BJ533" s="15"/>
      <c r="BK533" s="15"/>
      <c r="BL533" s="1"/>
      <c r="BM533" s="49" t="e">
        <f>IF(OR(#REF!="",#REF!="")=TRUE,"",NETWORKDAYS.INTL(#REF!,#REF!))</f>
        <v>#REF!</v>
      </c>
    </row>
    <row r="534" spans="1:65" x14ac:dyDescent="0.45">
      <c r="A534" s="12">
        <v>529</v>
      </c>
      <c r="B534" s="150"/>
      <c r="C534" s="53"/>
      <c r="D534" s="1"/>
      <c r="E534" s="1"/>
      <c r="F534" s="1"/>
      <c r="G534" s="1"/>
      <c r="H534" s="1"/>
      <c r="I534" s="1"/>
      <c r="J534" s="15"/>
      <c r="K534" s="17"/>
      <c r="L534" s="17"/>
      <c r="M534" s="238"/>
      <c r="N534" s="242"/>
      <c r="O534" s="244"/>
      <c r="P534" s="17"/>
      <c r="Q534" s="210"/>
      <c r="R534" s="17"/>
      <c r="S534" s="15"/>
      <c r="T534" s="17"/>
      <c r="U534" s="17"/>
      <c r="V534" s="15"/>
      <c r="W534" s="15"/>
      <c r="X534" s="17"/>
      <c r="Y534" s="229"/>
      <c r="Z534" s="1"/>
      <c r="AA534" s="284"/>
      <c r="AB534" s="238"/>
      <c r="AC534" s="17"/>
      <c r="AD534" s="15"/>
      <c r="AE534" s="17"/>
      <c r="AF534" s="262"/>
      <c r="AG534" s="262"/>
      <c r="AH534" s="1"/>
      <c r="AI534" s="1"/>
      <c r="AJ534" s="1"/>
      <c r="AK534" s="1"/>
      <c r="AL534" s="1"/>
      <c r="AM534" s="1"/>
      <c r="AN534" s="1"/>
      <c r="AO534" s="1"/>
      <c r="AP534" s="1"/>
      <c r="AQ534" s="15"/>
      <c r="AR534" s="15"/>
      <c r="AS534" s="17"/>
      <c r="AT534" s="15"/>
      <c r="AU534" s="124"/>
      <c r="AV534" s="17"/>
      <c r="AW534" s="17"/>
      <c r="AX534" s="263"/>
      <c r="AY534" s="1"/>
      <c r="AZ534" s="1"/>
      <c r="BA534" s="297"/>
      <c r="BB534" s="1"/>
      <c r="BC534" s="11"/>
      <c r="BD534" s="11"/>
      <c r="BE534" s="214"/>
      <c r="BF534" s="268"/>
      <c r="BG534" s="1"/>
      <c r="BH534" s="210"/>
      <c r="BI534" s="60"/>
      <c r="BJ534" s="15"/>
      <c r="BK534" s="15"/>
      <c r="BL534" s="1"/>
      <c r="BM534" s="49" t="e">
        <f>IF(OR(#REF!="",#REF!="")=TRUE,"",NETWORKDAYS.INTL(#REF!,#REF!))</f>
        <v>#REF!</v>
      </c>
    </row>
    <row r="535" spans="1:65" x14ac:dyDescent="0.45">
      <c r="A535" s="13">
        <v>530</v>
      </c>
      <c r="B535" s="155"/>
      <c r="C535" s="85"/>
      <c r="D535" s="1"/>
      <c r="E535" s="1"/>
      <c r="F535" s="1"/>
      <c r="G535" s="1"/>
      <c r="H535" s="1"/>
      <c r="I535" s="1"/>
      <c r="J535" s="15"/>
      <c r="K535" s="17"/>
      <c r="L535" s="17"/>
      <c r="M535" s="238"/>
      <c r="N535" s="242"/>
      <c r="O535" s="244"/>
      <c r="P535" s="17"/>
      <c r="Q535" s="210"/>
      <c r="R535" s="17"/>
      <c r="S535" s="15"/>
      <c r="T535" s="17"/>
      <c r="U535" s="17"/>
      <c r="V535" s="15"/>
      <c r="W535" s="15"/>
      <c r="X535" s="17"/>
      <c r="Y535" s="229"/>
      <c r="Z535" s="1"/>
      <c r="AA535" s="284"/>
      <c r="AB535" s="238"/>
      <c r="AC535" s="17"/>
      <c r="AD535" s="15"/>
      <c r="AE535" s="17"/>
      <c r="AF535" s="262"/>
      <c r="AG535" s="262"/>
      <c r="AH535" s="1"/>
      <c r="AI535" s="1"/>
      <c r="AJ535" s="1"/>
      <c r="AK535" s="1"/>
      <c r="AL535" s="1"/>
      <c r="AM535" s="1"/>
      <c r="AN535" s="1"/>
      <c r="AO535" s="1"/>
      <c r="AP535" s="1"/>
      <c r="AQ535" s="15"/>
      <c r="AR535" s="15"/>
      <c r="AS535" s="17"/>
      <c r="AT535" s="15"/>
      <c r="AU535" s="124"/>
      <c r="AV535" s="17"/>
      <c r="AW535" s="17"/>
      <c r="AX535" s="263"/>
      <c r="AY535" s="1"/>
      <c r="AZ535" s="1"/>
      <c r="BA535" s="297"/>
      <c r="BB535" s="1"/>
      <c r="BC535" s="11"/>
      <c r="BD535" s="11"/>
      <c r="BE535" s="214"/>
      <c r="BF535" s="268"/>
      <c r="BG535" s="1"/>
      <c r="BH535" s="210"/>
      <c r="BI535" s="60"/>
      <c r="BJ535" s="15"/>
      <c r="BK535" s="15"/>
      <c r="BL535" s="1"/>
      <c r="BM535" s="49" t="e">
        <f>IF(OR(#REF!="",#REF!="")=TRUE,"",NETWORKDAYS.INTL(#REF!,#REF!))</f>
        <v>#REF!</v>
      </c>
    </row>
    <row r="536" spans="1:65" x14ac:dyDescent="0.45">
      <c r="A536" s="13">
        <v>531</v>
      </c>
      <c r="B536" s="155"/>
      <c r="C536" s="85"/>
      <c r="D536" s="1"/>
      <c r="E536" s="1"/>
      <c r="F536" s="1"/>
      <c r="G536" s="1"/>
      <c r="H536" s="1"/>
      <c r="I536" s="1"/>
      <c r="J536" s="15"/>
      <c r="K536" s="17"/>
      <c r="L536" s="17"/>
      <c r="M536" s="238"/>
      <c r="N536" s="242"/>
      <c r="O536" s="244"/>
      <c r="P536" s="17"/>
      <c r="Q536" s="210"/>
      <c r="R536" s="17"/>
      <c r="S536" s="15"/>
      <c r="T536" s="17"/>
      <c r="U536" s="17"/>
      <c r="V536" s="15"/>
      <c r="W536" s="15"/>
      <c r="X536" s="17"/>
      <c r="Y536" s="229"/>
      <c r="Z536" s="1"/>
      <c r="AA536" s="284"/>
      <c r="AB536" s="238"/>
      <c r="AC536" s="17"/>
      <c r="AD536" s="15"/>
      <c r="AE536" s="17"/>
      <c r="AF536" s="262"/>
      <c r="AG536" s="262"/>
      <c r="AH536" s="1"/>
      <c r="AI536" s="1"/>
      <c r="AJ536" s="1"/>
      <c r="AK536" s="1"/>
      <c r="AL536" s="1"/>
      <c r="AM536" s="1"/>
      <c r="AN536" s="1"/>
      <c r="AO536" s="1"/>
      <c r="AP536" s="1"/>
      <c r="AQ536" s="15"/>
      <c r="AR536" s="15"/>
      <c r="AS536" s="17"/>
      <c r="AT536" s="15"/>
      <c r="AU536" s="124"/>
      <c r="AV536" s="17"/>
      <c r="AW536" s="17"/>
      <c r="AX536" s="263"/>
      <c r="AY536" s="1"/>
      <c r="AZ536" s="1"/>
      <c r="BA536" s="297"/>
      <c r="BB536" s="1"/>
      <c r="BC536" s="11"/>
      <c r="BD536" s="11"/>
      <c r="BE536" s="214"/>
      <c r="BF536" s="268"/>
      <c r="BG536" s="1"/>
      <c r="BH536" s="210"/>
      <c r="BI536" s="60"/>
      <c r="BJ536" s="15"/>
      <c r="BK536" s="15"/>
      <c r="BL536" s="1"/>
      <c r="BM536" s="49" t="e">
        <f>IF(OR(#REF!="",#REF!="")=TRUE,"",NETWORKDAYS.INTL(#REF!,#REF!))</f>
        <v>#REF!</v>
      </c>
    </row>
    <row r="537" spans="1:65" x14ac:dyDescent="0.45">
      <c r="A537" s="12">
        <v>532</v>
      </c>
      <c r="B537" s="150"/>
      <c r="C537" s="53"/>
      <c r="D537" s="1"/>
      <c r="E537" s="1"/>
      <c r="F537" s="1"/>
      <c r="G537" s="1"/>
      <c r="H537" s="1"/>
      <c r="I537" s="1"/>
      <c r="J537" s="15"/>
      <c r="K537" s="17"/>
      <c r="L537" s="17"/>
      <c r="M537" s="238"/>
      <c r="N537" s="242"/>
      <c r="O537" s="244"/>
      <c r="P537" s="17"/>
      <c r="Q537" s="210"/>
      <c r="R537" s="17"/>
      <c r="S537" s="15"/>
      <c r="T537" s="17"/>
      <c r="U537" s="17"/>
      <c r="V537" s="15"/>
      <c r="W537" s="15"/>
      <c r="X537" s="17"/>
      <c r="Y537" s="229"/>
      <c r="Z537" s="1"/>
      <c r="AA537" s="284"/>
      <c r="AB537" s="238"/>
      <c r="AC537" s="17"/>
      <c r="AD537" s="15"/>
      <c r="AE537" s="17"/>
      <c r="AF537" s="262"/>
      <c r="AG537" s="262"/>
      <c r="AH537" s="1"/>
      <c r="AI537" s="1"/>
      <c r="AJ537" s="1"/>
      <c r="AK537" s="1"/>
      <c r="AL537" s="1"/>
      <c r="AM537" s="1"/>
      <c r="AN537" s="1"/>
      <c r="AO537" s="1"/>
      <c r="AP537" s="1"/>
      <c r="AQ537" s="15"/>
      <c r="AR537" s="15"/>
      <c r="AS537" s="17"/>
      <c r="AT537" s="15"/>
      <c r="AU537" s="124"/>
      <c r="AV537" s="17"/>
      <c r="AW537" s="17"/>
      <c r="AX537" s="263"/>
      <c r="AY537" s="1"/>
      <c r="AZ537" s="1"/>
      <c r="BA537" s="297"/>
      <c r="BB537" s="1"/>
      <c r="BC537" s="11"/>
      <c r="BD537" s="11"/>
      <c r="BE537" s="214"/>
      <c r="BF537" s="268"/>
      <c r="BG537" s="1"/>
      <c r="BH537" s="210"/>
      <c r="BI537" s="60"/>
      <c r="BJ537" s="15"/>
      <c r="BK537" s="15"/>
      <c r="BL537" s="1"/>
      <c r="BM537" s="49" t="e">
        <f>IF(OR(#REF!="",#REF!="")=TRUE,"",NETWORKDAYS.INTL(#REF!,#REF!))</f>
        <v>#REF!</v>
      </c>
    </row>
    <row r="538" spans="1:65" x14ac:dyDescent="0.45">
      <c r="A538" s="13">
        <v>533</v>
      </c>
      <c r="B538" s="155"/>
      <c r="C538" s="85"/>
      <c r="D538" s="1"/>
      <c r="E538" s="1"/>
      <c r="F538" s="1"/>
      <c r="G538" s="1"/>
      <c r="H538" s="1"/>
      <c r="I538" s="1"/>
      <c r="J538" s="15"/>
      <c r="K538" s="17"/>
      <c r="L538" s="17"/>
      <c r="M538" s="238"/>
      <c r="N538" s="242"/>
      <c r="O538" s="244"/>
      <c r="P538" s="17"/>
      <c r="Q538" s="210"/>
      <c r="R538" s="17"/>
      <c r="S538" s="15"/>
      <c r="T538" s="17"/>
      <c r="U538" s="17"/>
      <c r="V538" s="15"/>
      <c r="W538" s="15"/>
      <c r="X538" s="17"/>
      <c r="Y538" s="229"/>
      <c r="Z538" s="1"/>
      <c r="AA538" s="284"/>
      <c r="AB538" s="238"/>
      <c r="AC538" s="17"/>
      <c r="AD538" s="15"/>
      <c r="AE538" s="17"/>
      <c r="AF538" s="262"/>
      <c r="AG538" s="262"/>
      <c r="AH538" s="1"/>
      <c r="AI538" s="1"/>
      <c r="AJ538" s="1"/>
      <c r="AK538" s="1"/>
      <c r="AL538" s="1"/>
      <c r="AM538" s="1"/>
      <c r="AN538" s="1"/>
      <c r="AO538" s="1"/>
      <c r="AP538" s="1"/>
      <c r="AQ538" s="15"/>
      <c r="AR538" s="15"/>
      <c r="AS538" s="17"/>
      <c r="AT538" s="15"/>
      <c r="AU538" s="124"/>
      <c r="AV538" s="17"/>
      <c r="AW538" s="17"/>
      <c r="AX538" s="263"/>
      <c r="AY538" s="1"/>
      <c r="AZ538" s="1"/>
      <c r="BA538" s="297"/>
      <c r="BB538" s="1"/>
      <c r="BC538" s="11"/>
      <c r="BD538" s="11"/>
      <c r="BE538" s="214"/>
      <c r="BF538" s="268"/>
      <c r="BG538" s="1"/>
      <c r="BH538" s="210"/>
      <c r="BI538" s="60"/>
      <c r="BJ538" s="15"/>
      <c r="BK538" s="15"/>
      <c r="BL538" s="1"/>
      <c r="BM538" s="49" t="e">
        <f>IF(OR(#REF!="",#REF!="")=TRUE,"",NETWORKDAYS.INTL(#REF!,#REF!))</f>
        <v>#REF!</v>
      </c>
    </row>
    <row r="539" spans="1:65" x14ac:dyDescent="0.45">
      <c r="A539" s="13">
        <v>534</v>
      </c>
      <c r="B539" s="155"/>
      <c r="C539" s="85"/>
      <c r="D539" s="1"/>
      <c r="E539" s="1"/>
      <c r="F539" s="1"/>
      <c r="G539" s="1"/>
      <c r="H539" s="1"/>
      <c r="I539" s="1"/>
      <c r="J539" s="15"/>
      <c r="K539" s="17"/>
      <c r="L539" s="17"/>
      <c r="M539" s="238"/>
      <c r="N539" s="242"/>
      <c r="O539" s="244"/>
      <c r="P539" s="17"/>
      <c r="Q539" s="210"/>
      <c r="R539" s="17"/>
      <c r="S539" s="15"/>
      <c r="T539" s="17"/>
      <c r="U539" s="17"/>
      <c r="V539" s="15"/>
      <c r="W539" s="15"/>
      <c r="X539" s="17"/>
      <c r="Y539" s="229"/>
      <c r="Z539" s="1"/>
      <c r="AA539" s="284"/>
      <c r="AB539" s="238"/>
      <c r="AC539" s="17"/>
      <c r="AD539" s="15"/>
      <c r="AE539" s="17"/>
      <c r="AF539" s="262"/>
      <c r="AG539" s="262"/>
      <c r="AH539" s="1"/>
      <c r="AI539" s="1"/>
      <c r="AJ539" s="1"/>
      <c r="AK539" s="1"/>
      <c r="AL539" s="1"/>
      <c r="AM539" s="1"/>
      <c r="AN539" s="1"/>
      <c r="AO539" s="1"/>
      <c r="AP539" s="1"/>
      <c r="AQ539" s="15"/>
      <c r="AR539" s="15"/>
      <c r="AS539" s="17"/>
      <c r="AT539" s="15"/>
      <c r="AU539" s="124"/>
      <c r="AV539" s="17"/>
      <c r="AW539" s="17"/>
      <c r="AX539" s="263"/>
      <c r="AY539" s="1"/>
      <c r="AZ539" s="1"/>
      <c r="BA539" s="297"/>
      <c r="BB539" s="1"/>
      <c r="BC539" s="11"/>
      <c r="BD539" s="11"/>
      <c r="BE539" s="214"/>
      <c r="BF539" s="268"/>
      <c r="BG539" s="1"/>
      <c r="BH539" s="210"/>
      <c r="BI539" s="60"/>
      <c r="BJ539" s="15"/>
      <c r="BK539" s="15"/>
      <c r="BL539" s="1"/>
      <c r="BM539" s="49" t="e">
        <f>IF(OR(#REF!="",#REF!="")=TRUE,"",NETWORKDAYS.INTL(#REF!,#REF!))</f>
        <v>#REF!</v>
      </c>
    </row>
    <row r="540" spans="1:65" x14ac:dyDescent="0.45">
      <c r="A540" s="12">
        <v>535</v>
      </c>
      <c r="B540" s="150"/>
      <c r="C540" s="53"/>
      <c r="D540" s="1"/>
      <c r="E540" s="1"/>
      <c r="F540" s="1"/>
      <c r="G540" s="1"/>
      <c r="H540" s="1"/>
      <c r="I540" s="1"/>
      <c r="J540" s="15"/>
      <c r="K540" s="17"/>
      <c r="L540" s="17"/>
      <c r="M540" s="238"/>
      <c r="N540" s="242"/>
      <c r="O540" s="244"/>
      <c r="P540" s="17"/>
      <c r="Q540" s="210"/>
      <c r="R540" s="17"/>
      <c r="S540" s="15"/>
      <c r="T540" s="17"/>
      <c r="U540" s="17"/>
      <c r="V540" s="15"/>
      <c r="W540" s="15"/>
      <c r="X540" s="17"/>
      <c r="Y540" s="229"/>
      <c r="Z540" s="1"/>
      <c r="AA540" s="284"/>
      <c r="AB540" s="238"/>
      <c r="AC540" s="17"/>
      <c r="AD540" s="15"/>
      <c r="AE540" s="17"/>
      <c r="AF540" s="262"/>
      <c r="AG540" s="262"/>
      <c r="AH540" s="1"/>
      <c r="AI540" s="1"/>
      <c r="AJ540" s="1"/>
      <c r="AK540" s="1"/>
      <c r="AL540" s="1"/>
      <c r="AM540" s="1"/>
      <c r="AN540" s="1"/>
      <c r="AO540" s="1"/>
      <c r="AP540" s="1"/>
      <c r="AQ540" s="15"/>
      <c r="AR540" s="15"/>
      <c r="AS540" s="17"/>
      <c r="AT540" s="15"/>
      <c r="AU540" s="124"/>
      <c r="AV540" s="17"/>
      <c r="AW540" s="17"/>
      <c r="AX540" s="263"/>
      <c r="AY540" s="1"/>
      <c r="AZ540" s="1"/>
      <c r="BA540" s="297"/>
      <c r="BB540" s="1"/>
      <c r="BC540" s="11"/>
      <c r="BD540" s="11"/>
      <c r="BE540" s="214"/>
      <c r="BF540" s="268"/>
      <c r="BG540" s="1"/>
      <c r="BH540" s="210"/>
      <c r="BI540" s="60"/>
      <c r="BJ540" s="15"/>
      <c r="BK540" s="15"/>
      <c r="BL540" s="1"/>
      <c r="BM540" s="49" t="e">
        <f>IF(OR(#REF!="",#REF!="")=TRUE,"",NETWORKDAYS.INTL(#REF!,#REF!))</f>
        <v>#REF!</v>
      </c>
    </row>
    <row r="541" spans="1:65" x14ac:dyDescent="0.45">
      <c r="A541" s="13">
        <v>536</v>
      </c>
      <c r="B541" s="155"/>
      <c r="C541" s="85"/>
      <c r="D541" s="1"/>
      <c r="E541" s="1"/>
      <c r="F541" s="1"/>
      <c r="G541" s="1"/>
      <c r="H541" s="1"/>
      <c r="I541" s="1"/>
      <c r="J541" s="15"/>
      <c r="K541" s="17"/>
      <c r="L541" s="17"/>
      <c r="M541" s="238"/>
      <c r="N541" s="242"/>
      <c r="O541" s="244"/>
      <c r="P541" s="17"/>
      <c r="Q541" s="210"/>
      <c r="R541" s="17"/>
      <c r="S541" s="15"/>
      <c r="T541" s="17"/>
      <c r="U541" s="17"/>
      <c r="V541" s="15"/>
      <c r="W541" s="15"/>
      <c r="X541" s="17"/>
      <c r="Y541" s="229"/>
      <c r="Z541" s="1"/>
      <c r="AA541" s="284"/>
      <c r="AB541" s="238"/>
      <c r="AC541" s="17"/>
      <c r="AD541" s="15"/>
      <c r="AE541" s="17"/>
      <c r="AF541" s="262"/>
      <c r="AG541" s="262"/>
      <c r="AH541" s="1"/>
      <c r="AI541" s="1"/>
      <c r="AJ541" s="1"/>
      <c r="AK541" s="1"/>
      <c r="AL541" s="1"/>
      <c r="AM541" s="1"/>
      <c r="AN541" s="1"/>
      <c r="AO541" s="1"/>
      <c r="AP541" s="1"/>
      <c r="AQ541" s="15"/>
      <c r="AR541" s="15"/>
      <c r="AS541" s="17"/>
      <c r="AT541" s="15"/>
      <c r="AU541" s="124"/>
      <c r="AV541" s="17"/>
      <c r="AW541" s="17"/>
      <c r="AX541" s="263"/>
      <c r="AY541" s="1"/>
      <c r="AZ541" s="1"/>
      <c r="BA541" s="297"/>
      <c r="BB541" s="1"/>
      <c r="BC541" s="11"/>
      <c r="BD541" s="11"/>
      <c r="BE541" s="214"/>
      <c r="BF541" s="268"/>
      <c r="BG541" s="1"/>
      <c r="BH541" s="210"/>
      <c r="BI541" s="60"/>
      <c r="BJ541" s="15"/>
      <c r="BK541" s="15"/>
      <c r="BL541" s="1"/>
      <c r="BM541" s="49" t="e">
        <f>IF(OR(#REF!="",#REF!="")=TRUE,"",NETWORKDAYS.INTL(#REF!,#REF!))</f>
        <v>#REF!</v>
      </c>
    </row>
    <row r="542" spans="1:65" x14ac:dyDescent="0.45">
      <c r="A542" s="13">
        <v>537</v>
      </c>
      <c r="B542" s="155"/>
      <c r="C542" s="85"/>
      <c r="D542" s="1"/>
      <c r="E542" s="1"/>
      <c r="F542" s="1"/>
      <c r="G542" s="1"/>
      <c r="H542" s="1"/>
      <c r="I542" s="1"/>
      <c r="J542" s="15"/>
      <c r="K542" s="17"/>
      <c r="L542" s="17"/>
      <c r="M542" s="238"/>
      <c r="N542" s="242"/>
      <c r="O542" s="244"/>
      <c r="P542" s="17"/>
      <c r="Q542" s="210"/>
      <c r="R542" s="17"/>
      <c r="S542" s="15"/>
      <c r="T542" s="17"/>
      <c r="U542" s="17"/>
      <c r="V542" s="15"/>
      <c r="W542" s="15"/>
      <c r="X542" s="17"/>
      <c r="Y542" s="229"/>
      <c r="Z542" s="1"/>
      <c r="AA542" s="284"/>
      <c r="AB542" s="238"/>
      <c r="AC542" s="17"/>
      <c r="AD542" s="15"/>
      <c r="AE542" s="17"/>
      <c r="AF542" s="262"/>
      <c r="AG542" s="262"/>
      <c r="AH542" s="1"/>
      <c r="AI542" s="1"/>
      <c r="AJ542" s="1"/>
      <c r="AK542" s="1"/>
      <c r="AL542" s="1"/>
      <c r="AM542" s="1"/>
      <c r="AN542" s="1"/>
      <c r="AO542" s="1"/>
      <c r="AP542" s="1"/>
      <c r="AQ542" s="15"/>
      <c r="AR542" s="15"/>
      <c r="AS542" s="17"/>
      <c r="AT542" s="15"/>
      <c r="AU542" s="124"/>
      <c r="AV542" s="17"/>
      <c r="AW542" s="17"/>
      <c r="AX542" s="263"/>
      <c r="AY542" s="1"/>
      <c r="AZ542" s="1"/>
      <c r="BA542" s="297"/>
      <c r="BB542" s="1"/>
      <c r="BC542" s="11"/>
      <c r="BD542" s="11"/>
      <c r="BE542" s="214"/>
      <c r="BF542" s="268"/>
      <c r="BG542" s="1"/>
      <c r="BH542" s="210"/>
      <c r="BI542" s="60"/>
      <c r="BJ542" s="15"/>
      <c r="BK542" s="15"/>
      <c r="BL542" s="1"/>
      <c r="BM542" s="49" t="e">
        <f>IF(OR(#REF!="",#REF!="")=TRUE,"",NETWORKDAYS.INTL(#REF!,#REF!))</f>
        <v>#REF!</v>
      </c>
    </row>
    <row r="543" spans="1:65" x14ac:dyDescent="0.45">
      <c r="A543" s="12">
        <v>538</v>
      </c>
      <c r="B543" s="150"/>
      <c r="C543" s="53"/>
      <c r="D543" s="1"/>
      <c r="E543" s="1"/>
      <c r="F543" s="1"/>
      <c r="G543" s="1"/>
      <c r="H543" s="1"/>
      <c r="I543" s="1"/>
      <c r="J543" s="15"/>
      <c r="K543" s="17"/>
      <c r="L543" s="17"/>
      <c r="M543" s="238"/>
      <c r="N543" s="242"/>
      <c r="O543" s="244"/>
      <c r="P543" s="17"/>
      <c r="Q543" s="210"/>
      <c r="R543" s="17"/>
      <c r="S543" s="15"/>
      <c r="T543" s="17"/>
      <c r="U543" s="17"/>
      <c r="V543" s="15"/>
      <c r="W543" s="15"/>
      <c r="X543" s="17"/>
      <c r="Y543" s="229"/>
      <c r="Z543" s="1"/>
      <c r="AA543" s="284"/>
      <c r="AB543" s="238"/>
      <c r="AC543" s="17"/>
      <c r="AD543" s="15"/>
      <c r="AE543" s="17"/>
      <c r="AF543" s="262"/>
      <c r="AG543" s="262"/>
      <c r="AH543" s="1"/>
      <c r="AI543" s="1"/>
      <c r="AJ543" s="1"/>
      <c r="AK543" s="1"/>
      <c r="AL543" s="1"/>
      <c r="AM543" s="1"/>
      <c r="AN543" s="1"/>
      <c r="AO543" s="1"/>
      <c r="AP543" s="1"/>
      <c r="AQ543" s="15"/>
      <c r="AR543" s="15"/>
      <c r="AS543" s="17"/>
      <c r="AT543" s="15"/>
      <c r="AU543" s="124"/>
      <c r="AV543" s="17"/>
      <c r="AW543" s="17"/>
      <c r="AX543" s="263"/>
      <c r="AY543" s="1"/>
      <c r="AZ543" s="1"/>
      <c r="BA543" s="297"/>
      <c r="BB543" s="1"/>
      <c r="BC543" s="11"/>
      <c r="BD543" s="11"/>
      <c r="BE543" s="214"/>
      <c r="BF543" s="268"/>
      <c r="BG543" s="1"/>
      <c r="BH543" s="210"/>
      <c r="BI543" s="60"/>
      <c r="BJ543" s="15"/>
      <c r="BK543" s="15"/>
      <c r="BL543" s="1"/>
      <c r="BM543" s="49" t="e">
        <f>IF(OR(#REF!="",#REF!="")=TRUE,"",NETWORKDAYS.INTL(#REF!,#REF!))</f>
        <v>#REF!</v>
      </c>
    </row>
    <row r="544" spans="1:65" x14ac:dyDescent="0.45">
      <c r="A544" s="13">
        <v>539</v>
      </c>
      <c r="B544" s="155"/>
      <c r="C544" s="85"/>
      <c r="D544" s="1"/>
      <c r="E544" s="1"/>
      <c r="F544" s="1"/>
      <c r="G544" s="1"/>
      <c r="H544" s="1"/>
      <c r="I544" s="1"/>
      <c r="J544" s="15"/>
      <c r="K544" s="17"/>
      <c r="L544" s="17"/>
      <c r="M544" s="238"/>
      <c r="N544" s="242"/>
      <c r="O544" s="244"/>
      <c r="P544" s="17"/>
      <c r="Q544" s="210"/>
      <c r="R544" s="17"/>
      <c r="S544" s="15"/>
      <c r="T544" s="17"/>
      <c r="U544" s="17"/>
      <c r="V544" s="15"/>
      <c r="W544" s="15"/>
      <c r="X544" s="17"/>
      <c r="Y544" s="229"/>
      <c r="Z544" s="1"/>
      <c r="AA544" s="284"/>
      <c r="AB544" s="238"/>
      <c r="AC544" s="17"/>
      <c r="AD544" s="15"/>
      <c r="AE544" s="17"/>
      <c r="AF544" s="262"/>
      <c r="AG544" s="262"/>
      <c r="AH544" s="1"/>
      <c r="AI544" s="1"/>
      <c r="AJ544" s="1"/>
      <c r="AK544" s="1"/>
      <c r="AL544" s="1"/>
      <c r="AM544" s="1"/>
      <c r="AN544" s="1"/>
      <c r="AO544" s="1"/>
      <c r="AP544" s="1"/>
      <c r="AQ544" s="15"/>
      <c r="AR544" s="15"/>
      <c r="AS544" s="17"/>
      <c r="AT544" s="15"/>
      <c r="AU544" s="124"/>
      <c r="AV544" s="17"/>
      <c r="AW544" s="17"/>
      <c r="AX544" s="263"/>
      <c r="AY544" s="1"/>
      <c r="AZ544" s="1"/>
      <c r="BA544" s="297"/>
      <c r="BB544" s="1"/>
      <c r="BC544" s="11"/>
      <c r="BD544" s="11"/>
      <c r="BE544" s="214"/>
      <c r="BF544" s="268"/>
      <c r="BG544" s="1"/>
      <c r="BH544" s="210"/>
      <c r="BI544" s="60"/>
      <c r="BJ544" s="15"/>
      <c r="BK544" s="15"/>
      <c r="BL544" s="1"/>
      <c r="BM544" s="49" t="e">
        <f>IF(OR(#REF!="",#REF!="")=TRUE,"",NETWORKDAYS.INTL(#REF!,#REF!))</f>
        <v>#REF!</v>
      </c>
    </row>
    <row r="545" spans="1:65" x14ac:dyDescent="0.45">
      <c r="A545" s="13">
        <v>540</v>
      </c>
      <c r="B545" s="155"/>
      <c r="C545" s="85"/>
      <c r="D545" s="1"/>
      <c r="E545" s="1"/>
      <c r="F545" s="1"/>
      <c r="G545" s="1"/>
      <c r="H545" s="1"/>
      <c r="I545" s="1"/>
      <c r="J545" s="15"/>
      <c r="K545" s="17"/>
      <c r="L545" s="17"/>
      <c r="M545" s="238"/>
      <c r="N545" s="242"/>
      <c r="O545" s="244"/>
      <c r="P545" s="17"/>
      <c r="Q545" s="210"/>
      <c r="R545" s="17"/>
      <c r="S545" s="15"/>
      <c r="T545" s="17"/>
      <c r="U545" s="17"/>
      <c r="V545" s="15"/>
      <c r="W545" s="15"/>
      <c r="X545" s="17"/>
      <c r="Y545" s="229"/>
      <c r="Z545" s="1"/>
      <c r="AA545" s="284"/>
      <c r="AB545" s="238"/>
      <c r="AC545" s="17"/>
      <c r="AD545" s="15"/>
      <c r="AE545" s="17"/>
      <c r="AF545" s="262"/>
      <c r="AG545" s="262"/>
      <c r="AH545" s="1"/>
      <c r="AI545" s="1"/>
      <c r="AJ545" s="1"/>
      <c r="AK545" s="1"/>
      <c r="AL545" s="1"/>
      <c r="AM545" s="1"/>
      <c r="AN545" s="1"/>
      <c r="AO545" s="1"/>
      <c r="AP545" s="1"/>
      <c r="AQ545" s="15"/>
      <c r="AR545" s="15"/>
      <c r="AS545" s="17"/>
      <c r="AT545" s="15"/>
      <c r="AU545" s="124"/>
      <c r="AV545" s="17"/>
      <c r="AW545" s="17"/>
      <c r="AX545" s="263"/>
      <c r="AY545" s="1"/>
      <c r="AZ545" s="1"/>
      <c r="BA545" s="297"/>
      <c r="BB545" s="1"/>
      <c r="BC545" s="11"/>
      <c r="BD545" s="11"/>
      <c r="BE545" s="214"/>
      <c r="BF545" s="268"/>
      <c r="BG545" s="1"/>
      <c r="BH545" s="210"/>
      <c r="BI545" s="60"/>
      <c r="BJ545" s="15"/>
      <c r="BK545" s="15"/>
      <c r="BL545" s="1"/>
      <c r="BM545" s="49" t="e">
        <f>IF(OR(#REF!="",#REF!="")=TRUE,"",NETWORKDAYS.INTL(#REF!,#REF!))</f>
        <v>#REF!</v>
      </c>
    </row>
    <row r="546" spans="1:65" x14ac:dyDescent="0.45">
      <c r="A546" s="12">
        <v>541</v>
      </c>
      <c r="B546" s="150"/>
      <c r="C546" s="53"/>
      <c r="D546" s="1"/>
      <c r="E546" s="1"/>
      <c r="F546" s="1"/>
      <c r="G546" s="1"/>
      <c r="H546" s="1"/>
      <c r="I546" s="1"/>
      <c r="J546" s="15"/>
      <c r="K546" s="17"/>
      <c r="L546" s="17"/>
      <c r="M546" s="238"/>
      <c r="N546" s="242"/>
      <c r="O546" s="244"/>
      <c r="P546" s="17"/>
      <c r="Q546" s="210"/>
      <c r="R546" s="17"/>
      <c r="S546" s="15"/>
      <c r="T546" s="17"/>
      <c r="U546" s="17"/>
      <c r="V546" s="15"/>
      <c r="W546" s="15"/>
      <c r="X546" s="17"/>
      <c r="Y546" s="229"/>
      <c r="Z546" s="1"/>
      <c r="AA546" s="284"/>
      <c r="AB546" s="238"/>
      <c r="AC546" s="17"/>
      <c r="AD546" s="15"/>
      <c r="AE546" s="17"/>
      <c r="AF546" s="262"/>
      <c r="AG546" s="262"/>
      <c r="AH546" s="1"/>
      <c r="AI546" s="1"/>
      <c r="AJ546" s="1"/>
      <c r="AK546" s="1"/>
      <c r="AL546" s="1"/>
      <c r="AM546" s="1"/>
      <c r="AN546" s="1"/>
      <c r="AO546" s="1"/>
      <c r="AP546" s="1"/>
      <c r="AQ546" s="15"/>
      <c r="AR546" s="15"/>
      <c r="AS546" s="17"/>
      <c r="AT546" s="15"/>
      <c r="AU546" s="124"/>
      <c r="AV546" s="17"/>
      <c r="AW546" s="17"/>
      <c r="AX546" s="263"/>
      <c r="AY546" s="1"/>
      <c r="AZ546" s="1"/>
      <c r="BA546" s="297"/>
      <c r="BB546" s="1"/>
      <c r="BC546" s="11"/>
      <c r="BD546" s="11"/>
      <c r="BE546" s="214"/>
      <c r="BF546" s="268"/>
      <c r="BG546" s="1"/>
      <c r="BH546" s="210"/>
      <c r="BI546" s="60"/>
      <c r="BJ546" s="15"/>
      <c r="BK546" s="15"/>
      <c r="BL546" s="1"/>
      <c r="BM546" s="49" t="e">
        <f>IF(OR(#REF!="",#REF!="")=TRUE,"",NETWORKDAYS.INTL(#REF!,#REF!))</f>
        <v>#REF!</v>
      </c>
    </row>
    <row r="547" spans="1:65" x14ac:dyDescent="0.45">
      <c r="A547" s="13">
        <v>542</v>
      </c>
      <c r="B547" s="155"/>
      <c r="C547" s="85"/>
      <c r="D547" s="1"/>
      <c r="E547" s="1"/>
      <c r="F547" s="1"/>
      <c r="G547" s="1"/>
      <c r="H547" s="1"/>
      <c r="I547" s="1"/>
      <c r="J547" s="15"/>
      <c r="K547" s="17"/>
      <c r="L547" s="17"/>
      <c r="M547" s="238"/>
      <c r="N547" s="242"/>
      <c r="O547" s="244"/>
      <c r="P547" s="17"/>
      <c r="Q547" s="210"/>
      <c r="R547" s="17"/>
      <c r="S547" s="15"/>
      <c r="T547" s="17"/>
      <c r="U547" s="17"/>
      <c r="V547" s="15"/>
      <c r="W547" s="15"/>
      <c r="X547" s="17"/>
      <c r="Y547" s="229"/>
      <c r="Z547" s="1"/>
      <c r="AA547" s="284"/>
      <c r="AB547" s="238"/>
      <c r="AC547" s="17"/>
      <c r="AD547" s="15"/>
      <c r="AE547" s="17"/>
      <c r="AF547" s="262"/>
      <c r="AG547" s="262"/>
      <c r="AH547" s="1"/>
      <c r="AI547" s="1"/>
      <c r="AJ547" s="1"/>
      <c r="AK547" s="1"/>
      <c r="AL547" s="1"/>
      <c r="AM547" s="1"/>
      <c r="AN547" s="1"/>
      <c r="AO547" s="1"/>
      <c r="AP547" s="1"/>
      <c r="AQ547" s="15"/>
      <c r="AR547" s="15"/>
      <c r="AS547" s="17"/>
      <c r="AT547" s="15"/>
      <c r="AU547" s="124"/>
      <c r="AV547" s="17"/>
      <c r="AW547" s="17"/>
      <c r="AX547" s="263"/>
      <c r="AY547" s="1"/>
      <c r="AZ547" s="1"/>
      <c r="BA547" s="297"/>
      <c r="BB547" s="1"/>
      <c r="BC547" s="11"/>
      <c r="BD547" s="11"/>
      <c r="BE547" s="214"/>
      <c r="BF547" s="268"/>
      <c r="BG547" s="1"/>
      <c r="BH547" s="210"/>
      <c r="BI547" s="60"/>
      <c r="BJ547" s="15"/>
      <c r="BK547" s="15"/>
      <c r="BL547" s="1"/>
      <c r="BM547" s="49" t="e">
        <f>IF(OR(#REF!="",#REF!="")=TRUE,"",NETWORKDAYS.INTL(#REF!,#REF!))</f>
        <v>#REF!</v>
      </c>
    </row>
    <row r="548" spans="1:65" x14ac:dyDescent="0.45">
      <c r="A548" s="13">
        <v>543</v>
      </c>
      <c r="B548" s="155"/>
      <c r="C548" s="85"/>
      <c r="D548" s="1"/>
      <c r="E548" s="1"/>
      <c r="F548" s="1"/>
      <c r="G548" s="1"/>
      <c r="H548" s="1"/>
      <c r="I548" s="1"/>
      <c r="J548" s="15"/>
      <c r="K548" s="17"/>
      <c r="L548" s="17"/>
      <c r="M548" s="238"/>
      <c r="N548" s="242"/>
      <c r="O548" s="244"/>
      <c r="P548" s="17"/>
      <c r="Q548" s="210"/>
      <c r="R548" s="17"/>
      <c r="S548" s="15"/>
      <c r="T548" s="17"/>
      <c r="U548" s="17"/>
      <c r="V548" s="15"/>
      <c r="W548" s="15"/>
      <c r="X548" s="17"/>
      <c r="Y548" s="229"/>
      <c r="Z548" s="1"/>
      <c r="AA548" s="284"/>
      <c r="AB548" s="238"/>
      <c r="AC548" s="17"/>
      <c r="AD548" s="15"/>
      <c r="AE548" s="17"/>
      <c r="AF548" s="262"/>
      <c r="AG548" s="262"/>
      <c r="AH548" s="1"/>
      <c r="AI548" s="1"/>
      <c r="AJ548" s="1"/>
      <c r="AK548" s="1"/>
      <c r="AL548" s="1"/>
      <c r="AM548" s="1"/>
      <c r="AN548" s="1"/>
      <c r="AO548" s="1"/>
      <c r="AP548" s="1"/>
      <c r="AQ548" s="15"/>
      <c r="AR548" s="15"/>
      <c r="AS548" s="17"/>
      <c r="AT548" s="15"/>
      <c r="AU548" s="124"/>
      <c r="AV548" s="17"/>
      <c r="AW548" s="17"/>
      <c r="AX548" s="263"/>
      <c r="AY548" s="1"/>
      <c r="AZ548" s="1"/>
      <c r="BA548" s="297"/>
      <c r="BB548" s="1"/>
      <c r="BC548" s="11"/>
      <c r="BD548" s="11"/>
      <c r="BE548" s="214"/>
      <c r="BF548" s="268"/>
      <c r="BG548" s="1"/>
      <c r="BH548" s="210"/>
      <c r="BI548" s="60"/>
      <c r="BJ548" s="15"/>
      <c r="BK548" s="15"/>
      <c r="BL548" s="1"/>
      <c r="BM548" s="49" t="e">
        <f>IF(OR(#REF!="",#REF!="")=TRUE,"",NETWORKDAYS.INTL(#REF!,#REF!))</f>
        <v>#REF!</v>
      </c>
    </row>
    <row r="549" spans="1:65" x14ac:dyDescent="0.45">
      <c r="A549" s="12">
        <v>544</v>
      </c>
      <c r="B549" s="150"/>
      <c r="C549" s="53"/>
      <c r="D549" s="1"/>
      <c r="E549" s="1"/>
      <c r="F549" s="1"/>
      <c r="G549" s="1"/>
      <c r="H549" s="1"/>
      <c r="I549" s="1"/>
      <c r="J549" s="15"/>
      <c r="K549" s="17"/>
      <c r="L549" s="17"/>
      <c r="M549" s="238"/>
      <c r="N549" s="242"/>
      <c r="O549" s="244"/>
      <c r="P549" s="17"/>
      <c r="Q549" s="210"/>
      <c r="R549" s="17"/>
      <c r="S549" s="15"/>
      <c r="T549" s="17"/>
      <c r="U549" s="17"/>
      <c r="V549" s="15"/>
      <c r="W549" s="15"/>
      <c r="X549" s="17"/>
      <c r="Y549" s="229"/>
      <c r="Z549" s="1"/>
      <c r="AA549" s="284"/>
      <c r="AB549" s="238"/>
      <c r="AC549" s="17"/>
      <c r="AD549" s="15"/>
      <c r="AE549" s="17"/>
      <c r="AF549" s="262"/>
      <c r="AG549" s="262"/>
      <c r="AH549" s="1"/>
      <c r="AI549" s="1"/>
      <c r="AJ549" s="1"/>
      <c r="AK549" s="1"/>
      <c r="AL549" s="1"/>
      <c r="AM549" s="1"/>
      <c r="AN549" s="1"/>
      <c r="AO549" s="1"/>
      <c r="AP549" s="1"/>
      <c r="AQ549" s="15"/>
      <c r="AR549" s="15"/>
      <c r="AS549" s="17"/>
      <c r="AT549" s="15"/>
      <c r="AU549" s="124"/>
      <c r="AV549" s="17"/>
      <c r="AW549" s="17"/>
      <c r="AX549" s="263"/>
      <c r="AY549" s="1"/>
      <c r="AZ549" s="1"/>
      <c r="BA549" s="297"/>
      <c r="BB549" s="1"/>
      <c r="BC549" s="11"/>
      <c r="BD549" s="11"/>
      <c r="BE549" s="214"/>
      <c r="BF549" s="268"/>
      <c r="BG549" s="1"/>
      <c r="BH549" s="210"/>
      <c r="BI549" s="60"/>
      <c r="BJ549" s="15"/>
      <c r="BK549" s="15"/>
      <c r="BL549" s="1"/>
      <c r="BM549" s="49" t="e">
        <f>IF(OR(#REF!="",#REF!="")=TRUE,"",NETWORKDAYS.INTL(#REF!,#REF!))</f>
        <v>#REF!</v>
      </c>
    </row>
    <row r="550" spans="1:65" x14ac:dyDescent="0.45">
      <c r="A550" s="13">
        <v>545</v>
      </c>
      <c r="B550" s="155"/>
      <c r="C550" s="85"/>
      <c r="D550" s="1"/>
      <c r="E550" s="1"/>
      <c r="F550" s="1"/>
      <c r="G550" s="1"/>
      <c r="H550" s="1"/>
      <c r="I550" s="1"/>
      <c r="J550" s="15"/>
      <c r="K550" s="17"/>
      <c r="L550" s="17"/>
      <c r="M550" s="238"/>
      <c r="N550" s="242"/>
      <c r="O550" s="244"/>
      <c r="P550" s="17"/>
      <c r="Q550" s="210"/>
      <c r="R550" s="17"/>
      <c r="S550" s="15"/>
      <c r="T550" s="17"/>
      <c r="U550" s="17"/>
      <c r="V550" s="15"/>
      <c r="W550" s="15"/>
      <c r="X550" s="17"/>
      <c r="Y550" s="229"/>
      <c r="Z550" s="1"/>
      <c r="AA550" s="284"/>
      <c r="AB550" s="238"/>
      <c r="AC550" s="17"/>
      <c r="AD550" s="15"/>
      <c r="AE550" s="17"/>
      <c r="AF550" s="262"/>
      <c r="AG550" s="262"/>
      <c r="AH550" s="1"/>
      <c r="AI550" s="1"/>
      <c r="AJ550" s="1"/>
      <c r="AK550" s="1"/>
      <c r="AL550" s="1"/>
      <c r="AM550" s="1"/>
      <c r="AN550" s="1"/>
      <c r="AO550" s="1"/>
      <c r="AP550" s="1"/>
      <c r="AQ550" s="15"/>
      <c r="AR550" s="15"/>
      <c r="AS550" s="17"/>
      <c r="AT550" s="15"/>
      <c r="AU550" s="124"/>
      <c r="AV550" s="17"/>
      <c r="AW550" s="17"/>
      <c r="AX550" s="263"/>
      <c r="AY550" s="1"/>
      <c r="AZ550" s="1"/>
      <c r="BA550" s="297"/>
      <c r="BB550" s="1"/>
      <c r="BC550" s="11"/>
      <c r="BD550" s="11"/>
      <c r="BE550" s="214"/>
      <c r="BF550" s="268"/>
      <c r="BG550" s="1"/>
      <c r="BH550" s="210"/>
      <c r="BI550" s="60"/>
      <c r="BJ550" s="15"/>
      <c r="BK550" s="15"/>
      <c r="BL550" s="1"/>
      <c r="BM550" s="49" t="e">
        <f>IF(OR(#REF!="",#REF!="")=TRUE,"",NETWORKDAYS.INTL(#REF!,#REF!))</f>
        <v>#REF!</v>
      </c>
    </row>
    <row r="551" spans="1:65" x14ac:dyDescent="0.45">
      <c r="A551" s="13">
        <v>546</v>
      </c>
      <c r="B551" s="155"/>
      <c r="C551" s="85"/>
      <c r="D551" s="1"/>
      <c r="E551" s="1"/>
      <c r="F551" s="1"/>
      <c r="G551" s="1"/>
      <c r="H551" s="1"/>
      <c r="I551" s="1"/>
      <c r="J551" s="15"/>
      <c r="K551" s="17"/>
      <c r="L551" s="17"/>
      <c r="M551" s="238"/>
      <c r="N551" s="242"/>
      <c r="O551" s="244"/>
      <c r="P551" s="17"/>
      <c r="Q551" s="210"/>
      <c r="R551" s="17"/>
      <c r="S551" s="15"/>
      <c r="T551" s="17"/>
      <c r="U551" s="17"/>
      <c r="V551" s="15"/>
      <c r="W551" s="15"/>
      <c r="X551" s="17"/>
      <c r="Y551" s="229"/>
      <c r="Z551" s="1"/>
      <c r="AA551" s="284"/>
      <c r="AB551" s="238"/>
      <c r="AC551" s="17"/>
      <c r="AD551" s="15"/>
      <c r="AE551" s="17"/>
      <c r="AF551" s="262"/>
      <c r="AG551" s="262"/>
      <c r="AH551" s="1"/>
      <c r="AI551" s="1"/>
      <c r="AJ551" s="1"/>
      <c r="AK551" s="1"/>
      <c r="AL551" s="1"/>
      <c r="AM551" s="1"/>
      <c r="AN551" s="1"/>
      <c r="AO551" s="1"/>
      <c r="AP551" s="1"/>
      <c r="AQ551" s="15"/>
      <c r="AR551" s="15"/>
      <c r="AS551" s="17"/>
      <c r="AT551" s="15"/>
      <c r="AU551" s="124"/>
      <c r="AV551" s="17"/>
      <c r="AW551" s="17"/>
      <c r="AX551" s="263"/>
      <c r="AY551" s="1"/>
      <c r="AZ551" s="1"/>
      <c r="BA551" s="297"/>
      <c r="BB551" s="1"/>
      <c r="BC551" s="11"/>
      <c r="BD551" s="11"/>
      <c r="BE551" s="214"/>
      <c r="BF551" s="268"/>
      <c r="BG551" s="1"/>
      <c r="BH551" s="210"/>
      <c r="BI551" s="60"/>
      <c r="BJ551" s="15"/>
      <c r="BK551" s="15"/>
      <c r="BL551" s="1"/>
      <c r="BM551" s="49" t="e">
        <f>IF(OR(#REF!="",#REF!="")=TRUE,"",NETWORKDAYS.INTL(#REF!,#REF!))</f>
        <v>#REF!</v>
      </c>
    </row>
    <row r="552" spans="1:65" x14ac:dyDescent="0.45">
      <c r="A552" s="12">
        <v>547</v>
      </c>
      <c r="B552" s="150"/>
      <c r="C552" s="53"/>
      <c r="D552" s="1"/>
      <c r="E552" s="1"/>
      <c r="F552" s="1"/>
      <c r="G552" s="1"/>
      <c r="H552" s="1"/>
      <c r="I552" s="1"/>
      <c r="J552" s="15"/>
      <c r="K552" s="17"/>
      <c r="L552" s="17"/>
      <c r="M552" s="238"/>
      <c r="N552" s="242"/>
      <c r="O552" s="244"/>
      <c r="P552" s="17"/>
      <c r="Q552" s="210"/>
      <c r="R552" s="17"/>
      <c r="S552" s="15"/>
      <c r="T552" s="17"/>
      <c r="U552" s="17"/>
      <c r="V552" s="15"/>
      <c r="W552" s="15"/>
      <c r="X552" s="17"/>
      <c r="Y552" s="229"/>
      <c r="Z552" s="1"/>
      <c r="AA552" s="284"/>
      <c r="AB552" s="238"/>
      <c r="AC552" s="17"/>
      <c r="AD552" s="15"/>
      <c r="AE552" s="17"/>
      <c r="AF552" s="262"/>
      <c r="AG552" s="262"/>
      <c r="AH552" s="1"/>
      <c r="AI552" s="1"/>
      <c r="AJ552" s="1"/>
      <c r="AK552" s="1"/>
      <c r="AL552" s="1"/>
      <c r="AM552" s="1"/>
      <c r="AN552" s="1"/>
      <c r="AO552" s="1"/>
      <c r="AP552" s="1"/>
      <c r="AQ552" s="15"/>
      <c r="AR552" s="15"/>
      <c r="AS552" s="17"/>
      <c r="AT552" s="15"/>
      <c r="AU552" s="124"/>
      <c r="AV552" s="17"/>
      <c r="AW552" s="17"/>
      <c r="AX552" s="263"/>
      <c r="AY552" s="1"/>
      <c r="AZ552" s="1"/>
      <c r="BA552" s="297"/>
      <c r="BB552" s="1"/>
      <c r="BC552" s="11"/>
      <c r="BD552" s="11"/>
      <c r="BE552" s="214"/>
      <c r="BF552" s="268"/>
      <c r="BG552" s="1"/>
      <c r="BH552" s="210"/>
      <c r="BI552" s="60"/>
      <c r="BJ552" s="15"/>
      <c r="BK552" s="15"/>
      <c r="BL552" s="1"/>
      <c r="BM552" s="49" t="e">
        <f>IF(OR(#REF!="",#REF!="")=TRUE,"",NETWORKDAYS.INTL(#REF!,#REF!))</f>
        <v>#REF!</v>
      </c>
    </row>
    <row r="553" spans="1:65" x14ac:dyDescent="0.45">
      <c r="A553" s="13">
        <v>548</v>
      </c>
      <c r="B553" s="155"/>
      <c r="C553" s="85"/>
      <c r="D553" s="1"/>
      <c r="E553" s="1"/>
      <c r="F553" s="1"/>
      <c r="G553" s="1"/>
      <c r="H553" s="1"/>
      <c r="I553" s="1"/>
      <c r="J553" s="15"/>
      <c r="K553" s="17"/>
      <c r="L553" s="17"/>
      <c r="M553" s="238"/>
      <c r="N553" s="242"/>
      <c r="O553" s="244"/>
      <c r="P553" s="17"/>
      <c r="Q553" s="210"/>
      <c r="R553" s="17"/>
      <c r="S553" s="15"/>
      <c r="T553" s="17"/>
      <c r="U553" s="17"/>
      <c r="V553" s="15"/>
      <c r="W553" s="15"/>
      <c r="X553" s="17"/>
      <c r="Y553" s="229"/>
      <c r="Z553" s="1"/>
      <c r="AA553" s="284"/>
      <c r="AB553" s="238"/>
      <c r="AC553" s="17"/>
      <c r="AD553" s="15"/>
      <c r="AE553" s="17"/>
      <c r="AF553" s="262"/>
      <c r="AG553" s="262"/>
      <c r="AH553" s="1"/>
      <c r="AI553" s="1"/>
      <c r="AJ553" s="1"/>
      <c r="AK553" s="1"/>
      <c r="AL553" s="1"/>
      <c r="AM553" s="1"/>
      <c r="AN553" s="1"/>
      <c r="AO553" s="1"/>
      <c r="AP553" s="1"/>
      <c r="AQ553" s="15"/>
      <c r="AR553" s="15"/>
      <c r="AS553" s="17"/>
      <c r="AT553" s="15"/>
      <c r="AU553" s="124"/>
      <c r="AV553" s="17"/>
      <c r="AW553" s="17"/>
      <c r="AX553" s="263"/>
      <c r="AY553" s="1"/>
      <c r="AZ553" s="1"/>
      <c r="BA553" s="297"/>
      <c r="BB553" s="1"/>
      <c r="BC553" s="11"/>
      <c r="BD553" s="11"/>
      <c r="BE553" s="214"/>
      <c r="BF553" s="268"/>
      <c r="BG553" s="1"/>
      <c r="BH553" s="210"/>
      <c r="BI553" s="60"/>
      <c r="BJ553" s="15"/>
      <c r="BK553" s="15"/>
      <c r="BL553" s="1"/>
      <c r="BM553" s="49" t="e">
        <f>IF(OR(#REF!="",#REF!="")=TRUE,"",NETWORKDAYS.INTL(#REF!,#REF!))</f>
        <v>#REF!</v>
      </c>
    </row>
    <row r="554" spans="1:65" x14ac:dyDescent="0.45">
      <c r="A554" s="13">
        <v>549</v>
      </c>
      <c r="B554" s="155"/>
      <c r="C554" s="85"/>
      <c r="D554" s="1"/>
      <c r="E554" s="1"/>
      <c r="F554" s="1"/>
      <c r="G554" s="1"/>
      <c r="H554" s="1"/>
      <c r="I554" s="1"/>
      <c r="J554" s="15"/>
      <c r="K554" s="17"/>
      <c r="L554" s="17"/>
      <c r="M554" s="238"/>
      <c r="N554" s="242"/>
      <c r="O554" s="244"/>
      <c r="P554" s="17"/>
      <c r="Q554" s="210"/>
      <c r="R554" s="17"/>
      <c r="S554" s="15"/>
      <c r="T554" s="17"/>
      <c r="U554" s="17"/>
      <c r="V554" s="15"/>
      <c r="W554" s="15"/>
      <c r="X554" s="17"/>
      <c r="Y554" s="229"/>
      <c r="Z554" s="1"/>
      <c r="AA554" s="284"/>
      <c r="AB554" s="238"/>
      <c r="AC554" s="17"/>
      <c r="AD554" s="15"/>
      <c r="AE554" s="17"/>
      <c r="AF554" s="262"/>
      <c r="AG554" s="262"/>
      <c r="AH554" s="1"/>
      <c r="AI554" s="1"/>
      <c r="AJ554" s="1"/>
      <c r="AK554" s="1"/>
      <c r="AL554" s="1"/>
      <c r="AM554" s="1"/>
      <c r="AN554" s="1"/>
      <c r="AO554" s="1"/>
      <c r="AP554" s="1"/>
      <c r="AQ554" s="15"/>
      <c r="AR554" s="15"/>
      <c r="AS554" s="17"/>
      <c r="AT554" s="15"/>
      <c r="AU554" s="124"/>
      <c r="AV554" s="17"/>
      <c r="AW554" s="17"/>
      <c r="AX554" s="263"/>
      <c r="AY554" s="1"/>
      <c r="AZ554" s="1"/>
      <c r="BA554" s="297"/>
      <c r="BB554" s="1"/>
      <c r="BC554" s="11"/>
      <c r="BD554" s="11"/>
      <c r="BE554" s="214"/>
      <c r="BF554" s="268"/>
      <c r="BG554" s="1"/>
      <c r="BH554" s="210"/>
      <c r="BI554" s="60"/>
      <c r="BJ554" s="15"/>
      <c r="BK554" s="15"/>
      <c r="BL554" s="1"/>
      <c r="BM554" s="49" t="e">
        <f>IF(OR(#REF!="",#REF!="")=TRUE,"",NETWORKDAYS.INTL(#REF!,#REF!))</f>
        <v>#REF!</v>
      </c>
    </row>
    <row r="555" spans="1:65" x14ac:dyDescent="0.45">
      <c r="A555" s="12">
        <v>550</v>
      </c>
      <c r="B555" s="150"/>
      <c r="C555" s="53"/>
      <c r="D555" s="1"/>
      <c r="E555" s="1"/>
      <c r="F555" s="1"/>
      <c r="G555" s="1"/>
      <c r="H555" s="1"/>
      <c r="I555" s="1"/>
      <c r="J555" s="15"/>
      <c r="K555" s="17"/>
      <c r="L555" s="17"/>
      <c r="M555" s="238"/>
      <c r="N555" s="242"/>
      <c r="O555" s="244"/>
      <c r="P555" s="17"/>
      <c r="Q555" s="210"/>
      <c r="R555" s="17"/>
      <c r="S555" s="15"/>
      <c r="T555" s="17"/>
      <c r="U555" s="17"/>
      <c r="V555" s="15"/>
      <c r="W555" s="15"/>
      <c r="X555" s="17"/>
      <c r="Y555" s="229"/>
      <c r="Z555" s="1"/>
      <c r="AA555" s="284"/>
      <c r="AB555" s="238"/>
      <c r="AC555" s="17"/>
      <c r="AD555" s="15"/>
      <c r="AE555" s="17"/>
      <c r="AF555" s="262"/>
      <c r="AG555" s="262"/>
      <c r="AH555" s="1"/>
      <c r="AI555" s="1"/>
      <c r="AJ555" s="1"/>
      <c r="AK555" s="1"/>
      <c r="AL555" s="1"/>
      <c r="AM555" s="1"/>
      <c r="AN555" s="1"/>
      <c r="AO555" s="1"/>
      <c r="AP555" s="1"/>
      <c r="AQ555" s="15"/>
      <c r="AR555" s="15"/>
      <c r="AS555" s="17"/>
      <c r="AT555" s="15"/>
      <c r="AU555" s="124"/>
      <c r="AV555" s="17"/>
      <c r="AW555" s="17"/>
      <c r="AX555" s="263"/>
      <c r="AY555" s="1"/>
      <c r="AZ555" s="1"/>
      <c r="BA555" s="297"/>
      <c r="BB555" s="1"/>
      <c r="BC555" s="11"/>
      <c r="BD555" s="11"/>
      <c r="BE555" s="214"/>
      <c r="BF555" s="268"/>
      <c r="BG555" s="1"/>
      <c r="BH555" s="210"/>
      <c r="BI555" s="60"/>
      <c r="BJ555" s="15"/>
      <c r="BK555" s="15"/>
      <c r="BL555" s="1"/>
      <c r="BM555" s="49" t="e">
        <f>IF(OR(#REF!="",#REF!="")=TRUE,"",NETWORKDAYS.INTL(#REF!,#REF!))</f>
        <v>#REF!</v>
      </c>
    </row>
    <row r="556" spans="1:65" x14ac:dyDescent="0.45">
      <c r="A556" s="13">
        <v>551</v>
      </c>
      <c r="B556" s="155"/>
      <c r="C556" s="85"/>
      <c r="D556" s="1"/>
      <c r="E556" s="1"/>
      <c r="F556" s="1"/>
      <c r="G556" s="1"/>
      <c r="H556" s="1"/>
      <c r="I556" s="1"/>
      <c r="J556" s="15"/>
      <c r="K556" s="17"/>
      <c r="L556" s="17"/>
      <c r="M556" s="238"/>
      <c r="N556" s="242"/>
      <c r="O556" s="244"/>
      <c r="P556" s="17"/>
      <c r="Q556" s="210"/>
      <c r="R556" s="17"/>
      <c r="S556" s="15"/>
      <c r="T556" s="17"/>
      <c r="U556" s="17"/>
      <c r="V556" s="15"/>
      <c r="W556" s="15"/>
      <c r="X556" s="17"/>
      <c r="Y556" s="229"/>
      <c r="Z556" s="1"/>
      <c r="AA556" s="284"/>
      <c r="AB556" s="238"/>
      <c r="AC556" s="17"/>
      <c r="AD556" s="15"/>
      <c r="AE556" s="17"/>
      <c r="AF556" s="262"/>
      <c r="AG556" s="262"/>
      <c r="AH556" s="1"/>
      <c r="AI556" s="1"/>
      <c r="AJ556" s="1"/>
      <c r="AK556" s="1"/>
      <c r="AL556" s="1"/>
      <c r="AM556" s="1"/>
      <c r="AN556" s="1"/>
      <c r="AO556" s="1"/>
      <c r="AP556" s="1"/>
      <c r="AQ556" s="15"/>
      <c r="AR556" s="15"/>
      <c r="AS556" s="17"/>
      <c r="AT556" s="15"/>
      <c r="AU556" s="124"/>
      <c r="AV556" s="17"/>
      <c r="AW556" s="17"/>
      <c r="AX556" s="263"/>
      <c r="AY556" s="1"/>
      <c r="AZ556" s="1"/>
      <c r="BA556" s="297"/>
      <c r="BB556" s="1"/>
      <c r="BC556" s="11"/>
      <c r="BD556" s="11"/>
      <c r="BE556" s="214"/>
      <c r="BF556" s="268"/>
      <c r="BG556" s="1"/>
      <c r="BH556" s="210"/>
      <c r="BI556" s="60"/>
      <c r="BJ556" s="15"/>
      <c r="BK556" s="15"/>
      <c r="BL556" s="1"/>
      <c r="BM556" s="49" t="e">
        <f>IF(OR(#REF!="",#REF!="")=TRUE,"",NETWORKDAYS.INTL(#REF!,#REF!))</f>
        <v>#REF!</v>
      </c>
    </row>
    <row r="557" spans="1:65" x14ac:dyDescent="0.45">
      <c r="A557" s="13">
        <v>552</v>
      </c>
      <c r="B557" s="155"/>
      <c r="C557" s="85"/>
      <c r="D557" s="1"/>
      <c r="E557" s="1"/>
      <c r="F557" s="1"/>
      <c r="G557" s="1"/>
      <c r="H557" s="1"/>
      <c r="I557" s="1"/>
      <c r="J557" s="15"/>
      <c r="K557" s="17"/>
      <c r="L557" s="17"/>
      <c r="M557" s="238"/>
      <c r="N557" s="242"/>
      <c r="O557" s="244"/>
      <c r="P557" s="17"/>
      <c r="Q557" s="210"/>
      <c r="R557" s="17"/>
      <c r="S557" s="15"/>
      <c r="T557" s="17"/>
      <c r="U557" s="17"/>
      <c r="V557" s="15"/>
      <c r="W557" s="15"/>
      <c r="X557" s="17"/>
      <c r="Y557" s="229"/>
      <c r="Z557" s="1"/>
      <c r="AA557" s="284"/>
      <c r="AB557" s="238"/>
      <c r="AC557" s="17"/>
      <c r="AD557" s="15"/>
      <c r="AE557" s="17"/>
      <c r="AF557" s="262"/>
      <c r="AG557" s="262"/>
      <c r="AH557" s="1"/>
      <c r="AI557" s="1"/>
      <c r="AJ557" s="1"/>
      <c r="AK557" s="1"/>
      <c r="AL557" s="1"/>
      <c r="AM557" s="1"/>
      <c r="AN557" s="1"/>
      <c r="AO557" s="1"/>
      <c r="AP557" s="1"/>
      <c r="AQ557" s="15"/>
      <c r="AR557" s="15"/>
      <c r="AS557" s="17"/>
      <c r="AT557" s="15"/>
      <c r="AU557" s="124"/>
      <c r="AV557" s="17"/>
      <c r="AW557" s="17"/>
      <c r="AX557" s="263"/>
      <c r="AY557" s="1"/>
      <c r="AZ557" s="1"/>
      <c r="BA557" s="297"/>
      <c r="BB557" s="1"/>
      <c r="BC557" s="11"/>
      <c r="BD557" s="11"/>
      <c r="BE557" s="214"/>
      <c r="BF557" s="268"/>
      <c r="BG557" s="1"/>
      <c r="BH557" s="210"/>
      <c r="BI557" s="60"/>
      <c r="BJ557" s="15"/>
      <c r="BK557" s="15"/>
      <c r="BL557" s="1"/>
      <c r="BM557" s="49" t="e">
        <f>IF(OR(#REF!="",#REF!="")=TRUE,"",NETWORKDAYS.INTL(#REF!,#REF!))</f>
        <v>#REF!</v>
      </c>
    </row>
    <row r="558" spans="1:65" x14ac:dyDescent="0.45">
      <c r="A558" s="12">
        <v>553</v>
      </c>
      <c r="B558" s="150"/>
      <c r="C558" s="53"/>
      <c r="D558" s="1"/>
      <c r="E558" s="1"/>
      <c r="F558" s="1"/>
      <c r="G558" s="1"/>
      <c r="H558" s="1"/>
      <c r="I558" s="1"/>
      <c r="J558" s="15"/>
      <c r="K558" s="17"/>
      <c r="L558" s="17"/>
      <c r="M558" s="238"/>
      <c r="N558" s="242"/>
      <c r="O558" s="244"/>
      <c r="P558" s="17"/>
      <c r="Q558" s="210"/>
      <c r="R558" s="17"/>
      <c r="S558" s="15"/>
      <c r="T558" s="17"/>
      <c r="U558" s="17"/>
      <c r="V558" s="15"/>
      <c r="W558" s="15"/>
      <c r="X558" s="17"/>
      <c r="Y558" s="229"/>
      <c r="Z558" s="1"/>
      <c r="AA558" s="284"/>
      <c r="AB558" s="238"/>
      <c r="AC558" s="17"/>
      <c r="AD558" s="15"/>
      <c r="AE558" s="17"/>
      <c r="AF558" s="262"/>
      <c r="AG558" s="262"/>
      <c r="AH558" s="1"/>
      <c r="AI558" s="1"/>
      <c r="AJ558" s="1"/>
      <c r="AK558" s="1"/>
      <c r="AL558" s="1"/>
      <c r="AM558" s="1"/>
      <c r="AN558" s="1"/>
      <c r="AO558" s="1"/>
      <c r="AP558" s="1"/>
      <c r="AQ558" s="15"/>
      <c r="AR558" s="15"/>
      <c r="AS558" s="17"/>
      <c r="AT558" s="15"/>
      <c r="AU558" s="124"/>
      <c r="AV558" s="17"/>
      <c r="AW558" s="17"/>
      <c r="AX558" s="263"/>
      <c r="AY558" s="1"/>
      <c r="AZ558" s="1"/>
      <c r="BA558" s="297"/>
      <c r="BB558" s="1"/>
      <c r="BC558" s="11"/>
      <c r="BD558" s="11"/>
      <c r="BE558" s="214"/>
      <c r="BF558" s="268"/>
      <c r="BG558" s="1"/>
      <c r="BH558" s="210"/>
      <c r="BI558" s="60"/>
      <c r="BJ558" s="15"/>
      <c r="BK558" s="15"/>
      <c r="BL558" s="1"/>
      <c r="BM558" s="49" t="e">
        <f>IF(OR(#REF!="",#REF!="")=TRUE,"",NETWORKDAYS.INTL(#REF!,#REF!))</f>
        <v>#REF!</v>
      </c>
    </row>
    <row r="559" spans="1:65" x14ac:dyDescent="0.45">
      <c r="A559" s="13">
        <v>554</v>
      </c>
      <c r="B559" s="155"/>
      <c r="C559" s="85"/>
      <c r="D559" s="1"/>
      <c r="E559" s="1"/>
      <c r="F559" s="1"/>
      <c r="G559" s="1"/>
      <c r="H559" s="1"/>
      <c r="I559" s="1"/>
      <c r="J559" s="15"/>
      <c r="K559" s="17"/>
      <c r="L559" s="17"/>
      <c r="M559" s="238"/>
      <c r="N559" s="242"/>
      <c r="O559" s="244"/>
      <c r="P559" s="17"/>
      <c r="Q559" s="210"/>
      <c r="R559" s="17"/>
      <c r="S559" s="15"/>
      <c r="T559" s="17"/>
      <c r="U559" s="17"/>
      <c r="V559" s="15"/>
      <c r="W559" s="15"/>
      <c r="X559" s="17"/>
      <c r="Y559" s="229"/>
      <c r="Z559" s="1"/>
      <c r="AA559" s="284"/>
      <c r="AB559" s="238"/>
      <c r="AC559" s="17"/>
      <c r="AD559" s="15"/>
      <c r="AE559" s="17"/>
      <c r="AF559" s="262"/>
      <c r="AG559" s="262"/>
      <c r="AH559" s="1"/>
      <c r="AI559" s="1"/>
      <c r="AJ559" s="1"/>
      <c r="AK559" s="1"/>
      <c r="AL559" s="1"/>
      <c r="AM559" s="1"/>
      <c r="AN559" s="1"/>
      <c r="AO559" s="1"/>
      <c r="AP559" s="1"/>
      <c r="AQ559" s="15"/>
      <c r="AR559" s="15"/>
      <c r="AS559" s="17"/>
      <c r="AT559" s="15"/>
      <c r="AU559" s="124"/>
      <c r="AV559" s="17"/>
      <c r="AW559" s="17"/>
      <c r="AX559" s="263"/>
      <c r="AY559" s="1"/>
      <c r="AZ559" s="1"/>
      <c r="BA559" s="297"/>
      <c r="BB559" s="1"/>
      <c r="BC559" s="11"/>
      <c r="BD559" s="11"/>
      <c r="BE559" s="214"/>
      <c r="BF559" s="268"/>
      <c r="BG559" s="1"/>
      <c r="BH559" s="210"/>
      <c r="BI559" s="60"/>
      <c r="BJ559" s="15"/>
      <c r="BK559" s="15"/>
      <c r="BL559" s="1"/>
      <c r="BM559" s="49" t="e">
        <f>IF(OR(#REF!="",#REF!="")=TRUE,"",NETWORKDAYS.INTL(#REF!,#REF!))</f>
        <v>#REF!</v>
      </c>
    </row>
    <row r="560" spans="1:65" x14ac:dyDescent="0.45">
      <c r="A560" s="13">
        <v>555</v>
      </c>
      <c r="B560" s="155"/>
      <c r="C560" s="85"/>
      <c r="D560" s="1"/>
      <c r="E560" s="1"/>
      <c r="F560" s="1"/>
      <c r="G560" s="1"/>
      <c r="H560" s="1"/>
      <c r="I560" s="1"/>
      <c r="J560" s="15"/>
      <c r="K560" s="17"/>
      <c r="L560" s="17"/>
      <c r="M560" s="238"/>
      <c r="N560" s="242"/>
      <c r="O560" s="244"/>
      <c r="P560" s="17"/>
      <c r="Q560" s="210"/>
      <c r="R560" s="17"/>
      <c r="S560" s="15"/>
      <c r="T560" s="17"/>
      <c r="U560" s="17"/>
      <c r="V560" s="15"/>
      <c r="W560" s="15"/>
      <c r="X560" s="17"/>
      <c r="Y560" s="229"/>
      <c r="Z560" s="1"/>
      <c r="AA560" s="284"/>
      <c r="AB560" s="238"/>
      <c r="AC560" s="17"/>
      <c r="AD560" s="15"/>
      <c r="AE560" s="17"/>
      <c r="AF560" s="262"/>
      <c r="AG560" s="262"/>
      <c r="AH560" s="1"/>
      <c r="AI560" s="1"/>
      <c r="AJ560" s="1"/>
      <c r="AK560" s="1"/>
      <c r="AL560" s="1"/>
      <c r="AM560" s="1"/>
      <c r="AN560" s="1"/>
      <c r="AO560" s="1"/>
      <c r="AP560" s="1"/>
      <c r="AQ560" s="15"/>
      <c r="AR560" s="15"/>
      <c r="AS560" s="17"/>
      <c r="AT560" s="15"/>
      <c r="AU560" s="124"/>
      <c r="AV560" s="17"/>
      <c r="AW560" s="17"/>
      <c r="AX560" s="263"/>
      <c r="AY560" s="1"/>
      <c r="AZ560" s="1"/>
      <c r="BA560" s="297"/>
      <c r="BB560" s="1"/>
      <c r="BC560" s="11"/>
      <c r="BD560" s="11"/>
      <c r="BE560" s="214"/>
      <c r="BF560" s="268"/>
      <c r="BG560" s="1"/>
      <c r="BH560" s="210"/>
      <c r="BI560" s="60"/>
      <c r="BJ560" s="15"/>
      <c r="BK560" s="15"/>
      <c r="BL560" s="1"/>
      <c r="BM560" s="49" t="e">
        <f>IF(OR(#REF!="",#REF!="")=TRUE,"",NETWORKDAYS.INTL(#REF!,#REF!))</f>
        <v>#REF!</v>
      </c>
    </row>
    <row r="561" spans="1:65" x14ac:dyDescent="0.45">
      <c r="A561" s="12">
        <v>556</v>
      </c>
      <c r="B561" s="150"/>
      <c r="C561" s="53"/>
      <c r="D561" s="1"/>
      <c r="E561" s="1"/>
      <c r="F561" s="1"/>
      <c r="G561" s="1"/>
      <c r="H561" s="1"/>
      <c r="I561" s="1"/>
      <c r="J561" s="15"/>
      <c r="K561" s="17"/>
      <c r="L561" s="17"/>
      <c r="M561" s="238"/>
      <c r="N561" s="242"/>
      <c r="O561" s="244"/>
      <c r="P561" s="17"/>
      <c r="Q561" s="210"/>
      <c r="R561" s="17"/>
      <c r="S561" s="15"/>
      <c r="T561" s="17"/>
      <c r="U561" s="17"/>
      <c r="V561" s="15"/>
      <c r="W561" s="15"/>
      <c r="X561" s="17"/>
      <c r="Y561" s="229"/>
      <c r="Z561" s="1"/>
      <c r="AA561" s="284"/>
      <c r="AB561" s="238"/>
      <c r="AC561" s="17"/>
      <c r="AD561" s="15"/>
      <c r="AE561" s="17"/>
      <c r="AF561" s="262"/>
      <c r="AG561" s="262"/>
      <c r="AH561" s="1"/>
      <c r="AI561" s="1"/>
      <c r="AJ561" s="1"/>
      <c r="AK561" s="1"/>
      <c r="AL561" s="1"/>
      <c r="AM561" s="1"/>
      <c r="AN561" s="1"/>
      <c r="AO561" s="1"/>
      <c r="AP561" s="1"/>
      <c r="AQ561" s="15"/>
      <c r="AR561" s="15"/>
      <c r="AS561" s="17"/>
      <c r="AT561" s="15"/>
      <c r="AU561" s="124"/>
      <c r="AV561" s="17"/>
      <c r="AW561" s="17"/>
      <c r="AX561" s="263"/>
      <c r="AY561" s="1"/>
      <c r="AZ561" s="1"/>
      <c r="BA561" s="297"/>
      <c r="BB561" s="1"/>
      <c r="BC561" s="11"/>
      <c r="BD561" s="11"/>
      <c r="BE561" s="214"/>
      <c r="BF561" s="268"/>
      <c r="BG561" s="1"/>
      <c r="BH561" s="210"/>
      <c r="BI561" s="60"/>
      <c r="BJ561" s="15"/>
      <c r="BK561" s="15"/>
      <c r="BL561" s="1"/>
      <c r="BM561" s="49" t="e">
        <f>IF(OR(#REF!="",#REF!="")=TRUE,"",NETWORKDAYS.INTL(#REF!,#REF!))</f>
        <v>#REF!</v>
      </c>
    </row>
    <row r="562" spans="1:65" x14ac:dyDescent="0.45">
      <c r="A562" s="13">
        <v>557</v>
      </c>
      <c r="B562" s="155"/>
      <c r="C562" s="85"/>
      <c r="D562" s="1"/>
      <c r="E562" s="1"/>
      <c r="F562" s="1"/>
      <c r="G562" s="1"/>
      <c r="H562" s="1"/>
      <c r="I562" s="1"/>
      <c r="J562" s="15"/>
      <c r="K562" s="17"/>
      <c r="L562" s="17"/>
      <c r="M562" s="238"/>
      <c r="N562" s="242"/>
      <c r="O562" s="244"/>
      <c r="P562" s="17"/>
      <c r="Q562" s="210"/>
      <c r="R562" s="17"/>
      <c r="S562" s="15"/>
      <c r="T562" s="17"/>
      <c r="U562" s="17"/>
      <c r="V562" s="15"/>
      <c r="W562" s="15"/>
      <c r="X562" s="17"/>
      <c r="Y562" s="229"/>
      <c r="Z562" s="1"/>
      <c r="AA562" s="284"/>
      <c r="AB562" s="238"/>
      <c r="AC562" s="17"/>
      <c r="AD562" s="15"/>
      <c r="AE562" s="17"/>
      <c r="AF562" s="262"/>
      <c r="AG562" s="262"/>
      <c r="AH562" s="1"/>
      <c r="AI562" s="1"/>
      <c r="AJ562" s="1"/>
      <c r="AK562" s="1"/>
      <c r="AL562" s="1"/>
      <c r="AM562" s="1"/>
      <c r="AN562" s="1"/>
      <c r="AO562" s="1"/>
      <c r="AP562" s="1"/>
      <c r="AQ562" s="15"/>
      <c r="AR562" s="15"/>
      <c r="AS562" s="17"/>
      <c r="AT562" s="15"/>
      <c r="AU562" s="124"/>
      <c r="AV562" s="17"/>
      <c r="AW562" s="17"/>
      <c r="AX562" s="263"/>
      <c r="AY562" s="1"/>
      <c r="AZ562" s="1"/>
      <c r="BA562" s="297"/>
      <c r="BB562" s="1"/>
      <c r="BC562" s="11"/>
      <c r="BD562" s="11"/>
      <c r="BE562" s="214"/>
      <c r="BF562" s="268"/>
      <c r="BG562" s="1"/>
      <c r="BH562" s="210"/>
      <c r="BI562" s="60"/>
      <c r="BJ562" s="15"/>
      <c r="BK562" s="15"/>
      <c r="BL562" s="1"/>
      <c r="BM562" s="49" t="e">
        <f>IF(OR(#REF!="",#REF!="")=TRUE,"",NETWORKDAYS.INTL(#REF!,#REF!))</f>
        <v>#REF!</v>
      </c>
    </row>
    <row r="563" spans="1:65" x14ac:dyDescent="0.45">
      <c r="A563" s="13">
        <v>558</v>
      </c>
      <c r="B563" s="155"/>
      <c r="C563" s="85"/>
      <c r="D563" s="1"/>
      <c r="E563" s="1"/>
      <c r="F563" s="1"/>
      <c r="G563" s="1"/>
      <c r="H563" s="1"/>
      <c r="I563" s="1"/>
      <c r="J563" s="15"/>
      <c r="K563" s="17"/>
      <c r="L563" s="17"/>
      <c r="M563" s="238"/>
      <c r="N563" s="242"/>
      <c r="O563" s="244"/>
      <c r="P563" s="17"/>
      <c r="Q563" s="210"/>
      <c r="R563" s="17"/>
      <c r="S563" s="15"/>
      <c r="T563" s="17"/>
      <c r="U563" s="17"/>
      <c r="V563" s="15"/>
      <c r="W563" s="15"/>
      <c r="X563" s="17"/>
      <c r="Y563" s="229"/>
      <c r="Z563" s="1"/>
      <c r="AA563" s="284"/>
      <c r="AB563" s="238"/>
      <c r="AC563" s="17"/>
      <c r="AD563" s="15"/>
      <c r="AE563" s="17"/>
      <c r="AF563" s="262"/>
      <c r="AG563" s="262"/>
      <c r="AH563" s="1"/>
      <c r="AI563" s="1"/>
      <c r="AJ563" s="1"/>
      <c r="AK563" s="1"/>
      <c r="AL563" s="1"/>
      <c r="AM563" s="1"/>
      <c r="AN563" s="1"/>
      <c r="AO563" s="1"/>
      <c r="AP563" s="1"/>
      <c r="AQ563" s="15"/>
      <c r="AR563" s="15"/>
      <c r="AS563" s="17"/>
      <c r="AT563" s="15"/>
      <c r="AU563" s="124"/>
      <c r="AV563" s="17"/>
      <c r="AW563" s="17"/>
      <c r="AX563" s="263"/>
      <c r="AY563" s="1"/>
      <c r="AZ563" s="1"/>
      <c r="BA563" s="297"/>
      <c r="BB563" s="1"/>
      <c r="BC563" s="11"/>
      <c r="BD563" s="11"/>
      <c r="BE563" s="214"/>
      <c r="BF563" s="268"/>
      <c r="BG563" s="1"/>
      <c r="BH563" s="210"/>
      <c r="BI563" s="60"/>
      <c r="BJ563" s="15"/>
      <c r="BK563" s="15"/>
      <c r="BL563" s="1"/>
      <c r="BM563" s="49" t="e">
        <f>IF(OR(#REF!="",#REF!="")=TRUE,"",NETWORKDAYS.INTL(#REF!,#REF!))</f>
        <v>#REF!</v>
      </c>
    </row>
    <row r="564" spans="1:65" x14ac:dyDescent="0.45">
      <c r="A564" s="12">
        <v>559</v>
      </c>
      <c r="B564" s="150"/>
      <c r="C564" s="53"/>
      <c r="D564" s="1"/>
      <c r="E564" s="1"/>
      <c r="F564" s="1"/>
      <c r="G564" s="1"/>
      <c r="H564" s="1"/>
      <c r="I564" s="1"/>
      <c r="J564" s="15"/>
      <c r="K564" s="17"/>
      <c r="L564" s="17"/>
      <c r="M564" s="238"/>
      <c r="N564" s="242"/>
      <c r="O564" s="244"/>
      <c r="P564" s="17"/>
      <c r="Q564" s="210"/>
      <c r="R564" s="17"/>
      <c r="S564" s="15"/>
      <c r="T564" s="17"/>
      <c r="U564" s="17"/>
      <c r="V564" s="15"/>
      <c r="W564" s="15"/>
      <c r="X564" s="17"/>
      <c r="Y564" s="229"/>
      <c r="Z564" s="1"/>
      <c r="AA564" s="284"/>
      <c r="AB564" s="238"/>
      <c r="AC564" s="17"/>
      <c r="AD564" s="15"/>
      <c r="AE564" s="17"/>
      <c r="AF564" s="262"/>
      <c r="AG564" s="262"/>
      <c r="AH564" s="1"/>
      <c r="AI564" s="1"/>
      <c r="AJ564" s="1"/>
      <c r="AK564" s="1"/>
      <c r="AL564" s="1"/>
      <c r="AM564" s="1"/>
      <c r="AN564" s="1"/>
      <c r="AO564" s="1"/>
      <c r="AP564" s="1"/>
      <c r="AQ564" s="15"/>
      <c r="AR564" s="15"/>
      <c r="AS564" s="17"/>
      <c r="AT564" s="15"/>
      <c r="AU564" s="124"/>
      <c r="AV564" s="17"/>
      <c r="AW564" s="17"/>
      <c r="AX564" s="263"/>
      <c r="AY564" s="1"/>
      <c r="AZ564" s="1"/>
      <c r="BA564" s="297"/>
      <c r="BB564" s="1"/>
      <c r="BC564" s="11"/>
      <c r="BD564" s="11"/>
      <c r="BE564" s="214"/>
      <c r="BF564" s="268"/>
      <c r="BG564" s="1"/>
      <c r="BH564" s="210"/>
      <c r="BI564" s="60"/>
      <c r="BJ564" s="15"/>
      <c r="BK564" s="15"/>
      <c r="BL564" s="1"/>
      <c r="BM564" s="49" t="e">
        <f>IF(OR(#REF!="",#REF!="")=TRUE,"",NETWORKDAYS.INTL(#REF!,#REF!))</f>
        <v>#REF!</v>
      </c>
    </row>
    <row r="565" spans="1:65" x14ac:dyDescent="0.45">
      <c r="A565" s="13">
        <v>560</v>
      </c>
      <c r="B565" s="155"/>
      <c r="C565" s="85"/>
      <c r="D565" s="1"/>
      <c r="E565" s="1"/>
      <c r="F565" s="1"/>
      <c r="G565" s="1"/>
      <c r="H565" s="1"/>
      <c r="I565" s="1"/>
      <c r="J565" s="15"/>
      <c r="K565" s="17"/>
      <c r="L565" s="17"/>
      <c r="M565" s="238"/>
      <c r="N565" s="242"/>
      <c r="O565" s="244"/>
      <c r="P565" s="17"/>
      <c r="Q565" s="210"/>
      <c r="R565" s="17"/>
      <c r="S565" s="15"/>
      <c r="T565" s="17"/>
      <c r="U565" s="17"/>
      <c r="V565" s="15"/>
      <c r="W565" s="15"/>
      <c r="X565" s="17"/>
      <c r="Y565" s="229"/>
      <c r="Z565" s="1"/>
      <c r="AA565" s="284"/>
      <c r="AB565" s="238"/>
      <c r="AC565" s="17"/>
      <c r="AD565" s="15"/>
      <c r="AE565" s="17"/>
      <c r="AF565" s="262"/>
      <c r="AG565" s="262"/>
      <c r="AH565" s="1"/>
      <c r="AI565" s="1"/>
      <c r="AJ565" s="1"/>
      <c r="AK565" s="1"/>
      <c r="AL565" s="1"/>
      <c r="AM565" s="1"/>
      <c r="AN565" s="1"/>
      <c r="AO565" s="1"/>
      <c r="AP565" s="1"/>
      <c r="AQ565" s="15"/>
      <c r="AR565" s="15"/>
      <c r="AS565" s="17"/>
      <c r="AT565" s="15"/>
      <c r="AU565" s="124"/>
      <c r="AV565" s="17"/>
      <c r="AW565" s="17"/>
      <c r="AX565" s="263"/>
      <c r="AY565" s="1"/>
      <c r="AZ565" s="1"/>
      <c r="BA565" s="297"/>
      <c r="BB565" s="1"/>
      <c r="BC565" s="11"/>
      <c r="BD565" s="11"/>
      <c r="BE565" s="214"/>
      <c r="BF565" s="268"/>
      <c r="BG565" s="1"/>
      <c r="BH565" s="210"/>
      <c r="BI565" s="60"/>
      <c r="BJ565" s="15"/>
      <c r="BK565" s="15"/>
      <c r="BL565" s="1"/>
      <c r="BM565" s="49" t="e">
        <f>IF(OR(#REF!="",#REF!="")=TRUE,"",NETWORKDAYS.INTL(#REF!,#REF!))</f>
        <v>#REF!</v>
      </c>
    </row>
    <row r="566" spans="1:65" x14ac:dyDescent="0.45">
      <c r="A566" s="13">
        <v>561</v>
      </c>
      <c r="B566" s="155"/>
      <c r="C566" s="85"/>
      <c r="D566" s="1"/>
      <c r="E566" s="1"/>
      <c r="F566" s="1"/>
      <c r="G566" s="1"/>
      <c r="H566" s="1"/>
      <c r="I566" s="1"/>
      <c r="J566" s="15"/>
      <c r="K566" s="17"/>
      <c r="L566" s="17"/>
      <c r="M566" s="238"/>
      <c r="N566" s="242"/>
      <c r="O566" s="244"/>
      <c r="P566" s="17"/>
      <c r="Q566" s="210"/>
      <c r="R566" s="17"/>
      <c r="S566" s="15"/>
      <c r="T566" s="17"/>
      <c r="U566" s="17"/>
      <c r="V566" s="15"/>
      <c r="W566" s="15"/>
      <c r="X566" s="17"/>
      <c r="Y566" s="229"/>
      <c r="Z566" s="1"/>
      <c r="AA566" s="284"/>
      <c r="AB566" s="238"/>
      <c r="AC566" s="17"/>
      <c r="AD566" s="15"/>
      <c r="AE566" s="17"/>
      <c r="AF566" s="262"/>
      <c r="AG566" s="262"/>
      <c r="AH566" s="1"/>
      <c r="AI566" s="1"/>
      <c r="AJ566" s="1"/>
      <c r="AK566" s="1"/>
      <c r="AL566" s="1"/>
      <c r="AM566" s="1"/>
      <c r="AN566" s="1"/>
      <c r="AO566" s="1"/>
      <c r="AP566" s="1"/>
      <c r="AQ566" s="15"/>
      <c r="AR566" s="15"/>
      <c r="AS566" s="17"/>
      <c r="AT566" s="15"/>
      <c r="AU566" s="124"/>
      <c r="AV566" s="17"/>
      <c r="AW566" s="17"/>
      <c r="AX566" s="263"/>
      <c r="AY566" s="1"/>
      <c r="AZ566" s="1"/>
      <c r="BA566" s="297"/>
      <c r="BB566" s="1"/>
      <c r="BC566" s="11"/>
      <c r="BD566" s="11"/>
      <c r="BE566" s="214"/>
      <c r="BF566" s="268"/>
      <c r="BG566" s="1"/>
      <c r="BH566" s="210"/>
      <c r="BI566" s="60"/>
      <c r="BJ566" s="15"/>
      <c r="BK566" s="15"/>
      <c r="BL566" s="1"/>
      <c r="BM566" s="49" t="e">
        <f>IF(OR(#REF!="",#REF!="")=TRUE,"",NETWORKDAYS.INTL(#REF!,#REF!))</f>
        <v>#REF!</v>
      </c>
    </row>
    <row r="567" spans="1:65" x14ac:dyDescent="0.45">
      <c r="A567" s="12">
        <v>562</v>
      </c>
      <c r="B567" s="150"/>
      <c r="C567" s="53"/>
      <c r="D567" s="1"/>
      <c r="E567" s="1"/>
      <c r="F567" s="1"/>
      <c r="G567" s="1"/>
      <c r="H567" s="1"/>
      <c r="I567" s="1"/>
      <c r="J567" s="15"/>
      <c r="K567" s="17"/>
      <c r="L567" s="17"/>
      <c r="M567" s="238"/>
      <c r="N567" s="242"/>
      <c r="O567" s="244"/>
      <c r="P567" s="17"/>
      <c r="Q567" s="210"/>
      <c r="R567" s="17"/>
      <c r="S567" s="15"/>
      <c r="T567" s="17"/>
      <c r="U567" s="17"/>
      <c r="V567" s="15"/>
      <c r="W567" s="15"/>
      <c r="X567" s="17"/>
      <c r="Y567" s="229"/>
      <c r="Z567" s="1"/>
      <c r="AA567" s="284"/>
      <c r="AB567" s="238"/>
      <c r="AC567" s="17"/>
      <c r="AD567" s="15"/>
      <c r="AE567" s="17"/>
      <c r="AF567" s="262"/>
      <c r="AG567" s="262"/>
      <c r="AH567" s="1"/>
      <c r="AI567" s="1"/>
      <c r="AJ567" s="1"/>
      <c r="AK567" s="1"/>
      <c r="AL567" s="1"/>
      <c r="AM567" s="1"/>
      <c r="AN567" s="1"/>
      <c r="AO567" s="1"/>
      <c r="AP567" s="1"/>
      <c r="AQ567" s="15"/>
      <c r="AR567" s="15"/>
      <c r="AS567" s="17"/>
      <c r="AT567" s="15"/>
      <c r="AU567" s="124"/>
      <c r="AV567" s="17"/>
      <c r="AW567" s="17"/>
      <c r="AX567" s="263"/>
      <c r="AY567" s="1"/>
      <c r="AZ567" s="1"/>
      <c r="BA567" s="297"/>
      <c r="BB567" s="1"/>
      <c r="BC567" s="11"/>
      <c r="BD567" s="11"/>
      <c r="BE567" s="214"/>
      <c r="BF567" s="268"/>
      <c r="BG567" s="1"/>
      <c r="BH567" s="210"/>
      <c r="BI567" s="60"/>
      <c r="BJ567" s="15"/>
      <c r="BK567" s="15"/>
      <c r="BL567" s="1"/>
      <c r="BM567" s="49" t="e">
        <f>IF(OR(#REF!="",#REF!="")=TRUE,"",NETWORKDAYS.INTL(#REF!,#REF!))</f>
        <v>#REF!</v>
      </c>
    </row>
    <row r="568" spans="1:65" x14ac:dyDescent="0.45">
      <c r="A568" s="13">
        <v>563</v>
      </c>
      <c r="B568" s="155"/>
      <c r="C568" s="85"/>
      <c r="D568" s="1"/>
      <c r="E568" s="1"/>
      <c r="F568" s="1"/>
      <c r="G568" s="1"/>
      <c r="H568" s="1"/>
      <c r="I568" s="1"/>
      <c r="J568" s="15"/>
      <c r="K568" s="17"/>
      <c r="L568" s="17"/>
      <c r="M568" s="238"/>
      <c r="N568" s="242"/>
      <c r="O568" s="244"/>
      <c r="P568" s="17"/>
      <c r="Q568" s="210"/>
      <c r="R568" s="17"/>
      <c r="S568" s="15"/>
      <c r="T568" s="17"/>
      <c r="U568" s="17"/>
      <c r="V568" s="15"/>
      <c r="W568" s="15"/>
      <c r="X568" s="17"/>
      <c r="Y568" s="229"/>
      <c r="Z568" s="1"/>
      <c r="AA568" s="284"/>
      <c r="AB568" s="238"/>
      <c r="AC568" s="17"/>
      <c r="AD568" s="15"/>
      <c r="AE568" s="17"/>
      <c r="AF568" s="262"/>
      <c r="AG568" s="262"/>
      <c r="AH568" s="1"/>
      <c r="AI568" s="1"/>
      <c r="AJ568" s="1"/>
      <c r="AK568" s="1"/>
      <c r="AL568" s="1"/>
      <c r="AM568" s="1"/>
      <c r="AN568" s="1"/>
      <c r="AO568" s="1"/>
      <c r="AP568" s="1"/>
      <c r="AQ568" s="15"/>
      <c r="AR568" s="15"/>
      <c r="AS568" s="17"/>
      <c r="AT568" s="15"/>
      <c r="AU568" s="124"/>
      <c r="AV568" s="17"/>
      <c r="AW568" s="17"/>
      <c r="AX568" s="263"/>
      <c r="AY568" s="1"/>
      <c r="AZ568" s="1"/>
      <c r="BA568" s="297"/>
      <c r="BB568" s="1"/>
      <c r="BC568" s="11"/>
      <c r="BD568" s="11"/>
      <c r="BE568" s="214"/>
      <c r="BF568" s="268"/>
      <c r="BG568" s="1"/>
      <c r="BH568" s="210"/>
      <c r="BI568" s="60"/>
      <c r="BJ568" s="15"/>
      <c r="BK568" s="15"/>
      <c r="BL568" s="1"/>
      <c r="BM568" s="49" t="e">
        <f>IF(OR(#REF!="",#REF!="")=TRUE,"",NETWORKDAYS.INTL(#REF!,#REF!))</f>
        <v>#REF!</v>
      </c>
    </row>
    <row r="569" spans="1:65" x14ac:dyDescent="0.45">
      <c r="A569" s="13">
        <v>564</v>
      </c>
      <c r="B569" s="155"/>
      <c r="C569" s="85"/>
      <c r="D569" s="1"/>
      <c r="E569" s="1"/>
      <c r="F569" s="1"/>
      <c r="G569" s="1"/>
      <c r="H569" s="1"/>
      <c r="I569" s="1"/>
      <c r="J569" s="15"/>
      <c r="K569" s="17"/>
      <c r="L569" s="17"/>
      <c r="M569" s="238"/>
      <c r="N569" s="242"/>
      <c r="O569" s="244"/>
      <c r="P569" s="17"/>
      <c r="Q569" s="210"/>
      <c r="R569" s="17"/>
      <c r="S569" s="15"/>
      <c r="T569" s="17"/>
      <c r="U569" s="17"/>
      <c r="V569" s="15"/>
      <c r="W569" s="15"/>
      <c r="X569" s="17"/>
      <c r="Y569" s="229"/>
      <c r="Z569" s="1"/>
      <c r="AA569" s="284"/>
      <c r="AB569" s="238"/>
      <c r="AC569" s="17"/>
      <c r="AD569" s="15"/>
      <c r="AE569" s="17"/>
      <c r="AF569" s="262"/>
      <c r="AG569" s="262"/>
      <c r="AH569" s="1"/>
      <c r="AI569" s="1"/>
      <c r="AJ569" s="1"/>
      <c r="AK569" s="1"/>
      <c r="AL569" s="1"/>
      <c r="AM569" s="1"/>
      <c r="AN569" s="1"/>
      <c r="AO569" s="1"/>
      <c r="AP569" s="1"/>
      <c r="AQ569" s="15"/>
      <c r="AR569" s="15"/>
      <c r="AS569" s="17"/>
      <c r="AT569" s="15"/>
      <c r="AU569" s="124"/>
      <c r="AV569" s="17"/>
      <c r="AW569" s="17"/>
      <c r="AX569" s="263"/>
      <c r="AY569" s="1"/>
      <c r="AZ569" s="1"/>
      <c r="BA569" s="297"/>
      <c r="BB569" s="1"/>
      <c r="BC569" s="11"/>
      <c r="BD569" s="11"/>
      <c r="BE569" s="214"/>
      <c r="BF569" s="268"/>
      <c r="BG569" s="1"/>
      <c r="BH569" s="210"/>
      <c r="BI569" s="60"/>
      <c r="BJ569" s="15"/>
      <c r="BK569" s="15"/>
      <c r="BL569" s="1"/>
      <c r="BM569" s="49" t="e">
        <f>IF(OR(#REF!="",#REF!="")=TRUE,"",NETWORKDAYS.INTL(#REF!,#REF!))</f>
        <v>#REF!</v>
      </c>
    </row>
    <row r="570" spans="1:65" x14ac:dyDescent="0.45">
      <c r="A570" s="12">
        <v>565</v>
      </c>
      <c r="B570" s="150"/>
      <c r="C570" s="53"/>
      <c r="D570" s="1"/>
      <c r="E570" s="1"/>
      <c r="F570" s="1"/>
      <c r="G570" s="1"/>
      <c r="H570" s="1"/>
      <c r="I570" s="1"/>
      <c r="J570" s="15"/>
      <c r="K570" s="17"/>
      <c r="L570" s="17"/>
      <c r="M570" s="238"/>
      <c r="N570" s="242"/>
      <c r="O570" s="244"/>
      <c r="P570" s="17"/>
      <c r="Q570" s="210"/>
      <c r="R570" s="17"/>
      <c r="S570" s="15"/>
      <c r="T570" s="17"/>
      <c r="U570" s="17"/>
      <c r="V570" s="15"/>
      <c r="W570" s="15"/>
      <c r="X570" s="17"/>
      <c r="Y570" s="229"/>
      <c r="Z570" s="1"/>
      <c r="AA570" s="284"/>
      <c r="AB570" s="238"/>
      <c r="AC570" s="17"/>
      <c r="AD570" s="15"/>
      <c r="AE570" s="17"/>
      <c r="AF570" s="262"/>
      <c r="AG570" s="262"/>
      <c r="AH570" s="1"/>
      <c r="AI570" s="1"/>
      <c r="AJ570" s="1"/>
      <c r="AK570" s="1"/>
      <c r="AL570" s="1"/>
      <c r="AM570" s="1"/>
      <c r="AN570" s="1"/>
      <c r="AO570" s="1"/>
      <c r="AP570" s="1"/>
      <c r="AQ570" s="15"/>
      <c r="AR570" s="15"/>
      <c r="AS570" s="17"/>
      <c r="AT570" s="15"/>
      <c r="AU570" s="124"/>
      <c r="AV570" s="17"/>
      <c r="AW570" s="17"/>
      <c r="AX570" s="263"/>
      <c r="AY570" s="1"/>
      <c r="AZ570" s="1"/>
      <c r="BA570" s="297"/>
      <c r="BB570" s="1"/>
      <c r="BC570" s="11"/>
      <c r="BD570" s="11"/>
      <c r="BE570" s="214"/>
      <c r="BF570" s="268"/>
      <c r="BG570" s="1"/>
      <c r="BH570" s="210"/>
      <c r="BI570" s="60"/>
      <c r="BJ570" s="15"/>
      <c r="BK570" s="15"/>
      <c r="BL570" s="1"/>
      <c r="BM570" s="49" t="e">
        <f>IF(OR(#REF!="",#REF!="")=TRUE,"",NETWORKDAYS.INTL(#REF!,#REF!))</f>
        <v>#REF!</v>
      </c>
    </row>
    <row r="571" spans="1:65" x14ac:dyDescent="0.45">
      <c r="A571" s="13">
        <v>566</v>
      </c>
      <c r="B571" s="155"/>
      <c r="C571" s="85"/>
      <c r="D571" s="1"/>
      <c r="E571" s="1"/>
      <c r="F571" s="1"/>
      <c r="G571" s="1"/>
      <c r="H571" s="1"/>
      <c r="I571" s="1"/>
      <c r="J571" s="15"/>
      <c r="K571" s="17"/>
      <c r="L571" s="17"/>
      <c r="M571" s="238"/>
      <c r="N571" s="242"/>
      <c r="O571" s="244"/>
      <c r="P571" s="17"/>
      <c r="Q571" s="210"/>
      <c r="R571" s="17"/>
      <c r="S571" s="15"/>
      <c r="T571" s="17"/>
      <c r="U571" s="17"/>
      <c r="V571" s="15"/>
      <c r="W571" s="15"/>
      <c r="X571" s="17"/>
      <c r="Y571" s="229"/>
      <c r="Z571" s="1"/>
      <c r="AA571" s="284"/>
      <c r="AB571" s="238"/>
      <c r="AC571" s="17"/>
      <c r="AD571" s="15"/>
      <c r="AE571" s="17"/>
      <c r="AF571" s="262"/>
      <c r="AG571" s="262"/>
      <c r="AH571" s="1"/>
      <c r="AI571" s="1"/>
      <c r="AJ571" s="1"/>
      <c r="AK571" s="1"/>
      <c r="AL571" s="1"/>
      <c r="AM571" s="1"/>
      <c r="AN571" s="1"/>
      <c r="AO571" s="1"/>
      <c r="AP571" s="1"/>
      <c r="AQ571" s="15"/>
      <c r="AR571" s="15"/>
      <c r="AS571" s="17"/>
      <c r="AT571" s="15"/>
      <c r="AU571" s="124"/>
      <c r="AV571" s="17"/>
      <c r="AW571" s="17"/>
      <c r="AX571" s="263"/>
      <c r="AY571" s="1"/>
      <c r="AZ571" s="1"/>
      <c r="BA571" s="297"/>
      <c r="BB571" s="1"/>
      <c r="BC571" s="11"/>
      <c r="BD571" s="11"/>
      <c r="BE571" s="214"/>
      <c r="BF571" s="268"/>
      <c r="BG571" s="1"/>
      <c r="BH571" s="210"/>
      <c r="BI571" s="60"/>
      <c r="BJ571" s="15"/>
      <c r="BK571" s="15"/>
      <c r="BL571" s="1"/>
      <c r="BM571" s="49" t="e">
        <f>IF(OR(#REF!="",#REF!="")=TRUE,"",NETWORKDAYS.INTL(#REF!,#REF!))</f>
        <v>#REF!</v>
      </c>
    </row>
    <row r="572" spans="1:65" x14ac:dyDescent="0.45">
      <c r="A572" s="13">
        <v>567</v>
      </c>
      <c r="B572" s="155"/>
      <c r="C572" s="85"/>
      <c r="D572" s="1"/>
      <c r="E572" s="1"/>
      <c r="F572" s="1"/>
      <c r="G572" s="1"/>
      <c r="H572" s="1"/>
      <c r="I572" s="1"/>
      <c r="J572" s="15"/>
      <c r="K572" s="17"/>
      <c r="L572" s="17"/>
      <c r="M572" s="238"/>
      <c r="N572" s="242"/>
      <c r="O572" s="244"/>
      <c r="P572" s="17"/>
      <c r="Q572" s="210"/>
      <c r="R572" s="17"/>
      <c r="S572" s="15"/>
      <c r="T572" s="17"/>
      <c r="U572" s="17"/>
      <c r="V572" s="15"/>
      <c r="W572" s="15"/>
      <c r="X572" s="17"/>
      <c r="Y572" s="229"/>
      <c r="Z572" s="1"/>
      <c r="AA572" s="284"/>
      <c r="AB572" s="238"/>
      <c r="AC572" s="17"/>
      <c r="AD572" s="15"/>
      <c r="AE572" s="17"/>
      <c r="AF572" s="262"/>
      <c r="AG572" s="262"/>
      <c r="AH572" s="1"/>
      <c r="AI572" s="1"/>
      <c r="AJ572" s="1"/>
      <c r="AK572" s="1"/>
      <c r="AL572" s="1"/>
      <c r="AM572" s="1"/>
      <c r="AN572" s="1"/>
      <c r="AO572" s="1"/>
      <c r="AP572" s="1"/>
      <c r="AQ572" s="15"/>
      <c r="AR572" s="15"/>
      <c r="AS572" s="17"/>
      <c r="AT572" s="15"/>
      <c r="AU572" s="124"/>
      <c r="AV572" s="17"/>
      <c r="AW572" s="17"/>
      <c r="AX572" s="263"/>
      <c r="AY572" s="1"/>
      <c r="AZ572" s="1"/>
      <c r="BA572" s="297"/>
      <c r="BB572" s="1"/>
      <c r="BC572" s="11"/>
      <c r="BD572" s="11"/>
      <c r="BE572" s="214"/>
      <c r="BF572" s="268"/>
      <c r="BG572" s="1"/>
      <c r="BH572" s="210"/>
      <c r="BI572" s="60"/>
      <c r="BJ572" s="15"/>
      <c r="BK572" s="15"/>
      <c r="BL572" s="1"/>
      <c r="BM572" s="49" t="e">
        <f>IF(OR(#REF!="",#REF!="")=TRUE,"",NETWORKDAYS.INTL(#REF!,#REF!))</f>
        <v>#REF!</v>
      </c>
    </row>
    <row r="573" spans="1:65" x14ac:dyDescent="0.45">
      <c r="A573" s="12">
        <v>568</v>
      </c>
      <c r="B573" s="150"/>
      <c r="C573" s="53"/>
      <c r="D573" s="1"/>
      <c r="E573" s="1"/>
      <c r="F573" s="1"/>
      <c r="G573" s="1"/>
      <c r="H573" s="1"/>
      <c r="I573" s="1"/>
      <c r="J573" s="15"/>
      <c r="K573" s="17"/>
      <c r="L573" s="17"/>
      <c r="M573" s="238"/>
      <c r="N573" s="242"/>
      <c r="O573" s="244"/>
      <c r="P573" s="17"/>
      <c r="Q573" s="210"/>
      <c r="R573" s="17"/>
      <c r="S573" s="15"/>
      <c r="T573" s="17"/>
      <c r="U573" s="17"/>
      <c r="V573" s="15"/>
      <c r="W573" s="15"/>
      <c r="X573" s="17"/>
      <c r="Y573" s="229"/>
      <c r="Z573" s="1"/>
      <c r="AA573" s="284"/>
      <c r="AB573" s="238"/>
      <c r="AC573" s="17"/>
      <c r="AD573" s="15"/>
      <c r="AE573" s="17"/>
      <c r="AF573" s="262"/>
      <c r="AG573" s="262"/>
      <c r="AH573" s="1"/>
      <c r="AI573" s="1"/>
      <c r="AJ573" s="1"/>
      <c r="AK573" s="1"/>
      <c r="AL573" s="1"/>
      <c r="AM573" s="1"/>
      <c r="AN573" s="1"/>
      <c r="AO573" s="1"/>
      <c r="AP573" s="1"/>
      <c r="AQ573" s="15"/>
      <c r="AR573" s="15"/>
      <c r="AS573" s="17"/>
      <c r="AT573" s="15"/>
      <c r="AU573" s="124"/>
      <c r="AV573" s="17"/>
      <c r="AW573" s="17"/>
      <c r="AX573" s="263"/>
      <c r="AY573" s="1"/>
      <c r="AZ573" s="1"/>
      <c r="BA573" s="297"/>
      <c r="BB573" s="1"/>
      <c r="BC573" s="11"/>
      <c r="BD573" s="11"/>
      <c r="BE573" s="214"/>
      <c r="BF573" s="268"/>
      <c r="BG573" s="1"/>
      <c r="BH573" s="210"/>
      <c r="BI573" s="60"/>
      <c r="BJ573" s="15"/>
      <c r="BK573" s="15"/>
      <c r="BL573" s="1"/>
      <c r="BM573" s="49" t="e">
        <f>IF(OR(#REF!="",#REF!="")=TRUE,"",NETWORKDAYS.INTL(#REF!,#REF!))</f>
        <v>#REF!</v>
      </c>
    </row>
    <row r="574" spans="1:65" x14ac:dyDescent="0.45">
      <c r="A574" s="13">
        <v>569</v>
      </c>
      <c r="B574" s="155"/>
      <c r="C574" s="85"/>
      <c r="D574" s="1"/>
      <c r="E574" s="1"/>
      <c r="F574" s="1"/>
      <c r="G574" s="1"/>
      <c r="H574" s="1"/>
      <c r="I574" s="1"/>
      <c r="J574" s="15"/>
      <c r="K574" s="17"/>
      <c r="L574" s="17"/>
      <c r="M574" s="238"/>
      <c r="N574" s="242"/>
      <c r="O574" s="244"/>
      <c r="P574" s="17"/>
      <c r="Q574" s="210"/>
      <c r="R574" s="17"/>
      <c r="S574" s="15"/>
      <c r="T574" s="17"/>
      <c r="U574" s="17"/>
      <c r="V574" s="15"/>
      <c r="W574" s="15"/>
      <c r="X574" s="17"/>
      <c r="Y574" s="229"/>
      <c r="Z574" s="1"/>
      <c r="AA574" s="284"/>
      <c r="AB574" s="238"/>
      <c r="AC574" s="17"/>
      <c r="AD574" s="15"/>
      <c r="AE574" s="17"/>
      <c r="AF574" s="262"/>
      <c r="AG574" s="262"/>
      <c r="AH574" s="1"/>
      <c r="AI574" s="1"/>
      <c r="AJ574" s="1"/>
      <c r="AK574" s="1"/>
      <c r="AL574" s="1"/>
      <c r="AM574" s="1"/>
      <c r="AN574" s="1"/>
      <c r="AO574" s="1"/>
      <c r="AP574" s="1"/>
      <c r="AQ574" s="15"/>
      <c r="AR574" s="15"/>
      <c r="AS574" s="17"/>
      <c r="AT574" s="15"/>
      <c r="AU574" s="124"/>
      <c r="AV574" s="17"/>
      <c r="AW574" s="17"/>
      <c r="AX574" s="263"/>
      <c r="AY574" s="1"/>
      <c r="AZ574" s="1"/>
      <c r="BA574" s="297"/>
      <c r="BB574" s="1"/>
      <c r="BC574" s="11"/>
      <c r="BD574" s="11"/>
      <c r="BE574" s="214"/>
      <c r="BF574" s="268"/>
      <c r="BG574" s="1"/>
      <c r="BH574" s="210"/>
      <c r="BI574" s="60"/>
      <c r="BJ574" s="15"/>
      <c r="BK574" s="15"/>
      <c r="BL574" s="1"/>
      <c r="BM574" s="49" t="e">
        <f>IF(OR(#REF!="",#REF!="")=TRUE,"",NETWORKDAYS.INTL(#REF!,#REF!))</f>
        <v>#REF!</v>
      </c>
    </row>
    <row r="575" spans="1:65" x14ac:dyDescent="0.45">
      <c r="A575" s="13">
        <v>570</v>
      </c>
      <c r="B575" s="155"/>
      <c r="C575" s="85"/>
      <c r="D575" s="1"/>
      <c r="E575" s="1"/>
      <c r="F575" s="1"/>
      <c r="G575" s="1"/>
      <c r="H575" s="1"/>
      <c r="I575" s="1"/>
      <c r="J575" s="15"/>
      <c r="K575" s="17"/>
      <c r="L575" s="17"/>
      <c r="M575" s="238"/>
      <c r="N575" s="242"/>
      <c r="O575" s="244"/>
      <c r="P575" s="17"/>
      <c r="Q575" s="210"/>
      <c r="R575" s="17"/>
      <c r="S575" s="15"/>
      <c r="T575" s="17"/>
      <c r="U575" s="17"/>
      <c r="V575" s="15"/>
      <c r="W575" s="15"/>
      <c r="X575" s="17"/>
      <c r="Y575" s="229"/>
      <c r="Z575" s="1"/>
      <c r="AA575" s="284"/>
      <c r="AB575" s="238"/>
      <c r="AC575" s="17"/>
      <c r="AD575" s="15"/>
      <c r="AE575" s="17"/>
      <c r="AF575" s="262"/>
      <c r="AG575" s="262"/>
      <c r="AH575" s="1"/>
      <c r="AI575" s="1"/>
      <c r="AJ575" s="1"/>
      <c r="AK575" s="1"/>
      <c r="AL575" s="1"/>
      <c r="AM575" s="1"/>
      <c r="AN575" s="1"/>
      <c r="AO575" s="1"/>
      <c r="AP575" s="1"/>
      <c r="AQ575" s="15"/>
      <c r="AR575" s="15"/>
      <c r="AS575" s="17"/>
      <c r="AT575" s="15"/>
      <c r="AU575" s="124"/>
      <c r="AV575" s="17"/>
      <c r="AW575" s="17"/>
      <c r="AX575" s="263"/>
      <c r="AY575" s="1"/>
      <c r="AZ575" s="1"/>
      <c r="BA575" s="297"/>
      <c r="BB575" s="1"/>
      <c r="BC575" s="11"/>
      <c r="BD575" s="11"/>
      <c r="BE575" s="214"/>
      <c r="BF575" s="268"/>
      <c r="BG575" s="1"/>
      <c r="BH575" s="210"/>
      <c r="BI575" s="60"/>
      <c r="BJ575" s="15"/>
      <c r="BK575" s="15"/>
      <c r="BL575" s="1"/>
      <c r="BM575" s="49" t="e">
        <f>IF(OR(#REF!="",#REF!="")=TRUE,"",NETWORKDAYS.INTL(#REF!,#REF!))</f>
        <v>#REF!</v>
      </c>
    </row>
    <row r="576" spans="1:65" x14ac:dyDescent="0.45">
      <c r="A576" s="12">
        <v>571</v>
      </c>
      <c r="B576" s="150"/>
      <c r="C576" s="53"/>
      <c r="D576" s="1"/>
      <c r="E576" s="1"/>
      <c r="F576" s="1"/>
      <c r="G576" s="1"/>
      <c r="H576" s="1"/>
      <c r="I576" s="1"/>
      <c r="J576" s="15"/>
      <c r="K576" s="17"/>
      <c r="L576" s="17"/>
      <c r="M576" s="238"/>
      <c r="N576" s="242"/>
      <c r="O576" s="244"/>
      <c r="P576" s="17"/>
      <c r="Q576" s="210"/>
      <c r="R576" s="17"/>
      <c r="S576" s="15"/>
      <c r="T576" s="17"/>
      <c r="U576" s="17"/>
      <c r="V576" s="15"/>
      <c r="W576" s="15"/>
      <c r="X576" s="17"/>
      <c r="Y576" s="229"/>
      <c r="Z576" s="1"/>
      <c r="AA576" s="284"/>
      <c r="AB576" s="238"/>
      <c r="AC576" s="17"/>
      <c r="AD576" s="15"/>
      <c r="AE576" s="17"/>
      <c r="AF576" s="262"/>
      <c r="AG576" s="262"/>
      <c r="AH576" s="1"/>
      <c r="AI576" s="1"/>
      <c r="AJ576" s="1"/>
      <c r="AK576" s="1"/>
      <c r="AL576" s="1"/>
      <c r="AM576" s="1"/>
      <c r="AN576" s="1"/>
      <c r="AO576" s="1"/>
      <c r="AP576" s="1"/>
      <c r="AQ576" s="15"/>
      <c r="AR576" s="15"/>
      <c r="AS576" s="17"/>
      <c r="AT576" s="15"/>
      <c r="AU576" s="124"/>
      <c r="AV576" s="17"/>
      <c r="AW576" s="17"/>
      <c r="AX576" s="263"/>
      <c r="AY576" s="1"/>
      <c r="AZ576" s="1"/>
      <c r="BA576" s="297"/>
      <c r="BB576" s="1"/>
      <c r="BC576" s="11"/>
      <c r="BD576" s="11"/>
      <c r="BE576" s="214"/>
      <c r="BF576" s="268"/>
      <c r="BG576" s="1"/>
      <c r="BH576" s="210"/>
      <c r="BI576" s="60"/>
      <c r="BJ576" s="15"/>
      <c r="BK576" s="15"/>
      <c r="BL576" s="1"/>
      <c r="BM576" s="49" t="e">
        <f>IF(OR(#REF!="",#REF!="")=TRUE,"",NETWORKDAYS.INTL(#REF!,#REF!))</f>
        <v>#REF!</v>
      </c>
    </row>
    <row r="577" spans="1:65" x14ac:dyDescent="0.45">
      <c r="A577" s="13">
        <v>572</v>
      </c>
      <c r="B577" s="155"/>
      <c r="C577" s="85"/>
      <c r="D577" s="1"/>
      <c r="E577" s="1"/>
      <c r="F577" s="1"/>
      <c r="G577" s="1"/>
      <c r="H577" s="1"/>
      <c r="I577" s="1"/>
      <c r="J577" s="15"/>
      <c r="K577" s="17"/>
      <c r="L577" s="17"/>
      <c r="M577" s="238"/>
      <c r="N577" s="242"/>
      <c r="O577" s="244"/>
      <c r="P577" s="17"/>
      <c r="Q577" s="210"/>
      <c r="R577" s="17"/>
      <c r="S577" s="15"/>
      <c r="T577" s="17"/>
      <c r="U577" s="17"/>
      <c r="V577" s="15"/>
      <c r="W577" s="15"/>
      <c r="X577" s="17"/>
      <c r="Y577" s="229"/>
      <c r="Z577" s="1"/>
      <c r="AA577" s="284"/>
      <c r="AB577" s="238"/>
      <c r="AC577" s="17"/>
      <c r="AD577" s="15"/>
      <c r="AE577" s="17"/>
      <c r="AF577" s="262"/>
      <c r="AG577" s="262"/>
      <c r="AH577" s="1"/>
      <c r="AI577" s="1"/>
      <c r="AJ577" s="1"/>
      <c r="AK577" s="1"/>
      <c r="AL577" s="1"/>
      <c r="AM577" s="1"/>
      <c r="AN577" s="1"/>
      <c r="AO577" s="1"/>
      <c r="AP577" s="1"/>
      <c r="AQ577" s="15"/>
      <c r="AR577" s="15"/>
      <c r="AS577" s="17"/>
      <c r="AT577" s="15"/>
      <c r="AU577" s="124"/>
      <c r="AV577" s="17"/>
      <c r="AW577" s="17"/>
      <c r="AX577" s="263"/>
      <c r="AY577" s="1"/>
      <c r="AZ577" s="1"/>
      <c r="BA577" s="297"/>
      <c r="BB577" s="1"/>
      <c r="BC577" s="11"/>
      <c r="BD577" s="11"/>
      <c r="BE577" s="214"/>
      <c r="BF577" s="268"/>
      <c r="BG577" s="1"/>
      <c r="BH577" s="210"/>
      <c r="BI577" s="60"/>
      <c r="BJ577" s="15"/>
      <c r="BK577" s="15"/>
      <c r="BL577" s="1"/>
      <c r="BM577" s="49" t="e">
        <f>IF(OR(#REF!="",#REF!="")=TRUE,"",NETWORKDAYS.INTL(#REF!,#REF!))</f>
        <v>#REF!</v>
      </c>
    </row>
    <row r="578" spans="1:65" x14ac:dyDescent="0.45">
      <c r="A578" s="13">
        <v>573</v>
      </c>
      <c r="B578" s="155"/>
      <c r="C578" s="85"/>
      <c r="D578" s="1"/>
      <c r="E578" s="1"/>
      <c r="F578" s="1"/>
      <c r="G578" s="1"/>
      <c r="H578" s="1"/>
      <c r="I578" s="1"/>
      <c r="J578" s="15"/>
      <c r="K578" s="17"/>
      <c r="L578" s="17"/>
      <c r="M578" s="238"/>
      <c r="N578" s="242"/>
      <c r="O578" s="244"/>
      <c r="P578" s="17"/>
      <c r="Q578" s="210"/>
      <c r="R578" s="17"/>
      <c r="S578" s="15"/>
      <c r="T578" s="17"/>
      <c r="U578" s="17"/>
      <c r="V578" s="15"/>
      <c r="W578" s="15"/>
      <c r="X578" s="17"/>
      <c r="Y578" s="229"/>
      <c r="Z578" s="1"/>
      <c r="AA578" s="284"/>
      <c r="AB578" s="238"/>
      <c r="AC578" s="17"/>
      <c r="AD578" s="15"/>
      <c r="AE578" s="17"/>
      <c r="AF578" s="262"/>
      <c r="AG578" s="262"/>
      <c r="AH578" s="1"/>
      <c r="AI578" s="1"/>
      <c r="AJ578" s="1"/>
      <c r="AK578" s="1"/>
      <c r="AL578" s="1"/>
      <c r="AM578" s="1"/>
      <c r="AN578" s="1"/>
      <c r="AO578" s="1"/>
      <c r="AP578" s="1"/>
      <c r="AQ578" s="15"/>
      <c r="AR578" s="15"/>
      <c r="AS578" s="17"/>
      <c r="AT578" s="15"/>
      <c r="AU578" s="124"/>
      <c r="AV578" s="17"/>
      <c r="AW578" s="17"/>
      <c r="AX578" s="263"/>
      <c r="AY578" s="1"/>
      <c r="AZ578" s="1"/>
      <c r="BA578" s="297"/>
      <c r="BB578" s="1"/>
      <c r="BC578" s="11"/>
      <c r="BD578" s="11"/>
      <c r="BE578" s="214"/>
      <c r="BF578" s="268"/>
      <c r="BG578" s="1"/>
      <c r="BH578" s="210"/>
      <c r="BI578" s="60"/>
      <c r="BJ578" s="15"/>
      <c r="BK578" s="15"/>
      <c r="BL578" s="1"/>
      <c r="BM578" s="49" t="e">
        <f>IF(OR(#REF!="",#REF!="")=TRUE,"",NETWORKDAYS.INTL(#REF!,#REF!))</f>
        <v>#REF!</v>
      </c>
    </row>
    <row r="579" spans="1:65" x14ac:dyDescent="0.45">
      <c r="A579" s="12">
        <v>574</v>
      </c>
      <c r="B579" s="150"/>
      <c r="C579" s="53"/>
      <c r="D579" s="1"/>
      <c r="E579" s="1"/>
      <c r="F579" s="1"/>
      <c r="G579" s="1"/>
      <c r="H579" s="1"/>
      <c r="I579" s="1"/>
      <c r="J579" s="15"/>
      <c r="K579" s="17"/>
      <c r="L579" s="17"/>
      <c r="M579" s="238"/>
      <c r="N579" s="242"/>
      <c r="O579" s="244"/>
      <c r="P579" s="17"/>
      <c r="Q579" s="210"/>
      <c r="R579" s="17"/>
      <c r="S579" s="15"/>
      <c r="T579" s="17"/>
      <c r="U579" s="17"/>
      <c r="V579" s="15"/>
      <c r="W579" s="15"/>
      <c r="X579" s="17"/>
      <c r="Y579" s="229"/>
      <c r="Z579" s="1"/>
      <c r="AA579" s="284"/>
      <c r="AB579" s="238"/>
      <c r="AC579" s="17"/>
      <c r="AD579" s="15"/>
      <c r="AE579" s="17"/>
      <c r="AF579" s="262"/>
      <c r="AG579" s="262"/>
      <c r="AH579" s="1"/>
      <c r="AI579" s="1"/>
      <c r="AJ579" s="1"/>
      <c r="AK579" s="1"/>
      <c r="AL579" s="1"/>
      <c r="AM579" s="1"/>
      <c r="AN579" s="1"/>
      <c r="AO579" s="1"/>
      <c r="AP579" s="1"/>
      <c r="AQ579" s="15"/>
      <c r="AR579" s="15"/>
      <c r="AS579" s="17"/>
      <c r="AT579" s="15"/>
      <c r="AU579" s="124"/>
      <c r="AV579" s="17"/>
      <c r="AW579" s="17"/>
      <c r="AX579" s="263"/>
      <c r="AY579" s="1"/>
      <c r="AZ579" s="1"/>
      <c r="BA579" s="297"/>
      <c r="BB579" s="1"/>
      <c r="BC579" s="11"/>
      <c r="BD579" s="11"/>
      <c r="BE579" s="214"/>
      <c r="BF579" s="268"/>
      <c r="BG579" s="1"/>
      <c r="BH579" s="210"/>
      <c r="BI579" s="60"/>
      <c r="BJ579" s="15"/>
      <c r="BK579" s="15"/>
      <c r="BL579" s="1"/>
      <c r="BM579" s="49" t="e">
        <f>IF(OR(#REF!="",#REF!="")=TRUE,"",NETWORKDAYS.INTL(#REF!,#REF!))</f>
        <v>#REF!</v>
      </c>
    </row>
    <row r="580" spans="1:65" x14ac:dyDescent="0.45">
      <c r="A580" s="13">
        <v>575</v>
      </c>
      <c r="B580" s="155"/>
      <c r="C580" s="85"/>
      <c r="D580" s="1"/>
      <c r="E580" s="1"/>
      <c r="F580" s="1"/>
      <c r="G580" s="1"/>
      <c r="H580" s="1"/>
      <c r="I580" s="1"/>
      <c r="J580" s="15"/>
      <c r="K580" s="17"/>
      <c r="L580" s="17"/>
      <c r="M580" s="238"/>
      <c r="N580" s="242"/>
      <c r="O580" s="244"/>
      <c r="P580" s="17"/>
      <c r="Q580" s="210"/>
      <c r="R580" s="17"/>
      <c r="S580" s="15"/>
      <c r="T580" s="17"/>
      <c r="U580" s="17"/>
      <c r="V580" s="15"/>
      <c r="W580" s="15"/>
      <c r="X580" s="17"/>
      <c r="Y580" s="229"/>
      <c r="Z580" s="1"/>
      <c r="AA580" s="284"/>
      <c r="AB580" s="238"/>
      <c r="AC580" s="17"/>
      <c r="AD580" s="15"/>
      <c r="AE580" s="17"/>
      <c r="AF580" s="262"/>
      <c r="AG580" s="262"/>
      <c r="AH580" s="1"/>
      <c r="AI580" s="1"/>
      <c r="AJ580" s="1"/>
      <c r="AK580" s="1"/>
      <c r="AL580" s="1"/>
      <c r="AM580" s="1"/>
      <c r="AN580" s="1"/>
      <c r="AO580" s="1"/>
      <c r="AP580" s="1"/>
      <c r="AQ580" s="15"/>
      <c r="AR580" s="15"/>
      <c r="AS580" s="17"/>
      <c r="AT580" s="15"/>
      <c r="AU580" s="124"/>
      <c r="AV580" s="17"/>
      <c r="AW580" s="17"/>
      <c r="AX580" s="263"/>
      <c r="AY580" s="1"/>
      <c r="AZ580" s="1"/>
      <c r="BA580" s="297"/>
      <c r="BB580" s="1"/>
      <c r="BC580" s="11"/>
      <c r="BD580" s="11"/>
      <c r="BE580" s="214"/>
      <c r="BF580" s="268"/>
      <c r="BG580" s="1"/>
      <c r="BH580" s="210"/>
      <c r="BI580" s="60"/>
      <c r="BJ580" s="15"/>
      <c r="BK580" s="15"/>
      <c r="BL580" s="1"/>
      <c r="BM580" s="49" t="e">
        <f>IF(OR(#REF!="",#REF!="")=TRUE,"",NETWORKDAYS.INTL(#REF!,#REF!))</f>
        <v>#REF!</v>
      </c>
    </row>
    <row r="581" spans="1:65" x14ac:dyDescent="0.45">
      <c r="A581" s="13">
        <v>576</v>
      </c>
      <c r="B581" s="155"/>
      <c r="C581" s="85"/>
      <c r="D581" s="1"/>
      <c r="E581" s="1"/>
      <c r="F581" s="1"/>
      <c r="G581" s="1"/>
      <c r="H581" s="1"/>
      <c r="I581" s="1"/>
      <c r="J581" s="15"/>
      <c r="K581" s="17"/>
      <c r="L581" s="17"/>
      <c r="M581" s="238"/>
      <c r="N581" s="242"/>
      <c r="O581" s="244"/>
      <c r="P581" s="17"/>
      <c r="Q581" s="210"/>
      <c r="R581" s="17"/>
      <c r="S581" s="15"/>
      <c r="T581" s="17"/>
      <c r="U581" s="17"/>
      <c r="V581" s="15"/>
      <c r="W581" s="15"/>
      <c r="X581" s="17"/>
      <c r="Y581" s="229"/>
      <c r="Z581" s="1"/>
      <c r="AA581" s="284"/>
      <c r="AB581" s="238"/>
      <c r="AC581" s="17"/>
      <c r="AD581" s="15"/>
      <c r="AE581" s="17"/>
      <c r="AF581" s="262"/>
      <c r="AG581" s="262"/>
      <c r="AH581" s="1"/>
      <c r="AI581" s="1"/>
      <c r="AJ581" s="1"/>
      <c r="AK581" s="1"/>
      <c r="AL581" s="1"/>
      <c r="AM581" s="1"/>
      <c r="AN581" s="1"/>
      <c r="AO581" s="1"/>
      <c r="AP581" s="1"/>
      <c r="AQ581" s="15"/>
      <c r="AR581" s="15"/>
      <c r="AS581" s="17"/>
      <c r="AT581" s="15"/>
      <c r="AU581" s="124"/>
      <c r="AV581" s="17"/>
      <c r="AW581" s="17"/>
      <c r="AX581" s="263"/>
      <c r="AY581" s="1"/>
      <c r="AZ581" s="1"/>
      <c r="BA581" s="297"/>
      <c r="BB581" s="1"/>
      <c r="BC581" s="11"/>
      <c r="BD581" s="11"/>
      <c r="BE581" s="214"/>
      <c r="BF581" s="268"/>
      <c r="BG581" s="1"/>
      <c r="BH581" s="210"/>
      <c r="BI581" s="60"/>
      <c r="BJ581" s="15"/>
      <c r="BK581" s="15"/>
      <c r="BL581" s="1"/>
      <c r="BM581" s="49" t="e">
        <f>IF(OR(#REF!="",#REF!="")=TRUE,"",NETWORKDAYS.INTL(#REF!,#REF!))</f>
        <v>#REF!</v>
      </c>
    </row>
    <row r="582" spans="1:65" x14ac:dyDescent="0.45">
      <c r="A582" s="12">
        <v>577</v>
      </c>
      <c r="B582" s="150"/>
      <c r="C582" s="53"/>
      <c r="D582" s="1"/>
      <c r="E582" s="1"/>
      <c r="F582" s="1"/>
      <c r="G582" s="1"/>
      <c r="H582" s="1"/>
      <c r="I582" s="1"/>
      <c r="J582" s="15"/>
      <c r="K582" s="17"/>
      <c r="L582" s="17"/>
      <c r="M582" s="238"/>
      <c r="N582" s="242"/>
      <c r="O582" s="244"/>
      <c r="P582" s="17"/>
      <c r="Q582" s="210"/>
      <c r="R582" s="17"/>
      <c r="S582" s="15"/>
      <c r="T582" s="17"/>
      <c r="U582" s="17"/>
      <c r="V582" s="15"/>
      <c r="W582" s="15"/>
      <c r="X582" s="17"/>
      <c r="Y582" s="229"/>
      <c r="Z582" s="1"/>
      <c r="AA582" s="284"/>
      <c r="AB582" s="238"/>
      <c r="AC582" s="17"/>
      <c r="AD582" s="15"/>
      <c r="AE582" s="17"/>
      <c r="AF582" s="262"/>
      <c r="AG582" s="262"/>
      <c r="AH582" s="1"/>
      <c r="AI582" s="1"/>
      <c r="AJ582" s="1"/>
      <c r="AK582" s="1"/>
      <c r="AL582" s="1"/>
      <c r="AM582" s="1"/>
      <c r="AN582" s="1"/>
      <c r="AO582" s="1"/>
      <c r="AP582" s="1"/>
      <c r="AQ582" s="15"/>
      <c r="AR582" s="15"/>
      <c r="AS582" s="17"/>
      <c r="AT582" s="15"/>
      <c r="AU582" s="124"/>
      <c r="AV582" s="17"/>
      <c r="AW582" s="17"/>
      <c r="AX582" s="263"/>
      <c r="AY582" s="1"/>
      <c r="AZ582" s="1"/>
      <c r="BA582" s="297"/>
      <c r="BB582" s="1"/>
      <c r="BC582" s="11"/>
      <c r="BD582" s="11"/>
      <c r="BE582" s="214"/>
      <c r="BF582" s="268"/>
      <c r="BG582" s="1"/>
      <c r="BH582" s="210"/>
      <c r="BI582" s="60"/>
      <c r="BJ582" s="15"/>
      <c r="BK582" s="15"/>
      <c r="BL582" s="1"/>
      <c r="BM582" s="49" t="e">
        <f>IF(OR(#REF!="",#REF!="")=TRUE,"",NETWORKDAYS.INTL(#REF!,#REF!))</f>
        <v>#REF!</v>
      </c>
    </row>
    <row r="583" spans="1:65" x14ac:dyDescent="0.45">
      <c r="A583" s="13">
        <v>578</v>
      </c>
      <c r="B583" s="155"/>
      <c r="C583" s="85"/>
      <c r="D583" s="1"/>
      <c r="E583" s="1"/>
      <c r="F583" s="1"/>
      <c r="G583" s="1"/>
      <c r="H583" s="1"/>
      <c r="I583" s="1"/>
      <c r="J583" s="15"/>
      <c r="K583" s="17"/>
      <c r="L583" s="17"/>
      <c r="M583" s="238"/>
      <c r="N583" s="242"/>
      <c r="O583" s="244"/>
      <c r="P583" s="17"/>
      <c r="Q583" s="210"/>
      <c r="R583" s="17"/>
      <c r="S583" s="15"/>
      <c r="T583" s="17"/>
      <c r="U583" s="17"/>
      <c r="V583" s="15"/>
      <c r="W583" s="15"/>
      <c r="X583" s="17"/>
      <c r="Y583" s="229"/>
      <c r="Z583" s="1"/>
      <c r="AA583" s="284"/>
      <c r="AB583" s="238"/>
      <c r="AC583" s="17"/>
      <c r="AD583" s="15"/>
      <c r="AE583" s="17"/>
      <c r="AF583" s="262"/>
      <c r="AG583" s="262"/>
      <c r="AH583" s="1"/>
      <c r="AI583" s="1"/>
      <c r="AJ583" s="1"/>
      <c r="AK583" s="1"/>
      <c r="AL583" s="1"/>
      <c r="AM583" s="1"/>
      <c r="AN583" s="1"/>
      <c r="AO583" s="1"/>
      <c r="AP583" s="1"/>
      <c r="AQ583" s="15"/>
      <c r="AR583" s="15"/>
      <c r="AS583" s="17"/>
      <c r="AT583" s="15"/>
      <c r="AU583" s="124"/>
      <c r="AV583" s="17"/>
      <c r="AW583" s="17"/>
      <c r="AX583" s="263"/>
      <c r="AY583" s="1"/>
      <c r="AZ583" s="1"/>
      <c r="BA583" s="297"/>
      <c r="BB583" s="1"/>
      <c r="BC583" s="11"/>
      <c r="BD583" s="11"/>
      <c r="BE583" s="214"/>
      <c r="BF583" s="268"/>
      <c r="BG583" s="1"/>
      <c r="BH583" s="210"/>
      <c r="BI583" s="60"/>
      <c r="BJ583" s="15"/>
      <c r="BK583" s="15"/>
      <c r="BL583" s="1"/>
      <c r="BM583" s="49" t="e">
        <f>IF(OR(#REF!="",#REF!="")=TRUE,"",NETWORKDAYS.INTL(#REF!,#REF!))</f>
        <v>#REF!</v>
      </c>
    </row>
    <row r="584" spans="1:65" x14ac:dyDescent="0.45">
      <c r="A584" s="13">
        <v>579</v>
      </c>
      <c r="B584" s="155"/>
      <c r="C584" s="85"/>
      <c r="D584" s="1"/>
      <c r="E584" s="1"/>
      <c r="F584" s="1"/>
      <c r="G584" s="1"/>
      <c r="H584" s="1"/>
      <c r="I584" s="1"/>
      <c r="J584" s="15"/>
      <c r="K584" s="17"/>
      <c r="L584" s="17"/>
      <c r="M584" s="238"/>
      <c r="N584" s="242"/>
      <c r="O584" s="244"/>
      <c r="P584" s="17"/>
      <c r="Q584" s="210"/>
      <c r="R584" s="17"/>
      <c r="S584" s="15"/>
      <c r="T584" s="17"/>
      <c r="U584" s="17"/>
      <c r="V584" s="15"/>
      <c r="W584" s="15"/>
      <c r="X584" s="17"/>
      <c r="Y584" s="229"/>
      <c r="Z584" s="1"/>
      <c r="AA584" s="284"/>
      <c r="AB584" s="238"/>
      <c r="AC584" s="17"/>
      <c r="AD584" s="15"/>
      <c r="AE584" s="17"/>
      <c r="AF584" s="262"/>
      <c r="AG584" s="262"/>
      <c r="AH584" s="1"/>
      <c r="AI584" s="1"/>
      <c r="AJ584" s="1"/>
      <c r="AK584" s="1"/>
      <c r="AL584" s="1"/>
      <c r="AM584" s="1"/>
      <c r="AN584" s="1"/>
      <c r="AO584" s="1"/>
      <c r="AP584" s="1"/>
      <c r="AQ584" s="15"/>
      <c r="AR584" s="15"/>
      <c r="AS584" s="17"/>
      <c r="AT584" s="15"/>
      <c r="AU584" s="124"/>
      <c r="AV584" s="17"/>
      <c r="AW584" s="17"/>
      <c r="AX584" s="263"/>
      <c r="AY584" s="1"/>
      <c r="AZ584" s="1"/>
      <c r="BA584" s="297"/>
      <c r="BB584" s="1"/>
      <c r="BC584" s="11"/>
      <c r="BD584" s="11"/>
      <c r="BE584" s="214"/>
      <c r="BF584" s="268"/>
      <c r="BG584" s="1"/>
      <c r="BH584" s="210"/>
      <c r="BI584" s="60"/>
      <c r="BJ584" s="15"/>
      <c r="BK584" s="15"/>
      <c r="BL584" s="1"/>
      <c r="BM584" s="49" t="e">
        <f>IF(OR(#REF!="",#REF!="")=TRUE,"",NETWORKDAYS.INTL(#REF!,#REF!))</f>
        <v>#REF!</v>
      </c>
    </row>
    <row r="585" spans="1:65" x14ac:dyDescent="0.45">
      <c r="A585" s="12">
        <v>580</v>
      </c>
      <c r="B585" s="150"/>
      <c r="C585" s="53"/>
      <c r="D585" s="1"/>
      <c r="E585" s="1"/>
      <c r="F585" s="1"/>
      <c r="G585" s="1"/>
      <c r="H585" s="1"/>
      <c r="I585" s="1"/>
      <c r="J585" s="15"/>
      <c r="K585" s="17"/>
      <c r="L585" s="17"/>
      <c r="M585" s="238"/>
      <c r="N585" s="242"/>
      <c r="O585" s="244"/>
      <c r="P585" s="17"/>
      <c r="Q585" s="210"/>
      <c r="R585" s="17"/>
      <c r="S585" s="15"/>
      <c r="T585" s="17"/>
      <c r="U585" s="17"/>
      <c r="V585" s="15"/>
      <c r="W585" s="15"/>
      <c r="X585" s="17"/>
      <c r="Y585" s="229"/>
      <c r="Z585" s="1"/>
      <c r="AA585" s="284"/>
      <c r="AB585" s="238"/>
      <c r="AC585" s="17"/>
      <c r="AD585" s="15"/>
      <c r="AE585" s="17"/>
      <c r="AF585" s="262"/>
      <c r="AG585" s="262"/>
      <c r="AH585" s="1"/>
      <c r="AI585" s="1"/>
      <c r="AJ585" s="1"/>
      <c r="AK585" s="1"/>
      <c r="AL585" s="1"/>
      <c r="AM585" s="1"/>
      <c r="AN585" s="1"/>
      <c r="AO585" s="1"/>
      <c r="AP585" s="1"/>
      <c r="AQ585" s="15"/>
      <c r="AR585" s="15"/>
      <c r="AS585" s="17"/>
      <c r="AT585" s="15"/>
      <c r="AU585" s="124"/>
      <c r="AV585" s="17"/>
      <c r="AW585" s="17"/>
      <c r="AX585" s="263"/>
      <c r="AY585" s="1"/>
      <c r="AZ585" s="1"/>
      <c r="BA585" s="297"/>
      <c r="BB585" s="1"/>
      <c r="BC585" s="11"/>
      <c r="BD585" s="11"/>
      <c r="BE585" s="214"/>
      <c r="BF585" s="268"/>
      <c r="BG585" s="1"/>
      <c r="BH585" s="210"/>
      <c r="BI585" s="60"/>
      <c r="BJ585" s="15"/>
      <c r="BK585" s="15"/>
      <c r="BL585" s="1"/>
      <c r="BM585" s="49" t="e">
        <f>IF(OR(#REF!="",#REF!="")=TRUE,"",NETWORKDAYS.INTL(#REF!,#REF!))</f>
        <v>#REF!</v>
      </c>
    </row>
    <row r="586" spans="1:65" x14ac:dyDescent="0.45">
      <c r="A586" s="13">
        <v>581</v>
      </c>
      <c r="B586" s="155"/>
      <c r="C586" s="85"/>
      <c r="D586" s="1"/>
      <c r="E586" s="1"/>
      <c r="F586" s="1"/>
      <c r="G586" s="1"/>
      <c r="H586" s="1"/>
      <c r="I586" s="1"/>
      <c r="J586" s="15"/>
      <c r="K586" s="17"/>
      <c r="L586" s="17"/>
      <c r="M586" s="238"/>
      <c r="N586" s="242"/>
      <c r="O586" s="244"/>
      <c r="P586" s="17"/>
      <c r="Q586" s="210"/>
      <c r="R586" s="17"/>
      <c r="S586" s="15"/>
      <c r="T586" s="17"/>
      <c r="U586" s="17"/>
      <c r="V586" s="15"/>
      <c r="W586" s="15"/>
      <c r="X586" s="17"/>
      <c r="Y586" s="229"/>
      <c r="Z586" s="1"/>
      <c r="AA586" s="284"/>
      <c r="AB586" s="238"/>
      <c r="AC586" s="17"/>
      <c r="AD586" s="15"/>
      <c r="AE586" s="17"/>
      <c r="AF586" s="262"/>
      <c r="AG586" s="262"/>
      <c r="AH586" s="1"/>
      <c r="AI586" s="1"/>
      <c r="AJ586" s="1"/>
      <c r="AK586" s="1"/>
      <c r="AL586" s="1"/>
      <c r="AM586" s="1"/>
      <c r="AN586" s="1"/>
      <c r="AO586" s="1"/>
      <c r="AP586" s="1"/>
      <c r="AQ586" s="15"/>
      <c r="AR586" s="15"/>
      <c r="AS586" s="17"/>
      <c r="AT586" s="15"/>
      <c r="AU586" s="124"/>
      <c r="AV586" s="17"/>
      <c r="AW586" s="17"/>
      <c r="AX586" s="263"/>
      <c r="AY586" s="1"/>
      <c r="AZ586" s="1"/>
      <c r="BA586" s="297"/>
      <c r="BB586" s="1"/>
      <c r="BC586" s="11"/>
      <c r="BD586" s="11"/>
      <c r="BE586" s="214"/>
      <c r="BF586" s="268"/>
      <c r="BG586" s="1"/>
      <c r="BH586" s="210"/>
      <c r="BI586" s="60"/>
      <c r="BJ586" s="15"/>
      <c r="BK586" s="15"/>
      <c r="BL586" s="1"/>
      <c r="BM586" s="49" t="e">
        <f>IF(OR(#REF!="",#REF!="")=TRUE,"",NETWORKDAYS.INTL(#REF!,#REF!))</f>
        <v>#REF!</v>
      </c>
    </row>
    <row r="587" spans="1:65" x14ac:dyDescent="0.45">
      <c r="A587" s="13">
        <v>582</v>
      </c>
      <c r="B587" s="155"/>
      <c r="C587" s="85"/>
      <c r="D587" s="1"/>
      <c r="E587" s="1"/>
      <c r="F587" s="1"/>
      <c r="G587" s="1"/>
      <c r="H587" s="1"/>
      <c r="I587" s="1"/>
      <c r="J587" s="15"/>
      <c r="K587" s="17"/>
      <c r="L587" s="17"/>
      <c r="M587" s="238"/>
      <c r="N587" s="242"/>
      <c r="O587" s="244"/>
      <c r="P587" s="17"/>
      <c r="Q587" s="210"/>
      <c r="R587" s="17"/>
      <c r="S587" s="15"/>
      <c r="T587" s="17"/>
      <c r="U587" s="17"/>
      <c r="V587" s="15"/>
      <c r="W587" s="15"/>
      <c r="X587" s="17"/>
      <c r="Y587" s="229"/>
      <c r="Z587" s="1"/>
      <c r="AA587" s="284"/>
      <c r="AB587" s="238"/>
      <c r="AC587" s="17"/>
      <c r="AD587" s="15"/>
      <c r="AE587" s="17"/>
      <c r="AF587" s="262"/>
      <c r="AG587" s="262"/>
      <c r="AH587" s="1"/>
      <c r="AI587" s="1"/>
      <c r="AJ587" s="1"/>
      <c r="AK587" s="1"/>
      <c r="AL587" s="1"/>
      <c r="AM587" s="1"/>
      <c r="AN587" s="1"/>
      <c r="AO587" s="1"/>
      <c r="AP587" s="1"/>
      <c r="AQ587" s="15"/>
      <c r="AR587" s="15"/>
      <c r="AS587" s="17"/>
      <c r="AT587" s="15"/>
      <c r="AU587" s="124"/>
      <c r="AV587" s="17"/>
      <c r="AW587" s="17"/>
      <c r="AX587" s="263"/>
      <c r="AY587" s="1"/>
      <c r="AZ587" s="1"/>
      <c r="BA587" s="297"/>
      <c r="BB587" s="1"/>
      <c r="BC587" s="11"/>
      <c r="BD587" s="11"/>
      <c r="BE587" s="214"/>
      <c r="BF587" s="268"/>
      <c r="BG587" s="1"/>
      <c r="BH587" s="210"/>
      <c r="BI587" s="60"/>
      <c r="BJ587" s="15"/>
      <c r="BK587" s="15"/>
      <c r="BL587" s="1"/>
      <c r="BM587" s="49" t="e">
        <f>IF(OR(#REF!="",#REF!="")=TRUE,"",NETWORKDAYS.INTL(#REF!,#REF!))</f>
        <v>#REF!</v>
      </c>
    </row>
    <row r="588" spans="1:65" x14ac:dyDescent="0.45">
      <c r="A588" s="12">
        <v>583</v>
      </c>
      <c r="B588" s="150"/>
      <c r="C588" s="53"/>
      <c r="D588" s="1"/>
      <c r="E588" s="1"/>
      <c r="F588" s="1"/>
      <c r="G588" s="1"/>
      <c r="H588" s="1"/>
      <c r="I588" s="1"/>
      <c r="J588" s="15"/>
      <c r="K588" s="17"/>
      <c r="L588" s="17"/>
      <c r="M588" s="238"/>
      <c r="N588" s="242"/>
      <c r="O588" s="244"/>
      <c r="P588" s="17"/>
      <c r="Q588" s="210"/>
      <c r="R588" s="17"/>
      <c r="S588" s="15"/>
      <c r="T588" s="17"/>
      <c r="U588" s="17"/>
      <c r="V588" s="15"/>
      <c r="W588" s="15"/>
      <c r="X588" s="17"/>
      <c r="Y588" s="229"/>
      <c r="Z588" s="1"/>
      <c r="AA588" s="284"/>
      <c r="AB588" s="238"/>
      <c r="AC588" s="17"/>
      <c r="AD588" s="15"/>
      <c r="AE588" s="17"/>
      <c r="AF588" s="262"/>
      <c r="AG588" s="262"/>
      <c r="AH588" s="1"/>
      <c r="AI588" s="1"/>
      <c r="AJ588" s="1"/>
      <c r="AK588" s="1"/>
      <c r="AL588" s="1"/>
      <c r="AM588" s="1"/>
      <c r="AN588" s="1"/>
      <c r="AO588" s="1"/>
      <c r="AP588" s="1"/>
      <c r="AQ588" s="15"/>
      <c r="AR588" s="15"/>
      <c r="AS588" s="17"/>
      <c r="AT588" s="15"/>
      <c r="AU588" s="124"/>
      <c r="AV588" s="17"/>
      <c r="AW588" s="17"/>
      <c r="AX588" s="263"/>
      <c r="AY588" s="1"/>
      <c r="AZ588" s="1"/>
      <c r="BA588" s="297"/>
      <c r="BB588" s="1"/>
      <c r="BC588" s="11"/>
      <c r="BD588" s="11"/>
      <c r="BE588" s="214"/>
      <c r="BF588" s="268"/>
      <c r="BG588" s="1"/>
      <c r="BH588" s="210"/>
      <c r="BI588" s="60"/>
      <c r="BJ588" s="15"/>
      <c r="BK588" s="15"/>
      <c r="BL588" s="1"/>
      <c r="BM588" s="49" t="e">
        <f>IF(OR(#REF!="",#REF!="")=TRUE,"",NETWORKDAYS.INTL(#REF!,#REF!))</f>
        <v>#REF!</v>
      </c>
    </row>
    <row r="589" spans="1:65" x14ac:dyDescent="0.45">
      <c r="A589" s="13">
        <v>584</v>
      </c>
      <c r="B589" s="155"/>
      <c r="C589" s="85"/>
      <c r="D589" s="1"/>
      <c r="E589" s="1"/>
      <c r="F589" s="1"/>
      <c r="G589" s="1"/>
      <c r="H589" s="1"/>
      <c r="I589" s="1"/>
      <c r="J589" s="15"/>
      <c r="K589" s="17"/>
      <c r="L589" s="17"/>
      <c r="M589" s="238"/>
      <c r="N589" s="242"/>
      <c r="O589" s="244"/>
      <c r="P589" s="17"/>
      <c r="Q589" s="210"/>
      <c r="R589" s="17"/>
      <c r="S589" s="15"/>
      <c r="T589" s="17"/>
      <c r="U589" s="17"/>
      <c r="V589" s="15"/>
      <c r="W589" s="15"/>
      <c r="X589" s="17"/>
      <c r="Y589" s="229"/>
      <c r="Z589" s="1"/>
      <c r="AA589" s="284"/>
      <c r="AB589" s="238"/>
      <c r="AC589" s="17"/>
      <c r="AD589" s="15"/>
      <c r="AE589" s="17"/>
      <c r="AF589" s="262"/>
      <c r="AG589" s="262"/>
      <c r="AH589" s="1"/>
      <c r="AI589" s="1"/>
      <c r="AJ589" s="1"/>
      <c r="AK589" s="1"/>
      <c r="AL589" s="1"/>
      <c r="AM589" s="1"/>
      <c r="AN589" s="1"/>
      <c r="AO589" s="1"/>
      <c r="AP589" s="1"/>
      <c r="AQ589" s="15"/>
      <c r="AR589" s="15"/>
      <c r="AS589" s="17"/>
      <c r="AT589" s="15"/>
      <c r="AU589" s="124"/>
      <c r="AV589" s="17"/>
      <c r="AW589" s="17"/>
      <c r="AX589" s="263"/>
      <c r="AY589" s="1"/>
      <c r="AZ589" s="1"/>
      <c r="BA589" s="297"/>
      <c r="BB589" s="1"/>
      <c r="BC589" s="11"/>
      <c r="BD589" s="11"/>
      <c r="BE589" s="214"/>
      <c r="BF589" s="268"/>
      <c r="BG589" s="1"/>
      <c r="BH589" s="210"/>
      <c r="BI589" s="60"/>
      <c r="BJ589" s="15"/>
      <c r="BK589" s="15"/>
      <c r="BL589" s="1"/>
      <c r="BM589" s="49" t="e">
        <f>IF(OR(#REF!="",#REF!="")=TRUE,"",NETWORKDAYS.INTL(#REF!,#REF!))</f>
        <v>#REF!</v>
      </c>
    </row>
    <row r="590" spans="1:65" x14ac:dyDescent="0.45">
      <c r="A590" s="13">
        <v>585</v>
      </c>
      <c r="B590" s="155"/>
      <c r="C590" s="85"/>
      <c r="D590" s="1"/>
      <c r="E590" s="1"/>
      <c r="F590" s="1"/>
      <c r="G590" s="1"/>
      <c r="H590" s="1"/>
      <c r="I590" s="1"/>
      <c r="J590" s="15"/>
      <c r="K590" s="17"/>
      <c r="L590" s="17"/>
      <c r="M590" s="238"/>
      <c r="N590" s="242"/>
      <c r="O590" s="244"/>
      <c r="P590" s="17"/>
      <c r="Q590" s="210"/>
      <c r="R590" s="17"/>
      <c r="S590" s="15"/>
      <c r="T590" s="17"/>
      <c r="U590" s="17"/>
      <c r="V590" s="15"/>
      <c r="W590" s="15"/>
      <c r="X590" s="17"/>
      <c r="Y590" s="229"/>
      <c r="Z590" s="1"/>
      <c r="AA590" s="284"/>
      <c r="AB590" s="238"/>
      <c r="AC590" s="17"/>
      <c r="AD590" s="15"/>
      <c r="AE590" s="17"/>
      <c r="AF590" s="262"/>
      <c r="AG590" s="262"/>
      <c r="AH590" s="1"/>
      <c r="AI590" s="1"/>
      <c r="AJ590" s="1"/>
      <c r="AK590" s="1"/>
      <c r="AL590" s="1"/>
      <c r="AM590" s="1"/>
      <c r="AN590" s="1"/>
      <c r="AO590" s="1"/>
      <c r="AP590" s="1"/>
      <c r="AQ590" s="15"/>
      <c r="AR590" s="15"/>
      <c r="AS590" s="17"/>
      <c r="AT590" s="15"/>
      <c r="AU590" s="124"/>
      <c r="AV590" s="17"/>
      <c r="AW590" s="17"/>
      <c r="AX590" s="263"/>
      <c r="AY590" s="1"/>
      <c r="AZ590" s="1"/>
      <c r="BA590" s="297"/>
      <c r="BB590" s="1"/>
      <c r="BC590" s="11"/>
      <c r="BD590" s="11"/>
      <c r="BE590" s="214"/>
      <c r="BF590" s="268"/>
      <c r="BG590" s="1"/>
      <c r="BH590" s="210"/>
      <c r="BI590" s="60"/>
      <c r="BJ590" s="15"/>
      <c r="BK590" s="15"/>
      <c r="BL590" s="1"/>
      <c r="BM590" s="49" t="e">
        <f>IF(OR(#REF!="",#REF!="")=TRUE,"",NETWORKDAYS.INTL(#REF!,#REF!))</f>
        <v>#REF!</v>
      </c>
    </row>
    <row r="591" spans="1:65" x14ac:dyDescent="0.45">
      <c r="A591" s="12">
        <v>586</v>
      </c>
      <c r="B591" s="150"/>
      <c r="C591" s="53"/>
      <c r="D591" s="1"/>
      <c r="E591" s="1"/>
      <c r="F591" s="1"/>
      <c r="G591" s="1"/>
      <c r="H591" s="1"/>
      <c r="I591" s="1"/>
      <c r="J591" s="15"/>
      <c r="K591" s="17"/>
      <c r="L591" s="17"/>
      <c r="M591" s="238"/>
      <c r="N591" s="242"/>
      <c r="O591" s="244"/>
      <c r="P591" s="17"/>
      <c r="Q591" s="210"/>
      <c r="R591" s="17"/>
      <c r="S591" s="15"/>
      <c r="T591" s="17"/>
      <c r="U591" s="17"/>
      <c r="V591" s="15"/>
      <c r="W591" s="15"/>
      <c r="X591" s="17"/>
      <c r="Y591" s="229"/>
      <c r="Z591" s="1"/>
      <c r="AA591" s="284"/>
      <c r="AB591" s="238"/>
      <c r="AC591" s="17"/>
      <c r="AD591" s="15"/>
      <c r="AE591" s="17"/>
      <c r="AF591" s="262"/>
      <c r="AG591" s="262"/>
      <c r="AH591" s="1"/>
      <c r="AI591" s="1"/>
      <c r="AJ591" s="1"/>
      <c r="AK591" s="1"/>
      <c r="AL591" s="1"/>
      <c r="AM591" s="1"/>
      <c r="AN591" s="1"/>
      <c r="AO591" s="1"/>
      <c r="AP591" s="1"/>
      <c r="AQ591" s="15"/>
      <c r="AR591" s="15"/>
      <c r="AS591" s="17"/>
      <c r="AT591" s="15"/>
      <c r="AU591" s="124"/>
      <c r="AV591" s="17"/>
      <c r="AW591" s="17"/>
      <c r="AX591" s="263"/>
      <c r="AY591" s="1"/>
      <c r="AZ591" s="1"/>
      <c r="BA591" s="297"/>
      <c r="BB591" s="1"/>
      <c r="BC591" s="11"/>
      <c r="BD591" s="11"/>
      <c r="BE591" s="214"/>
      <c r="BF591" s="268"/>
      <c r="BG591" s="1"/>
      <c r="BH591" s="210"/>
      <c r="BI591" s="60"/>
      <c r="BJ591" s="15"/>
      <c r="BK591" s="15"/>
      <c r="BL591" s="1"/>
      <c r="BM591" s="49" t="e">
        <f>IF(OR(#REF!="",#REF!="")=TRUE,"",NETWORKDAYS.INTL(#REF!,#REF!))</f>
        <v>#REF!</v>
      </c>
    </row>
    <row r="592" spans="1:65" x14ac:dyDescent="0.45">
      <c r="A592" s="13">
        <v>587</v>
      </c>
      <c r="B592" s="155"/>
      <c r="C592" s="85"/>
      <c r="D592" s="1"/>
      <c r="E592" s="1"/>
      <c r="F592" s="1"/>
      <c r="G592" s="1"/>
      <c r="H592" s="1"/>
      <c r="I592" s="1"/>
      <c r="J592" s="15"/>
      <c r="K592" s="17"/>
      <c r="L592" s="17"/>
      <c r="M592" s="238"/>
      <c r="N592" s="242"/>
      <c r="O592" s="244"/>
      <c r="P592" s="17"/>
      <c r="Q592" s="210"/>
      <c r="R592" s="17"/>
      <c r="S592" s="15"/>
      <c r="T592" s="17"/>
      <c r="U592" s="17"/>
      <c r="V592" s="15"/>
      <c r="W592" s="15"/>
      <c r="X592" s="17"/>
      <c r="Y592" s="229"/>
      <c r="Z592" s="1"/>
      <c r="AA592" s="284"/>
      <c r="AB592" s="238"/>
      <c r="AC592" s="17"/>
      <c r="AD592" s="15"/>
      <c r="AE592" s="17"/>
      <c r="AF592" s="262"/>
      <c r="AG592" s="262"/>
      <c r="AH592" s="1"/>
      <c r="AI592" s="1"/>
      <c r="AJ592" s="1"/>
      <c r="AK592" s="1"/>
      <c r="AL592" s="1"/>
      <c r="AM592" s="1"/>
      <c r="AN592" s="1"/>
      <c r="AO592" s="1"/>
      <c r="AP592" s="1"/>
      <c r="AQ592" s="15"/>
      <c r="AR592" s="15"/>
      <c r="AS592" s="17"/>
      <c r="AT592" s="15"/>
      <c r="AU592" s="124"/>
      <c r="AV592" s="17"/>
      <c r="AW592" s="17"/>
      <c r="AX592" s="263"/>
      <c r="AY592" s="1"/>
      <c r="AZ592" s="1"/>
      <c r="BA592" s="297"/>
      <c r="BB592" s="1"/>
      <c r="BC592" s="11"/>
      <c r="BD592" s="11"/>
      <c r="BE592" s="214"/>
      <c r="BF592" s="268"/>
      <c r="BG592" s="1"/>
      <c r="BH592" s="210"/>
      <c r="BI592" s="60"/>
      <c r="BJ592" s="15"/>
      <c r="BK592" s="15"/>
      <c r="BL592" s="1"/>
      <c r="BM592" s="49" t="e">
        <f>IF(OR(#REF!="",#REF!="")=TRUE,"",NETWORKDAYS.INTL(#REF!,#REF!))</f>
        <v>#REF!</v>
      </c>
    </row>
    <row r="593" spans="1:65" x14ac:dyDescent="0.45">
      <c r="A593" s="13">
        <v>588</v>
      </c>
      <c r="B593" s="155"/>
      <c r="C593" s="85"/>
      <c r="D593" s="1"/>
      <c r="E593" s="1"/>
      <c r="F593" s="1"/>
      <c r="G593" s="1"/>
      <c r="H593" s="1"/>
      <c r="I593" s="1"/>
      <c r="J593" s="15"/>
      <c r="K593" s="17"/>
      <c r="L593" s="17"/>
      <c r="M593" s="238"/>
      <c r="N593" s="242"/>
      <c r="O593" s="244"/>
      <c r="P593" s="17"/>
      <c r="Q593" s="210"/>
      <c r="R593" s="17"/>
      <c r="S593" s="15"/>
      <c r="T593" s="17"/>
      <c r="U593" s="17"/>
      <c r="V593" s="15"/>
      <c r="W593" s="15"/>
      <c r="X593" s="17"/>
      <c r="Y593" s="229"/>
      <c r="Z593" s="1"/>
      <c r="AA593" s="284"/>
      <c r="AB593" s="238"/>
      <c r="AC593" s="17"/>
      <c r="AD593" s="15"/>
      <c r="AE593" s="17"/>
      <c r="AF593" s="262"/>
      <c r="AG593" s="262"/>
      <c r="AH593" s="1"/>
      <c r="AI593" s="1"/>
      <c r="AJ593" s="1"/>
      <c r="AK593" s="1"/>
      <c r="AL593" s="1"/>
      <c r="AM593" s="1"/>
      <c r="AN593" s="1"/>
      <c r="AO593" s="1"/>
      <c r="AP593" s="1"/>
      <c r="AQ593" s="15"/>
      <c r="AR593" s="15"/>
      <c r="AS593" s="17"/>
      <c r="AT593" s="15"/>
      <c r="AU593" s="124"/>
      <c r="AV593" s="17"/>
      <c r="AW593" s="17"/>
      <c r="AX593" s="263"/>
      <c r="AY593" s="1"/>
      <c r="AZ593" s="1"/>
      <c r="BA593" s="297"/>
      <c r="BB593" s="1"/>
      <c r="BC593" s="11"/>
      <c r="BD593" s="11"/>
      <c r="BE593" s="214"/>
      <c r="BF593" s="268"/>
      <c r="BG593" s="1"/>
      <c r="BH593" s="210"/>
      <c r="BI593" s="60"/>
      <c r="BJ593" s="15"/>
      <c r="BK593" s="15"/>
      <c r="BL593" s="1"/>
      <c r="BM593" s="49" t="e">
        <f>IF(OR(#REF!="",#REF!="")=TRUE,"",NETWORKDAYS.INTL(#REF!,#REF!))</f>
        <v>#REF!</v>
      </c>
    </row>
    <row r="594" spans="1:65" x14ac:dyDescent="0.45">
      <c r="A594" s="12">
        <v>589</v>
      </c>
      <c r="B594" s="150"/>
      <c r="C594" s="53"/>
      <c r="D594" s="1"/>
      <c r="E594" s="1"/>
      <c r="F594" s="1"/>
      <c r="G594" s="1"/>
      <c r="H594" s="1"/>
      <c r="I594" s="1"/>
      <c r="J594" s="15"/>
      <c r="K594" s="17"/>
      <c r="L594" s="17"/>
      <c r="M594" s="238"/>
      <c r="N594" s="242"/>
      <c r="O594" s="244"/>
      <c r="P594" s="17"/>
      <c r="Q594" s="210"/>
      <c r="R594" s="17"/>
      <c r="S594" s="15"/>
      <c r="T594" s="17"/>
      <c r="U594" s="17"/>
      <c r="V594" s="15"/>
      <c r="W594" s="15"/>
      <c r="X594" s="17"/>
      <c r="Y594" s="229"/>
      <c r="Z594" s="1"/>
      <c r="AA594" s="284"/>
      <c r="AB594" s="238"/>
      <c r="AC594" s="17"/>
      <c r="AD594" s="15"/>
      <c r="AE594" s="17"/>
      <c r="AF594" s="262"/>
      <c r="AG594" s="262"/>
      <c r="AH594" s="1"/>
      <c r="AI594" s="1"/>
      <c r="AJ594" s="1"/>
      <c r="AK594" s="1"/>
      <c r="AL594" s="1"/>
      <c r="AM594" s="1"/>
      <c r="AN594" s="1"/>
      <c r="AO594" s="1"/>
      <c r="AP594" s="1"/>
      <c r="AQ594" s="15"/>
      <c r="AR594" s="15"/>
      <c r="AS594" s="17"/>
      <c r="AT594" s="15"/>
      <c r="AU594" s="124"/>
      <c r="AV594" s="17"/>
      <c r="AW594" s="17"/>
      <c r="AX594" s="263"/>
      <c r="AY594" s="1"/>
      <c r="AZ594" s="1"/>
      <c r="BA594" s="297"/>
      <c r="BB594" s="1"/>
      <c r="BC594" s="11"/>
      <c r="BD594" s="11"/>
      <c r="BE594" s="214"/>
      <c r="BF594" s="268"/>
      <c r="BG594" s="1"/>
      <c r="BH594" s="210"/>
      <c r="BI594" s="60"/>
      <c r="BJ594" s="15"/>
      <c r="BK594" s="15"/>
      <c r="BL594" s="1"/>
      <c r="BM594" s="49" t="e">
        <f>IF(OR(#REF!="",#REF!="")=TRUE,"",NETWORKDAYS.INTL(#REF!,#REF!))</f>
        <v>#REF!</v>
      </c>
    </row>
    <row r="595" spans="1:65" x14ac:dyDescent="0.45">
      <c r="A595" s="13">
        <v>590</v>
      </c>
      <c r="B595" s="155"/>
      <c r="C595" s="85"/>
      <c r="D595" s="1"/>
      <c r="E595" s="1"/>
      <c r="F595" s="1"/>
      <c r="G595" s="1"/>
      <c r="H595" s="1"/>
      <c r="I595" s="1"/>
      <c r="J595" s="15"/>
      <c r="K595" s="17"/>
      <c r="L595" s="17"/>
      <c r="M595" s="238"/>
      <c r="N595" s="242"/>
      <c r="O595" s="244"/>
      <c r="P595" s="17"/>
      <c r="Q595" s="210"/>
      <c r="R595" s="17"/>
      <c r="S595" s="15"/>
      <c r="T595" s="17"/>
      <c r="U595" s="17"/>
      <c r="V595" s="15"/>
      <c r="W595" s="15"/>
      <c r="X595" s="17"/>
      <c r="Y595" s="229"/>
      <c r="Z595" s="1"/>
      <c r="AA595" s="284"/>
      <c r="AB595" s="238"/>
      <c r="AC595" s="17"/>
      <c r="AD595" s="15"/>
      <c r="AE595" s="17"/>
      <c r="AF595" s="262"/>
      <c r="AG595" s="262"/>
      <c r="AH595" s="1"/>
      <c r="AI595" s="1"/>
      <c r="AJ595" s="1"/>
      <c r="AK595" s="1"/>
      <c r="AL595" s="1"/>
      <c r="AM595" s="1"/>
      <c r="AN595" s="1"/>
      <c r="AO595" s="1"/>
      <c r="AP595" s="1"/>
      <c r="AQ595" s="15"/>
      <c r="AR595" s="15"/>
      <c r="AS595" s="17"/>
      <c r="AT595" s="15"/>
      <c r="AU595" s="124"/>
      <c r="AV595" s="17"/>
      <c r="AW595" s="17"/>
      <c r="AX595" s="263"/>
      <c r="AY595" s="1"/>
      <c r="AZ595" s="1"/>
      <c r="BA595" s="297"/>
      <c r="BB595" s="1"/>
      <c r="BC595" s="11"/>
      <c r="BD595" s="11"/>
      <c r="BE595" s="214"/>
      <c r="BF595" s="268"/>
      <c r="BG595" s="1"/>
      <c r="BH595" s="210"/>
      <c r="BI595" s="60"/>
      <c r="BJ595" s="15"/>
      <c r="BK595" s="15"/>
      <c r="BL595" s="1"/>
      <c r="BM595" s="49" t="e">
        <f>IF(OR(#REF!="",#REF!="")=TRUE,"",NETWORKDAYS.INTL(#REF!,#REF!))</f>
        <v>#REF!</v>
      </c>
    </row>
    <row r="596" spans="1:65" x14ac:dyDescent="0.45">
      <c r="A596" s="13">
        <v>591</v>
      </c>
      <c r="B596" s="155"/>
      <c r="C596" s="85"/>
      <c r="D596" s="1"/>
      <c r="E596" s="1"/>
      <c r="F596" s="1"/>
      <c r="G596" s="1"/>
      <c r="H596" s="1"/>
      <c r="I596" s="1"/>
      <c r="J596" s="15"/>
      <c r="K596" s="17"/>
      <c r="L596" s="17"/>
      <c r="M596" s="238"/>
      <c r="N596" s="242"/>
      <c r="O596" s="244"/>
      <c r="P596" s="17"/>
      <c r="Q596" s="210"/>
      <c r="R596" s="17"/>
      <c r="S596" s="15"/>
      <c r="T596" s="17"/>
      <c r="U596" s="17"/>
      <c r="V596" s="15"/>
      <c r="W596" s="15"/>
      <c r="X596" s="17"/>
      <c r="Y596" s="229"/>
      <c r="Z596" s="1"/>
      <c r="AA596" s="284"/>
      <c r="AB596" s="238"/>
      <c r="AC596" s="17"/>
      <c r="AD596" s="15"/>
      <c r="AE596" s="17"/>
      <c r="AF596" s="262"/>
      <c r="AG596" s="262"/>
      <c r="AH596" s="1"/>
      <c r="AI596" s="1"/>
      <c r="AJ596" s="1"/>
      <c r="AK596" s="1"/>
      <c r="AL596" s="1"/>
      <c r="AM596" s="1"/>
      <c r="AN596" s="1"/>
      <c r="AO596" s="1"/>
      <c r="AP596" s="1"/>
      <c r="AQ596" s="15"/>
      <c r="AR596" s="15"/>
      <c r="AS596" s="17"/>
      <c r="AT596" s="15"/>
      <c r="AU596" s="124"/>
      <c r="AV596" s="17"/>
      <c r="AW596" s="17"/>
      <c r="AX596" s="263"/>
      <c r="AY596" s="1"/>
      <c r="AZ596" s="1"/>
      <c r="BA596" s="297"/>
      <c r="BB596" s="1"/>
      <c r="BC596" s="11"/>
      <c r="BD596" s="11"/>
      <c r="BE596" s="214"/>
      <c r="BF596" s="268"/>
      <c r="BG596" s="1"/>
      <c r="BH596" s="210"/>
      <c r="BI596" s="60"/>
      <c r="BJ596" s="15"/>
      <c r="BK596" s="15"/>
      <c r="BL596" s="1"/>
      <c r="BM596" s="49" t="e">
        <f>IF(OR(#REF!="",#REF!="")=TRUE,"",NETWORKDAYS.INTL(#REF!,#REF!))</f>
        <v>#REF!</v>
      </c>
    </row>
    <row r="597" spans="1:65" x14ac:dyDescent="0.45">
      <c r="A597" s="12">
        <v>592</v>
      </c>
      <c r="B597" s="150"/>
      <c r="C597" s="53"/>
      <c r="D597" s="1"/>
      <c r="E597" s="1"/>
      <c r="F597" s="1"/>
      <c r="G597" s="1"/>
      <c r="H597" s="1"/>
      <c r="I597" s="1"/>
      <c r="J597" s="15"/>
      <c r="K597" s="17"/>
      <c r="L597" s="17"/>
      <c r="M597" s="238"/>
      <c r="N597" s="242"/>
      <c r="O597" s="244"/>
      <c r="P597" s="17"/>
      <c r="Q597" s="210"/>
      <c r="R597" s="17"/>
      <c r="S597" s="15"/>
      <c r="T597" s="17"/>
      <c r="U597" s="17"/>
      <c r="V597" s="15"/>
      <c r="W597" s="15"/>
      <c r="X597" s="17"/>
      <c r="Y597" s="229"/>
      <c r="Z597" s="1"/>
      <c r="AA597" s="284"/>
      <c r="AB597" s="238"/>
      <c r="AC597" s="17"/>
      <c r="AD597" s="15"/>
      <c r="AE597" s="17"/>
      <c r="AF597" s="262"/>
      <c r="AG597" s="262"/>
      <c r="AH597" s="1"/>
      <c r="AI597" s="1"/>
      <c r="AJ597" s="1"/>
      <c r="AK597" s="1"/>
      <c r="AL597" s="1"/>
      <c r="AM597" s="1"/>
      <c r="AN597" s="1"/>
      <c r="AO597" s="1"/>
      <c r="AP597" s="1"/>
      <c r="AQ597" s="15"/>
      <c r="AR597" s="15"/>
      <c r="AS597" s="17"/>
      <c r="AT597" s="15"/>
      <c r="AU597" s="124"/>
      <c r="AV597" s="17"/>
      <c r="AW597" s="17"/>
      <c r="AX597" s="263"/>
      <c r="AY597" s="1"/>
      <c r="AZ597" s="1"/>
      <c r="BA597" s="297"/>
      <c r="BB597" s="1"/>
      <c r="BC597" s="11"/>
      <c r="BD597" s="11"/>
      <c r="BE597" s="214"/>
      <c r="BF597" s="268"/>
      <c r="BG597" s="1"/>
      <c r="BH597" s="210"/>
      <c r="BI597" s="60"/>
      <c r="BJ597" s="15"/>
      <c r="BK597" s="15"/>
      <c r="BL597" s="1"/>
      <c r="BM597" s="49" t="e">
        <f>IF(OR(#REF!="",#REF!="")=TRUE,"",NETWORKDAYS.INTL(#REF!,#REF!))</f>
        <v>#REF!</v>
      </c>
    </row>
    <row r="598" spans="1:65" x14ac:dyDescent="0.45">
      <c r="A598" s="13">
        <v>593</v>
      </c>
      <c r="B598" s="155"/>
      <c r="C598" s="85"/>
      <c r="D598" s="1"/>
      <c r="E598" s="1"/>
      <c r="F598" s="1"/>
      <c r="G598" s="1"/>
      <c r="H598" s="1"/>
      <c r="I598" s="1"/>
      <c r="J598" s="15"/>
      <c r="K598" s="17"/>
      <c r="L598" s="17"/>
      <c r="M598" s="238"/>
      <c r="N598" s="242"/>
      <c r="O598" s="244"/>
      <c r="P598" s="17"/>
      <c r="Q598" s="210"/>
      <c r="R598" s="17"/>
      <c r="S598" s="15"/>
      <c r="T598" s="17"/>
      <c r="U598" s="17"/>
      <c r="V598" s="15"/>
      <c r="W598" s="15"/>
      <c r="X598" s="17"/>
      <c r="Y598" s="229"/>
      <c r="Z598" s="1"/>
      <c r="AA598" s="284"/>
      <c r="AB598" s="238"/>
      <c r="AC598" s="17"/>
      <c r="AD598" s="15"/>
      <c r="AE598" s="17"/>
      <c r="AF598" s="262"/>
      <c r="AG598" s="262"/>
      <c r="AH598" s="1"/>
      <c r="AI598" s="1"/>
      <c r="AJ598" s="1"/>
      <c r="AK598" s="1"/>
      <c r="AL598" s="1"/>
      <c r="AM598" s="1"/>
      <c r="AN598" s="1"/>
      <c r="AO598" s="1"/>
      <c r="AP598" s="1"/>
      <c r="AQ598" s="15"/>
      <c r="AR598" s="15"/>
      <c r="AS598" s="17"/>
      <c r="AT598" s="15"/>
      <c r="AU598" s="124"/>
      <c r="AV598" s="17"/>
      <c r="AW598" s="17"/>
      <c r="AX598" s="263"/>
      <c r="AY598" s="1"/>
      <c r="AZ598" s="1"/>
      <c r="BA598" s="297"/>
      <c r="BB598" s="1"/>
      <c r="BC598" s="11"/>
      <c r="BD598" s="11"/>
      <c r="BE598" s="214"/>
      <c r="BF598" s="268"/>
      <c r="BG598" s="1"/>
      <c r="BH598" s="210"/>
      <c r="BI598" s="60"/>
      <c r="BJ598" s="15"/>
      <c r="BK598" s="15"/>
      <c r="BL598" s="1"/>
      <c r="BM598" s="49" t="e">
        <f>IF(OR(#REF!="",#REF!="")=TRUE,"",NETWORKDAYS.INTL(#REF!,#REF!))</f>
        <v>#REF!</v>
      </c>
    </row>
    <row r="599" spans="1:65" x14ac:dyDescent="0.45">
      <c r="A599" s="13">
        <v>594</v>
      </c>
      <c r="B599" s="155"/>
      <c r="C599" s="85"/>
      <c r="D599" s="1"/>
      <c r="E599" s="1"/>
      <c r="F599" s="1"/>
      <c r="G599" s="1"/>
      <c r="H599" s="1"/>
      <c r="I599" s="1"/>
      <c r="J599" s="15"/>
      <c r="K599" s="17"/>
      <c r="L599" s="17"/>
      <c r="M599" s="238"/>
      <c r="N599" s="242"/>
      <c r="O599" s="244"/>
      <c r="P599" s="17"/>
      <c r="Q599" s="210"/>
      <c r="R599" s="17"/>
      <c r="S599" s="15"/>
      <c r="T599" s="17"/>
      <c r="U599" s="17"/>
      <c r="V599" s="15"/>
      <c r="W599" s="15"/>
      <c r="X599" s="17"/>
      <c r="Y599" s="229"/>
      <c r="Z599" s="1"/>
      <c r="AA599" s="284"/>
      <c r="AB599" s="238"/>
      <c r="AC599" s="17"/>
      <c r="AD599" s="15"/>
      <c r="AE599" s="17"/>
      <c r="AF599" s="262"/>
      <c r="AG599" s="262"/>
      <c r="AH599" s="1"/>
      <c r="AI599" s="1"/>
      <c r="AJ599" s="1"/>
      <c r="AK599" s="1"/>
      <c r="AL599" s="1"/>
      <c r="AM599" s="1"/>
      <c r="AN599" s="1"/>
      <c r="AO599" s="1"/>
      <c r="AP599" s="1"/>
      <c r="AQ599" s="15"/>
      <c r="AR599" s="15"/>
      <c r="AS599" s="17"/>
      <c r="AT599" s="15"/>
      <c r="AU599" s="124"/>
      <c r="AV599" s="17"/>
      <c r="AW599" s="17"/>
      <c r="AX599" s="263"/>
      <c r="AY599" s="1"/>
      <c r="AZ599" s="1"/>
      <c r="BA599" s="297"/>
      <c r="BB599" s="1"/>
      <c r="BC599" s="11"/>
      <c r="BD599" s="11"/>
      <c r="BE599" s="214"/>
      <c r="BF599" s="268"/>
      <c r="BG599" s="1"/>
      <c r="BH599" s="210"/>
      <c r="BI599" s="60"/>
      <c r="BJ599" s="15"/>
      <c r="BK599" s="15"/>
      <c r="BL599" s="1"/>
      <c r="BM599" s="49" t="e">
        <f>IF(OR(#REF!="",#REF!="")=TRUE,"",NETWORKDAYS.INTL(#REF!,#REF!))</f>
        <v>#REF!</v>
      </c>
    </row>
    <row r="600" spans="1:65" x14ac:dyDescent="0.45">
      <c r="A600" s="12">
        <v>595</v>
      </c>
      <c r="B600" s="150"/>
      <c r="C600" s="53"/>
      <c r="D600" s="1"/>
      <c r="E600" s="1"/>
      <c r="F600" s="1"/>
      <c r="G600" s="1"/>
      <c r="H600" s="1"/>
      <c r="I600" s="1"/>
      <c r="J600" s="15"/>
      <c r="K600" s="17"/>
      <c r="L600" s="17"/>
      <c r="M600" s="238"/>
      <c r="N600" s="242"/>
      <c r="O600" s="244"/>
      <c r="P600" s="17"/>
      <c r="Q600" s="210"/>
      <c r="R600" s="17"/>
      <c r="S600" s="15"/>
      <c r="T600" s="17"/>
      <c r="U600" s="17"/>
      <c r="V600" s="15"/>
      <c r="W600" s="15"/>
      <c r="X600" s="17"/>
      <c r="Y600" s="229"/>
      <c r="Z600" s="1"/>
      <c r="AA600" s="284"/>
      <c r="AB600" s="238"/>
      <c r="AC600" s="17"/>
      <c r="AD600" s="15"/>
      <c r="AE600" s="17"/>
      <c r="AF600" s="262"/>
      <c r="AG600" s="262"/>
      <c r="AH600" s="1"/>
      <c r="AI600" s="1"/>
      <c r="AJ600" s="1"/>
      <c r="AK600" s="1"/>
      <c r="AL600" s="1"/>
      <c r="AM600" s="1"/>
      <c r="AN600" s="1"/>
      <c r="AO600" s="1"/>
      <c r="AP600" s="1"/>
      <c r="AQ600" s="15"/>
      <c r="AR600" s="15"/>
      <c r="AS600" s="17"/>
      <c r="AT600" s="15"/>
      <c r="AU600" s="124"/>
      <c r="AV600" s="17"/>
      <c r="AW600" s="17"/>
      <c r="AX600" s="263"/>
      <c r="AY600" s="1"/>
      <c r="AZ600" s="1"/>
      <c r="BA600" s="297"/>
      <c r="BB600" s="1"/>
      <c r="BC600" s="11"/>
      <c r="BD600" s="11"/>
      <c r="BE600" s="214"/>
      <c r="BF600" s="268"/>
      <c r="BG600" s="1"/>
      <c r="BH600" s="210"/>
      <c r="BI600" s="60"/>
      <c r="BJ600" s="15"/>
      <c r="BK600" s="15"/>
      <c r="BL600" s="1"/>
      <c r="BM600" s="49" t="e">
        <f>IF(OR(#REF!="",#REF!="")=TRUE,"",NETWORKDAYS.INTL(#REF!,#REF!))</f>
        <v>#REF!</v>
      </c>
    </row>
    <row r="601" spans="1:65" x14ac:dyDescent="0.45">
      <c r="A601" s="13">
        <v>596</v>
      </c>
      <c r="B601" s="155"/>
      <c r="C601" s="85"/>
      <c r="D601" s="1"/>
      <c r="E601" s="1"/>
      <c r="F601" s="1"/>
      <c r="G601" s="1"/>
      <c r="H601" s="1"/>
      <c r="I601" s="1"/>
      <c r="J601" s="15"/>
      <c r="K601" s="17"/>
      <c r="L601" s="17"/>
      <c r="M601" s="238"/>
      <c r="N601" s="242"/>
      <c r="O601" s="244"/>
      <c r="P601" s="17"/>
      <c r="Q601" s="210"/>
      <c r="R601" s="17"/>
      <c r="S601" s="15"/>
      <c r="T601" s="17"/>
      <c r="U601" s="17"/>
      <c r="V601" s="15"/>
      <c r="W601" s="15"/>
      <c r="X601" s="17"/>
      <c r="Y601" s="229"/>
      <c r="Z601" s="1"/>
      <c r="AA601" s="284"/>
      <c r="AB601" s="238"/>
      <c r="AC601" s="17"/>
      <c r="AD601" s="15"/>
      <c r="AE601" s="17"/>
      <c r="AF601" s="262"/>
      <c r="AG601" s="262"/>
      <c r="AH601" s="1"/>
      <c r="AI601" s="1"/>
      <c r="AJ601" s="1"/>
      <c r="AK601" s="1"/>
      <c r="AL601" s="1"/>
      <c r="AM601" s="1"/>
      <c r="AN601" s="1"/>
      <c r="AO601" s="1"/>
      <c r="AP601" s="1"/>
      <c r="AQ601" s="15"/>
      <c r="AR601" s="15"/>
      <c r="AS601" s="17"/>
      <c r="AT601" s="15"/>
      <c r="AU601" s="124"/>
      <c r="AV601" s="17"/>
      <c r="AW601" s="17"/>
      <c r="AX601" s="263"/>
      <c r="AY601" s="1"/>
      <c r="AZ601" s="1"/>
      <c r="BA601" s="297"/>
      <c r="BB601" s="1"/>
      <c r="BC601" s="11"/>
      <c r="BD601" s="11"/>
      <c r="BE601" s="214"/>
      <c r="BF601" s="268"/>
      <c r="BG601" s="1"/>
      <c r="BH601" s="210"/>
      <c r="BI601" s="60"/>
      <c r="BJ601" s="15"/>
      <c r="BK601" s="15"/>
      <c r="BL601" s="1"/>
      <c r="BM601" s="49" t="e">
        <f>IF(OR(#REF!="",#REF!="")=TRUE,"",NETWORKDAYS.INTL(#REF!,#REF!))</f>
        <v>#REF!</v>
      </c>
    </row>
    <row r="602" spans="1:65" x14ac:dyDescent="0.45">
      <c r="A602" s="13">
        <v>597</v>
      </c>
      <c r="B602" s="155"/>
      <c r="C602" s="85"/>
      <c r="D602" s="1"/>
      <c r="E602" s="1"/>
      <c r="F602" s="1"/>
      <c r="G602" s="1"/>
      <c r="H602" s="1"/>
      <c r="I602" s="1"/>
      <c r="J602" s="15"/>
      <c r="K602" s="17"/>
      <c r="L602" s="17"/>
      <c r="M602" s="238"/>
      <c r="N602" s="242"/>
      <c r="O602" s="244"/>
      <c r="P602" s="17"/>
      <c r="Q602" s="210"/>
      <c r="R602" s="17"/>
      <c r="S602" s="15"/>
      <c r="T602" s="17"/>
      <c r="U602" s="17"/>
      <c r="V602" s="15"/>
      <c r="W602" s="15"/>
      <c r="X602" s="17"/>
      <c r="Y602" s="229"/>
      <c r="Z602" s="1"/>
      <c r="AA602" s="284"/>
      <c r="AB602" s="238"/>
      <c r="AC602" s="17"/>
      <c r="AD602" s="15"/>
      <c r="AE602" s="17"/>
      <c r="AF602" s="262"/>
      <c r="AG602" s="262"/>
      <c r="AH602" s="1"/>
      <c r="AI602" s="1"/>
      <c r="AJ602" s="1"/>
      <c r="AK602" s="1"/>
      <c r="AL602" s="1"/>
      <c r="AM602" s="1"/>
      <c r="AN602" s="1"/>
      <c r="AO602" s="1"/>
      <c r="AP602" s="1"/>
      <c r="AQ602" s="15"/>
      <c r="AR602" s="15"/>
      <c r="AS602" s="17"/>
      <c r="AT602" s="15"/>
      <c r="AU602" s="124"/>
      <c r="AV602" s="17"/>
      <c r="AW602" s="17"/>
      <c r="AX602" s="263"/>
      <c r="AY602" s="1"/>
      <c r="AZ602" s="1"/>
      <c r="BA602" s="297"/>
      <c r="BB602" s="1"/>
      <c r="BC602" s="11"/>
      <c r="BD602" s="11"/>
      <c r="BE602" s="214"/>
      <c r="BF602" s="268"/>
      <c r="BG602" s="1"/>
      <c r="BH602" s="210"/>
      <c r="BI602" s="60"/>
      <c r="BJ602" s="15"/>
      <c r="BK602" s="15"/>
      <c r="BL602" s="1"/>
      <c r="BM602" s="49" t="e">
        <f>IF(OR(#REF!="",#REF!="")=TRUE,"",NETWORKDAYS.INTL(#REF!,#REF!))</f>
        <v>#REF!</v>
      </c>
    </row>
    <row r="603" spans="1:65" x14ac:dyDescent="0.45">
      <c r="A603" s="12">
        <v>598</v>
      </c>
      <c r="B603" s="150"/>
      <c r="C603" s="53"/>
      <c r="D603" s="1"/>
      <c r="E603" s="1"/>
      <c r="F603" s="1"/>
      <c r="G603" s="1"/>
      <c r="H603" s="1"/>
      <c r="I603" s="1"/>
      <c r="J603" s="15"/>
      <c r="K603" s="17"/>
      <c r="L603" s="17"/>
      <c r="M603" s="238"/>
      <c r="N603" s="242"/>
      <c r="O603" s="244"/>
      <c r="P603" s="17"/>
      <c r="Q603" s="210"/>
      <c r="R603" s="17"/>
      <c r="S603" s="15"/>
      <c r="T603" s="17"/>
      <c r="U603" s="17"/>
      <c r="V603" s="15"/>
      <c r="W603" s="15"/>
      <c r="X603" s="17"/>
      <c r="Y603" s="229"/>
      <c r="Z603" s="1"/>
      <c r="AA603" s="284"/>
      <c r="AB603" s="238"/>
      <c r="AC603" s="17"/>
      <c r="AD603" s="15"/>
      <c r="AE603" s="17"/>
      <c r="AF603" s="262"/>
      <c r="AG603" s="262"/>
      <c r="AH603" s="1"/>
      <c r="AI603" s="1"/>
      <c r="AJ603" s="1"/>
      <c r="AK603" s="1"/>
      <c r="AL603" s="1"/>
      <c r="AM603" s="1"/>
      <c r="AN603" s="1"/>
      <c r="AO603" s="1"/>
      <c r="AP603" s="1"/>
      <c r="AQ603" s="15"/>
      <c r="AR603" s="15"/>
      <c r="AS603" s="17"/>
      <c r="AT603" s="15"/>
      <c r="AU603" s="124"/>
      <c r="AV603" s="17"/>
      <c r="AW603" s="17"/>
      <c r="AX603" s="263"/>
      <c r="AY603" s="1"/>
      <c r="AZ603" s="1"/>
      <c r="BA603" s="297"/>
      <c r="BB603" s="1"/>
      <c r="BC603" s="11"/>
      <c r="BD603" s="11"/>
      <c r="BE603" s="214"/>
      <c r="BF603" s="268"/>
      <c r="BG603" s="1"/>
      <c r="BH603" s="210"/>
      <c r="BI603" s="60"/>
      <c r="BJ603" s="15"/>
      <c r="BK603" s="15"/>
      <c r="BL603" s="1"/>
      <c r="BM603" s="49" t="e">
        <f>IF(OR(#REF!="",#REF!="")=TRUE,"",NETWORKDAYS.INTL(#REF!,#REF!))</f>
        <v>#REF!</v>
      </c>
    </row>
    <row r="604" spans="1:65" x14ac:dyDescent="0.45">
      <c r="A604" s="13">
        <v>599</v>
      </c>
      <c r="B604" s="155"/>
      <c r="C604" s="85"/>
      <c r="D604" s="1"/>
      <c r="E604" s="1"/>
      <c r="F604" s="1"/>
      <c r="G604" s="1"/>
      <c r="H604" s="1"/>
      <c r="I604" s="1"/>
      <c r="J604" s="15"/>
      <c r="K604" s="17"/>
      <c r="L604" s="17"/>
      <c r="M604" s="238"/>
      <c r="N604" s="242"/>
      <c r="O604" s="244"/>
      <c r="P604" s="17"/>
      <c r="Q604" s="210"/>
      <c r="R604" s="17"/>
      <c r="S604" s="15"/>
      <c r="T604" s="17"/>
      <c r="U604" s="17"/>
      <c r="V604" s="15"/>
      <c r="W604" s="15"/>
      <c r="X604" s="17"/>
      <c r="Y604" s="229"/>
      <c r="Z604" s="1"/>
      <c r="AA604" s="284"/>
      <c r="AB604" s="238"/>
      <c r="AC604" s="17"/>
      <c r="AD604" s="15"/>
      <c r="AE604" s="17"/>
      <c r="AF604" s="262"/>
      <c r="AG604" s="262"/>
      <c r="AH604" s="1"/>
      <c r="AI604" s="1"/>
      <c r="AJ604" s="1"/>
      <c r="AK604" s="1"/>
      <c r="AL604" s="1"/>
      <c r="AM604" s="1"/>
      <c r="AN604" s="1"/>
      <c r="AO604" s="1"/>
      <c r="AP604" s="1"/>
      <c r="AQ604" s="15"/>
      <c r="AR604" s="15"/>
      <c r="AS604" s="17"/>
      <c r="AT604" s="15"/>
      <c r="AU604" s="124"/>
      <c r="AV604" s="17"/>
      <c r="AW604" s="17"/>
      <c r="AX604" s="263"/>
      <c r="AY604" s="1"/>
      <c r="AZ604" s="1"/>
      <c r="BA604" s="297"/>
      <c r="BB604" s="1"/>
      <c r="BC604" s="11"/>
      <c r="BD604" s="11"/>
      <c r="BE604" s="214"/>
      <c r="BF604" s="268"/>
      <c r="BG604" s="1"/>
      <c r="BH604" s="210"/>
      <c r="BI604" s="60"/>
      <c r="BJ604" s="15"/>
      <c r="BK604" s="15"/>
      <c r="BL604" s="1"/>
      <c r="BM604" s="49" t="e">
        <f>IF(OR(#REF!="",#REF!="")=TRUE,"",NETWORKDAYS.INTL(#REF!,#REF!))</f>
        <v>#REF!</v>
      </c>
    </row>
    <row r="605" spans="1:65" x14ac:dyDescent="0.45">
      <c r="A605" s="13">
        <v>600</v>
      </c>
      <c r="B605" s="155"/>
      <c r="C605" s="85"/>
      <c r="D605" s="1"/>
      <c r="E605" s="1"/>
      <c r="F605" s="1"/>
      <c r="G605" s="1"/>
      <c r="H605" s="1"/>
      <c r="I605" s="1"/>
      <c r="J605" s="15"/>
      <c r="K605" s="17"/>
      <c r="L605" s="17"/>
      <c r="M605" s="238"/>
      <c r="N605" s="242"/>
      <c r="O605" s="244"/>
      <c r="P605" s="17"/>
      <c r="Q605" s="210"/>
      <c r="R605" s="17"/>
      <c r="S605" s="15"/>
      <c r="T605" s="17"/>
      <c r="U605" s="17"/>
      <c r="V605" s="15"/>
      <c r="W605" s="15"/>
      <c r="X605" s="17"/>
      <c r="Y605" s="229"/>
      <c r="Z605" s="1"/>
      <c r="AA605" s="284"/>
      <c r="AB605" s="238"/>
      <c r="AC605" s="17"/>
      <c r="AD605" s="15"/>
      <c r="AE605" s="17"/>
      <c r="AF605" s="262"/>
      <c r="AG605" s="262"/>
      <c r="AH605" s="1"/>
      <c r="AI605" s="1"/>
      <c r="AJ605" s="1"/>
      <c r="AK605" s="1"/>
      <c r="AL605" s="1"/>
      <c r="AM605" s="1"/>
      <c r="AN605" s="1"/>
      <c r="AO605" s="1"/>
      <c r="AP605" s="1"/>
      <c r="AQ605" s="15"/>
      <c r="AR605" s="15"/>
      <c r="AS605" s="17"/>
      <c r="AT605" s="15"/>
      <c r="AU605" s="124"/>
      <c r="AV605" s="17"/>
      <c r="AW605" s="17"/>
      <c r="AX605" s="263"/>
      <c r="AY605" s="1"/>
      <c r="AZ605" s="1"/>
      <c r="BA605" s="297"/>
      <c r="BB605" s="1"/>
      <c r="BC605" s="11"/>
      <c r="BD605" s="11"/>
      <c r="BE605" s="214"/>
      <c r="BF605" s="268"/>
      <c r="BG605" s="1"/>
      <c r="BH605" s="210"/>
      <c r="BI605" s="60"/>
      <c r="BJ605" s="15"/>
      <c r="BK605" s="15"/>
      <c r="BL605" s="1"/>
      <c r="BM605" s="49" t="e">
        <f>IF(OR(#REF!="",#REF!="")=TRUE,"",NETWORKDAYS.INTL(#REF!,#REF!))</f>
        <v>#REF!</v>
      </c>
    </row>
    <row r="606" spans="1:65" x14ac:dyDescent="0.45">
      <c r="A606" s="12">
        <v>601</v>
      </c>
      <c r="B606" s="150"/>
      <c r="C606" s="53"/>
      <c r="D606" s="1"/>
      <c r="E606" s="1"/>
      <c r="F606" s="1"/>
      <c r="G606" s="1"/>
      <c r="H606" s="1"/>
      <c r="I606" s="1"/>
      <c r="J606" s="15"/>
      <c r="K606" s="17"/>
      <c r="L606" s="17"/>
      <c r="M606" s="238"/>
      <c r="N606" s="242"/>
      <c r="O606" s="244"/>
      <c r="P606" s="17"/>
      <c r="Q606" s="210"/>
      <c r="R606" s="17"/>
      <c r="S606" s="15"/>
      <c r="T606" s="17"/>
      <c r="U606" s="17"/>
      <c r="V606" s="15"/>
      <c r="W606" s="15"/>
      <c r="X606" s="17"/>
      <c r="Y606" s="229"/>
      <c r="Z606" s="1"/>
      <c r="AA606" s="284"/>
      <c r="AB606" s="238"/>
      <c r="AC606" s="17"/>
      <c r="AD606" s="15"/>
      <c r="AE606" s="17"/>
      <c r="AF606" s="262"/>
      <c r="AG606" s="262"/>
      <c r="AH606" s="1"/>
      <c r="AI606" s="1"/>
      <c r="AJ606" s="1"/>
      <c r="AK606" s="1"/>
      <c r="AL606" s="1"/>
      <c r="AM606" s="1"/>
      <c r="AN606" s="1"/>
      <c r="AO606" s="1"/>
      <c r="AP606" s="1"/>
      <c r="AQ606" s="15"/>
      <c r="AR606" s="15"/>
      <c r="AS606" s="17"/>
      <c r="AT606" s="15"/>
      <c r="AU606" s="124"/>
      <c r="AV606" s="17"/>
      <c r="AW606" s="17"/>
      <c r="AX606" s="263"/>
      <c r="AY606" s="1"/>
      <c r="AZ606" s="1"/>
      <c r="BA606" s="297"/>
      <c r="BB606" s="1"/>
      <c r="BC606" s="11"/>
      <c r="BD606" s="11"/>
      <c r="BE606" s="214"/>
      <c r="BF606" s="268"/>
      <c r="BG606" s="1"/>
      <c r="BH606" s="210"/>
      <c r="BI606" s="60"/>
      <c r="BJ606" s="15"/>
      <c r="BK606" s="15"/>
      <c r="BL606" s="1"/>
      <c r="BM606" s="49" t="e">
        <f>IF(OR(#REF!="",#REF!="")=TRUE,"",NETWORKDAYS.INTL(#REF!,#REF!))</f>
        <v>#REF!</v>
      </c>
    </row>
    <row r="607" spans="1:65" x14ac:dyDescent="0.45">
      <c r="A607" s="13">
        <v>602</v>
      </c>
      <c r="B607" s="155"/>
      <c r="C607" s="85"/>
      <c r="D607" s="1"/>
      <c r="E607" s="1"/>
      <c r="F607" s="1"/>
      <c r="G607" s="1"/>
      <c r="H607" s="1"/>
      <c r="I607" s="1"/>
      <c r="J607" s="15"/>
      <c r="K607" s="17"/>
      <c r="L607" s="17"/>
      <c r="M607" s="238"/>
      <c r="N607" s="242"/>
      <c r="O607" s="244"/>
      <c r="P607" s="17"/>
      <c r="Q607" s="210"/>
      <c r="R607" s="17"/>
      <c r="S607" s="15"/>
      <c r="T607" s="17"/>
      <c r="U607" s="17"/>
      <c r="V607" s="15"/>
      <c r="W607" s="15"/>
      <c r="X607" s="17"/>
      <c r="Y607" s="229"/>
      <c r="Z607" s="1"/>
      <c r="AA607" s="284"/>
      <c r="AB607" s="238"/>
      <c r="AC607" s="17"/>
      <c r="AD607" s="15"/>
      <c r="AE607" s="17"/>
      <c r="AF607" s="262"/>
      <c r="AG607" s="262"/>
      <c r="AH607" s="1"/>
      <c r="AI607" s="1"/>
      <c r="AJ607" s="1"/>
      <c r="AK607" s="1"/>
      <c r="AL607" s="1"/>
      <c r="AM607" s="1"/>
      <c r="AN607" s="1"/>
      <c r="AO607" s="1"/>
      <c r="AP607" s="1"/>
      <c r="AQ607" s="15"/>
      <c r="AR607" s="15"/>
      <c r="AS607" s="17"/>
      <c r="AT607" s="15"/>
      <c r="AU607" s="124"/>
      <c r="AV607" s="17"/>
      <c r="AW607" s="17"/>
      <c r="AX607" s="263"/>
      <c r="AY607" s="1"/>
      <c r="AZ607" s="1"/>
      <c r="BA607" s="297"/>
      <c r="BB607" s="1"/>
      <c r="BC607" s="11"/>
      <c r="BD607" s="11"/>
      <c r="BE607" s="214"/>
      <c r="BF607" s="268"/>
      <c r="BG607" s="1"/>
      <c r="BH607" s="210"/>
      <c r="BI607" s="60"/>
      <c r="BJ607" s="15"/>
      <c r="BK607" s="15"/>
      <c r="BL607" s="1"/>
      <c r="BM607" s="49" t="e">
        <f>IF(OR(#REF!="",#REF!="")=TRUE,"",NETWORKDAYS.INTL(#REF!,#REF!))</f>
        <v>#REF!</v>
      </c>
    </row>
    <row r="608" spans="1:65" x14ac:dyDescent="0.45">
      <c r="A608" s="13">
        <v>603</v>
      </c>
      <c r="B608" s="155"/>
      <c r="C608" s="85"/>
      <c r="D608" s="1"/>
      <c r="E608" s="1"/>
      <c r="F608" s="1"/>
      <c r="G608" s="1"/>
      <c r="H608" s="1"/>
      <c r="I608" s="1"/>
      <c r="J608" s="15"/>
      <c r="K608" s="17"/>
      <c r="L608" s="17"/>
      <c r="M608" s="238"/>
      <c r="N608" s="242"/>
      <c r="O608" s="244"/>
      <c r="P608" s="17"/>
      <c r="Q608" s="210"/>
      <c r="R608" s="17"/>
      <c r="S608" s="15"/>
      <c r="T608" s="17"/>
      <c r="U608" s="17"/>
      <c r="V608" s="15"/>
      <c r="W608" s="15"/>
      <c r="X608" s="17"/>
      <c r="Y608" s="229"/>
      <c r="Z608" s="1"/>
      <c r="AA608" s="284"/>
      <c r="AB608" s="238"/>
      <c r="AC608" s="17"/>
      <c r="AD608" s="15"/>
      <c r="AE608" s="17"/>
      <c r="AF608" s="262"/>
      <c r="AG608" s="262"/>
      <c r="AH608" s="1"/>
      <c r="AI608" s="1"/>
      <c r="AJ608" s="1"/>
      <c r="AK608" s="1"/>
      <c r="AL608" s="1"/>
      <c r="AM608" s="1"/>
      <c r="AN608" s="1"/>
      <c r="AO608" s="1"/>
      <c r="AP608" s="1"/>
      <c r="AQ608" s="15"/>
      <c r="AR608" s="15"/>
      <c r="AS608" s="17"/>
      <c r="AT608" s="15"/>
      <c r="AU608" s="124"/>
      <c r="AV608" s="17"/>
      <c r="AW608" s="17"/>
      <c r="AX608" s="263"/>
      <c r="AY608" s="1"/>
      <c r="AZ608" s="1"/>
      <c r="BA608" s="297"/>
      <c r="BB608" s="1"/>
      <c r="BC608" s="11"/>
      <c r="BD608" s="11"/>
      <c r="BE608" s="214"/>
      <c r="BF608" s="268"/>
      <c r="BG608" s="1"/>
      <c r="BH608" s="210"/>
      <c r="BI608" s="60"/>
      <c r="BJ608" s="15"/>
      <c r="BK608" s="15"/>
      <c r="BL608" s="1"/>
      <c r="BM608" s="49" t="e">
        <f>IF(OR(#REF!="",#REF!="")=TRUE,"",NETWORKDAYS.INTL(#REF!,#REF!))</f>
        <v>#REF!</v>
      </c>
    </row>
    <row r="609" spans="1:65" x14ac:dyDescent="0.45">
      <c r="A609" s="12">
        <v>604</v>
      </c>
      <c r="B609" s="150"/>
      <c r="C609" s="53"/>
      <c r="D609" s="1"/>
      <c r="E609" s="1"/>
      <c r="F609" s="1"/>
      <c r="G609" s="1"/>
      <c r="H609" s="1"/>
      <c r="I609" s="1"/>
      <c r="J609" s="15"/>
      <c r="K609" s="17"/>
      <c r="L609" s="17"/>
      <c r="M609" s="238"/>
      <c r="N609" s="242"/>
      <c r="O609" s="244"/>
      <c r="P609" s="17"/>
      <c r="Q609" s="210"/>
      <c r="R609" s="17"/>
      <c r="S609" s="15"/>
      <c r="T609" s="17"/>
      <c r="U609" s="17"/>
      <c r="V609" s="15"/>
      <c r="W609" s="15"/>
      <c r="X609" s="17"/>
      <c r="Y609" s="229"/>
      <c r="Z609" s="1"/>
      <c r="AA609" s="284"/>
      <c r="AB609" s="238"/>
      <c r="AC609" s="17"/>
      <c r="AD609" s="15"/>
      <c r="AE609" s="17"/>
      <c r="AF609" s="262"/>
      <c r="AG609" s="262"/>
      <c r="AH609" s="1"/>
      <c r="AI609" s="1"/>
      <c r="AJ609" s="1"/>
      <c r="AK609" s="1"/>
      <c r="AL609" s="1"/>
      <c r="AM609" s="1"/>
      <c r="AN609" s="1"/>
      <c r="AO609" s="1"/>
      <c r="AP609" s="1"/>
      <c r="AQ609" s="15"/>
      <c r="AR609" s="15"/>
      <c r="AS609" s="17"/>
      <c r="AT609" s="15"/>
      <c r="AU609" s="124"/>
      <c r="AV609" s="17"/>
      <c r="AW609" s="17"/>
      <c r="AX609" s="263"/>
      <c r="AY609" s="1"/>
      <c r="AZ609" s="1"/>
      <c r="BA609" s="297"/>
      <c r="BB609" s="1"/>
      <c r="BC609" s="11"/>
      <c r="BD609" s="11"/>
      <c r="BE609" s="214"/>
      <c r="BF609" s="268"/>
      <c r="BG609" s="1"/>
      <c r="BH609" s="210"/>
      <c r="BI609" s="60"/>
      <c r="BJ609" s="15"/>
      <c r="BK609" s="15"/>
      <c r="BL609" s="1"/>
      <c r="BM609" s="49" t="e">
        <f>IF(OR(#REF!="",#REF!="")=TRUE,"",NETWORKDAYS.INTL(#REF!,#REF!))</f>
        <v>#REF!</v>
      </c>
    </row>
    <row r="610" spans="1:65" x14ac:dyDescent="0.45">
      <c r="A610" s="13">
        <v>605</v>
      </c>
      <c r="B610" s="155"/>
      <c r="C610" s="85"/>
      <c r="D610" s="1"/>
      <c r="E610" s="1"/>
      <c r="F610" s="1"/>
      <c r="G610" s="1"/>
      <c r="H610" s="1"/>
      <c r="I610" s="1"/>
      <c r="J610" s="15"/>
      <c r="K610" s="17"/>
      <c r="L610" s="17"/>
      <c r="M610" s="238"/>
      <c r="N610" s="242"/>
      <c r="O610" s="244"/>
      <c r="P610" s="17"/>
      <c r="Q610" s="210"/>
      <c r="R610" s="17"/>
      <c r="S610" s="15"/>
      <c r="T610" s="17"/>
      <c r="U610" s="17"/>
      <c r="V610" s="15"/>
      <c r="W610" s="15"/>
      <c r="X610" s="17"/>
      <c r="Y610" s="229"/>
      <c r="Z610" s="1"/>
      <c r="AA610" s="284"/>
      <c r="AB610" s="238"/>
      <c r="AC610" s="17"/>
      <c r="AD610" s="15"/>
      <c r="AE610" s="17"/>
      <c r="AF610" s="262"/>
      <c r="AG610" s="262"/>
      <c r="AH610" s="1"/>
      <c r="AI610" s="1"/>
      <c r="AJ610" s="1"/>
      <c r="AK610" s="1"/>
      <c r="AL610" s="1"/>
      <c r="AM610" s="1"/>
      <c r="AN610" s="1"/>
      <c r="AO610" s="1"/>
      <c r="AP610" s="1"/>
      <c r="AQ610" s="15"/>
      <c r="AR610" s="15"/>
      <c r="AS610" s="17"/>
      <c r="AT610" s="15"/>
      <c r="AU610" s="124"/>
      <c r="AV610" s="17"/>
      <c r="AW610" s="17"/>
      <c r="AX610" s="263"/>
      <c r="AY610" s="1"/>
      <c r="AZ610" s="1"/>
      <c r="BA610" s="297"/>
      <c r="BB610" s="1"/>
      <c r="BC610" s="11"/>
      <c r="BD610" s="11"/>
      <c r="BE610" s="214"/>
      <c r="BF610" s="268"/>
      <c r="BG610" s="1"/>
      <c r="BH610" s="210"/>
      <c r="BI610" s="60"/>
      <c r="BJ610" s="15"/>
      <c r="BK610" s="15"/>
      <c r="BL610" s="1"/>
      <c r="BM610" s="49" t="e">
        <f>IF(OR(#REF!="",#REF!="")=TRUE,"",NETWORKDAYS.INTL(#REF!,#REF!))</f>
        <v>#REF!</v>
      </c>
    </row>
    <row r="611" spans="1:65" x14ac:dyDescent="0.45">
      <c r="A611" s="13">
        <v>606</v>
      </c>
      <c r="B611" s="155"/>
      <c r="C611" s="85"/>
      <c r="D611" s="1"/>
      <c r="E611" s="1"/>
      <c r="F611" s="1"/>
      <c r="G611" s="1"/>
      <c r="H611" s="1"/>
      <c r="I611" s="1"/>
      <c r="J611" s="15"/>
      <c r="K611" s="17"/>
      <c r="L611" s="17"/>
      <c r="M611" s="238"/>
      <c r="N611" s="242"/>
      <c r="O611" s="244"/>
      <c r="P611" s="17"/>
      <c r="Q611" s="210"/>
      <c r="R611" s="17"/>
      <c r="S611" s="15"/>
      <c r="T611" s="17"/>
      <c r="U611" s="17"/>
      <c r="V611" s="15"/>
      <c r="W611" s="15"/>
      <c r="X611" s="17"/>
      <c r="Y611" s="229"/>
      <c r="Z611" s="1"/>
      <c r="AA611" s="284"/>
      <c r="AB611" s="238"/>
      <c r="AC611" s="17"/>
      <c r="AD611" s="15"/>
      <c r="AE611" s="17"/>
      <c r="AF611" s="262"/>
      <c r="AG611" s="262"/>
      <c r="AH611" s="1"/>
      <c r="AI611" s="1"/>
      <c r="AJ611" s="1"/>
      <c r="AK611" s="1"/>
      <c r="AL611" s="1"/>
      <c r="AM611" s="1"/>
      <c r="AN611" s="1"/>
      <c r="AO611" s="1"/>
      <c r="AP611" s="1"/>
      <c r="AQ611" s="15"/>
      <c r="AR611" s="15"/>
      <c r="AS611" s="17"/>
      <c r="AT611" s="15"/>
      <c r="AU611" s="124"/>
      <c r="AV611" s="17"/>
      <c r="AW611" s="17"/>
      <c r="AX611" s="263"/>
      <c r="AY611" s="1"/>
      <c r="AZ611" s="1"/>
      <c r="BA611" s="297"/>
      <c r="BB611" s="1"/>
      <c r="BC611" s="11"/>
      <c r="BD611" s="11"/>
      <c r="BE611" s="214"/>
      <c r="BF611" s="268"/>
      <c r="BG611" s="1"/>
      <c r="BH611" s="210"/>
      <c r="BI611" s="60"/>
      <c r="BJ611" s="15"/>
      <c r="BK611" s="15"/>
      <c r="BL611" s="1"/>
      <c r="BM611" s="49" t="e">
        <f>IF(OR(#REF!="",#REF!="")=TRUE,"",NETWORKDAYS.INTL(#REF!,#REF!))</f>
        <v>#REF!</v>
      </c>
    </row>
    <row r="612" spans="1:65" x14ac:dyDescent="0.45">
      <c r="Y612" s="229"/>
      <c r="Z612" s="1"/>
      <c r="AA612" s="284"/>
      <c r="AF612" s="262"/>
    </row>
    <row r="613" spans="1:65" x14ac:dyDescent="0.45">
      <c r="AF613" s="262"/>
    </row>
    <row r="614" spans="1:65" x14ac:dyDescent="0.45">
      <c r="AF614" s="262"/>
    </row>
  </sheetData>
  <autoFilter ref="A6:BN611" xr:uid="{C4E69F76-2BCA-4D5C-91DA-2BCC860ABB73}">
    <filterColumn colId="33" showButton="0"/>
    <filterColumn colId="34" showButton="0"/>
    <filterColumn colId="36" showButton="0"/>
    <filterColumn colId="37" showButton="0"/>
    <filterColumn colId="39" showButton="0"/>
    <filterColumn colId="40" showButton="0"/>
  </autoFilter>
  <mergeCells count="54">
    <mergeCell ref="AH6:AJ6"/>
    <mergeCell ref="AK6:AM6"/>
    <mergeCell ref="AN6:AP6"/>
    <mergeCell ref="AF5:AP5"/>
    <mergeCell ref="AF2:AP2"/>
    <mergeCell ref="AQ2:AS2"/>
    <mergeCell ref="BE4:BG4"/>
    <mergeCell ref="AD4:AE4"/>
    <mergeCell ref="BJ2:BL2"/>
    <mergeCell ref="BE3:BG3"/>
    <mergeCell ref="AT3:AW3"/>
    <mergeCell ref="BJ3:BL3"/>
    <mergeCell ref="AT4:AW4"/>
    <mergeCell ref="BH4:BI4"/>
    <mergeCell ref="Q5:U5"/>
    <mergeCell ref="V5:X5"/>
    <mergeCell ref="AB5:AC5"/>
    <mergeCell ref="M3:P3"/>
    <mergeCell ref="BJ5:BL5"/>
    <mergeCell ref="AD5:AE5"/>
    <mergeCell ref="AQ5:AS5"/>
    <mergeCell ref="AX3:BB3"/>
    <mergeCell ref="AX5:BB5"/>
    <mergeCell ref="BH5:BI5"/>
    <mergeCell ref="J5:K5"/>
    <mergeCell ref="M2:P2"/>
    <mergeCell ref="Q2:U2"/>
    <mergeCell ref="V2:X2"/>
    <mergeCell ref="B3:K3"/>
    <mergeCell ref="B4:K4"/>
    <mergeCell ref="V3:X3"/>
    <mergeCell ref="Q4:U4"/>
    <mergeCell ref="V4:X4"/>
    <mergeCell ref="M5:P5"/>
    <mergeCell ref="Q3:U3"/>
    <mergeCell ref="AD2:AE2"/>
    <mergeCell ref="BH3:BI3"/>
    <mergeCell ref="AQ3:AS3"/>
    <mergeCell ref="AD3:AE3"/>
    <mergeCell ref="AF3:AP3"/>
    <mergeCell ref="AB3:AC3"/>
    <mergeCell ref="AX2:BB2"/>
    <mergeCell ref="AT2:AW2"/>
    <mergeCell ref="BE2:BG2"/>
    <mergeCell ref="BM5:BN5"/>
    <mergeCell ref="BM4:BN4"/>
    <mergeCell ref="BM3:BN3"/>
    <mergeCell ref="BM2:BN2"/>
    <mergeCell ref="BM1:BN1"/>
    <mergeCell ref="AB2:AC2"/>
    <mergeCell ref="BE5:BG5"/>
    <mergeCell ref="AQ4:AS4"/>
    <mergeCell ref="AT5:AW5"/>
    <mergeCell ref="BH2:BI2"/>
  </mergeCells>
  <phoneticPr fontId="5" type="noConversion"/>
  <dataValidations count="5">
    <dataValidation type="list" allowBlank="1" showInputMessage="1" showErrorMessage="1" sqref="AB395:AB611 AD395:AD611 BE395:BE611 Q395:Q611 AS7:AS611 BJ395:BJ611 AT395:AV611 AQ395:AR611 V395:W611 BH395:BH611 AE7:AE611 AW7:AW611" xr:uid="{B60505E8-6ED1-4DC8-B2EB-F39E41513C5D}">
      <formula1>"OUI, NON"</formula1>
    </dataValidation>
    <dataValidation type="list" allowBlank="1" showInputMessage="1" showErrorMessage="1" sqref="L396:L611 K395:K611" xr:uid="{3D4A79D2-680D-4113-A166-F5DE9802D820}">
      <formula1>"Travaux, Fournitures, Prestations, AUTREs"</formula1>
    </dataValidation>
    <dataValidation type="list" allowBlank="1" showInputMessage="1" showErrorMessage="1" sqref="J395:J65536" xr:uid="{86086886-2669-4EA6-8A9D-540564EA6816}">
      <formula1>"TRAVAUX, FOURNITURES, PRESTATIONS"</formula1>
    </dataValidation>
    <dataValidation type="list" allowBlank="1" showInputMessage="1" showErrorMessage="1" sqref="BK395:BK611" xr:uid="{2C8D586A-FECB-4ECB-B2C0-99E9F709FE74}">
      <formula1>"Complet, Incomplet"</formula1>
    </dataValidation>
    <dataValidation type="list" allowBlank="1" showInputMessage="1" showErrorMessage="1" sqref="S7:S65536" xr:uid="{1BCE51C5-64EF-49A5-BA93-FD36E79DF35E}">
      <formula1>"BOMP, Portail officiel DGMP, BOMP &amp; Portail officiel DGMP"</formula1>
    </dataValidation>
  </dataValidations>
  <pageMargins left="0.7" right="0.7" top="0.75" bottom="0.75" header="0.3" footer="0.3"/>
  <pageSetup paperSize="9"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4EC553-5309-4939-B261-60EE73DC518F}">
  <dimension ref="A1:K38"/>
  <sheetViews>
    <sheetView workbookViewId="0">
      <selection activeCell="D28" sqref="D28"/>
    </sheetView>
  </sheetViews>
  <sheetFormatPr baseColWidth="10" defaultRowHeight="14.25" x14ac:dyDescent="0.45"/>
  <cols>
    <col min="4" max="4" width="17.86328125" bestFit="1" customWidth="1"/>
  </cols>
  <sheetData>
    <row r="1" spans="1:7" x14ac:dyDescent="0.45">
      <c r="A1" t="s">
        <v>178</v>
      </c>
    </row>
    <row r="2" spans="1:7" ht="14.65" thickBot="1" x14ac:dyDescent="0.5">
      <c r="A2" s="316"/>
    </row>
    <row r="3" spans="1:7" ht="23.65" thickBot="1" x14ac:dyDescent="0.5">
      <c r="A3" s="317" t="s">
        <v>151</v>
      </c>
      <c r="B3" s="447" t="s">
        <v>152</v>
      </c>
      <c r="C3" s="448"/>
      <c r="D3" s="449" t="s">
        <v>153</v>
      </c>
      <c r="E3" s="448"/>
      <c r="F3" s="449" t="s">
        <v>154</v>
      </c>
      <c r="G3" s="448"/>
    </row>
    <row r="4" spans="1:7" ht="14.65" thickBot="1" x14ac:dyDescent="0.5">
      <c r="A4" s="318" t="s">
        <v>155</v>
      </c>
      <c r="B4" s="319" t="s">
        <v>82</v>
      </c>
      <c r="C4" s="319" t="s">
        <v>83</v>
      </c>
      <c r="D4" s="319" t="s">
        <v>82</v>
      </c>
      <c r="E4" s="319" t="s">
        <v>83</v>
      </c>
      <c r="F4" s="319" t="s">
        <v>82</v>
      </c>
      <c r="G4" s="319" t="s">
        <v>83</v>
      </c>
    </row>
    <row r="5" spans="1:7" ht="14.65" thickBot="1" x14ac:dyDescent="0.5">
      <c r="A5" s="320" t="e">
        <f>Formule!L395</f>
        <v>#REF!</v>
      </c>
      <c r="B5" s="321">
        <f>Formule!M395</f>
        <v>0</v>
      </c>
      <c r="C5" s="368" t="e">
        <f>B5/$A$5*100</f>
        <v>#REF!</v>
      </c>
      <c r="D5" s="323">
        <f>Formule!W395</f>
        <v>0</v>
      </c>
      <c r="E5" s="368" t="e">
        <f>D5/$A$5*100</f>
        <v>#REF!</v>
      </c>
      <c r="F5" s="323">
        <f>Formule!AD395</f>
        <v>0</v>
      </c>
      <c r="G5" s="368" t="e">
        <f>F5/$A$5*100</f>
        <v>#REF!</v>
      </c>
    </row>
    <row r="6" spans="1:7" x14ac:dyDescent="0.45">
      <c r="A6" s="324" t="s">
        <v>156</v>
      </c>
    </row>
    <row r="7" spans="1:7" ht="15" x14ac:dyDescent="0.45">
      <c r="A7" s="325" t="s">
        <v>179</v>
      </c>
    </row>
    <row r="8" spans="1:7" ht="14.65" thickBot="1" x14ac:dyDescent="0.5">
      <c r="A8" s="326"/>
    </row>
    <row r="9" spans="1:7" ht="39" customHeight="1" thickBot="1" x14ac:dyDescent="0.5">
      <c r="A9" s="450" t="s">
        <v>157</v>
      </c>
      <c r="B9" s="452" t="s">
        <v>80</v>
      </c>
      <c r="C9" s="453"/>
      <c r="D9" s="452" t="s">
        <v>158</v>
      </c>
      <c r="E9" s="434"/>
      <c r="F9" s="433" t="s">
        <v>159</v>
      </c>
      <c r="G9" s="434"/>
    </row>
    <row r="10" spans="1:7" ht="14.65" thickBot="1" x14ac:dyDescent="0.5">
      <c r="A10" s="451"/>
      <c r="B10" s="327" t="s">
        <v>82</v>
      </c>
      <c r="C10" s="327" t="s">
        <v>83</v>
      </c>
      <c r="D10" s="366" t="s">
        <v>82</v>
      </c>
      <c r="E10" s="327" t="s">
        <v>83</v>
      </c>
      <c r="F10" s="327" t="s">
        <v>82</v>
      </c>
      <c r="G10" s="327" t="s">
        <v>83</v>
      </c>
    </row>
    <row r="11" spans="1:7" ht="14.65" thickBot="1" x14ac:dyDescent="0.5">
      <c r="A11" s="328" t="e">
        <f>A5</f>
        <v>#REF!</v>
      </c>
      <c r="B11" s="322">
        <f>Formule!AR395</f>
        <v>0</v>
      </c>
      <c r="C11" s="368" t="e">
        <f>B11/$A$11*100</f>
        <v>#REF!</v>
      </c>
      <c r="D11" s="367">
        <f>Formule!AV395</f>
        <v>0</v>
      </c>
      <c r="E11" s="368" t="e">
        <f>D11/$A$11*100</f>
        <v>#REF!</v>
      </c>
      <c r="F11" s="322">
        <f>Formule!BE395</f>
        <v>0</v>
      </c>
      <c r="G11" s="368" t="e">
        <f>F11/$A$11*100</f>
        <v>#REF!</v>
      </c>
    </row>
    <row r="12" spans="1:7" x14ac:dyDescent="0.45">
      <c r="A12" s="324" t="s">
        <v>156</v>
      </c>
    </row>
    <row r="14" spans="1:7" ht="15.4" thickBot="1" x14ac:dyDescent="0.5">
      <c r="A14" s="360" t="s">
        <v>180</v>
      </c>
    </row>
    <row r="15" spans="1:7" ht="30" customHeight="1" thickBot="1" x14ac:dyDescent="0.5">
      <c r="A15" s="431" t="s">
        <v>160</v>
      </c>
      <c r="B15" s="433" t="s">
        <v>22</v>
      </c>
      <c r="C15" s="434"/>
      <c r="D15" s="433" t="s">
        <v>161</v>
      </c>
      <c r="E15" s="434"/>
    </row>
    <row r="16" spans="1:7" ht="14.65" thickBot="1" x14ac:dyDescent="0.5">
      <c r="A16" s="432"/>
      <c r="B16" s="330" t="s">
        <v>82</v>
      </c>
      <c r="C16" s="330" t="s">
        <v>83</v>
      </c>
      <c r="D16" s="330" t="s">
        <v>82</v>
      </c>
      <c r="E16" s="330" t="s">
        <v>83</v>
      </c>
    </row>
    <row r="17" spans="1:11" ht="14.65" thickBot="1" x14ac:dyDescent="0.5">
      <c r="A17" s="331" t="e">
        <f>A11</f>
        <v>#REF!</v>
      </c>
      <c r="B17" s="332">
        <f>Formule!BJ395</f>
        <v>0</v>
      </c>
      <c r="C17" s="368" t="e">
        <f>B17/A17*100</f>
        <v>#REF!</v>
      </c>
      <c r="D17" s="332">
        <f>Formule!BK395</f>
        <v>0</v>
      </c>
      <c r="E17" s="332" t="e">
        <f>D17/A17*100</f>
        <v>#REF!</v>
      </c>
    </row>
    <row r="18" spans="1:11" x14ac:dyDescent="0.45">
      <c r="A18" s="324" t="s">
        <v>156</v>
      </c>
    </row>
    <row r="19" spans="1:11" ht="15" x14ac:dyDescent="0.45">
      <c r="A19" s="325"/>
    </row>
    <row r="20" spans="1:11" x14ac:dyDescent="0.45">
      <c r="A20" s="333"/>
    </row>
    <row r="21" spans="1:11" x14ac:dyDescent="0.45">
      <c r="A21" s="334" t="s">
        <v>181</v>
      </c>
    </row>
    <row r="22" spans="1:11" ht="14.65" thickBot="1" x14ac:dyDescent="0.5">
      <c r="A22" s="329"/>
    </row>
    <row r="23" spans="1:11" x14ac:dyDescent="0.45">
      <c r="A23" s="335"/>
      <c r="B23" s="435" t="s">
        <v>162</v>
      </c>
      <c r="C23" s="438" t="s">
        <v>163</v>
      </c>
      <c r="D23" s="438" t="s">
        <v>164</v>
      </c>
      <c r="E23" s="441" t="s">
        <v>165</v>
      </c>
      <c r="F23" s="442"/>
      <c r="G23" s="442"/>
      <c r="H23" s="442"/>
      <c r="I23" s="443"/>
      <c r="J23" s="425" t="s">
        <v>166</v>
      </c>
      <c r="K23" s="426"/>
    </row>
    <row r="24" spans="1:11" ht="14.65" thickBot="1" x14ac:dyDescent="0.5">
      <c r="A24" s="336" t="s">
        <v>82</v>
      </c>
      <c r="B24" s="436"/>
      <c r="C24" s="439"/>
      <c r="D24" s="439"/>
      <c r="E24" s="444"/>
      <c r="F24" s="445"/>
      <c r="G24" s="445"/>
      <c r="H24" s="445"/>
      <c r="I24" s="446"/>
      <c r="J24" s="427"/>
      <c r="K24" s="428"/>
    </row>
    <row r="25" spans="1:11" x14ac:dyDescent="0.45">
      <c r="A25" s="336" t="s">
        <v>167</v>
      </c>
      <c r="B25" s="436"/>
      <c r="C25" s="439"/>
      <c r="D25" s="439"/>
      <c r="E25" s="429" t="s">
        <v>168</v>
      </c>
      <c r="F25" s="429" t="s">
        <v>169</v>
      </c>
      <c r="G25" s="337" t="s">
        <v>170</v>
      </c>
      <c r="H25" s="337" t="s">
        <v>171</v>
      </c>
      <c r="I25" s="429" t="s">
        <v>84</v>
      </c>
      <c r="J25" s="429" t="s">
        <v>172</v>
      </c>
      <c r="K25" s="429" t="s">
        <v>173</v>
      </c>
    </row>
    <row r="26" spans="1:11" ht="14.65" thickBot="1" x14ac:dyDescent="0.5">
      <c r="A26" s="338"/>
      <c r="B26" s="437"/>
      <c r="C26" s="440"/>
      <c r="D26" s="440"/>
      <c r="E26" s="430"/>
      <c r="F26" s="430"/>
      <c r="G26" s="339" t="s">
        <v>174</v>
      </c>
      <c r="H26" s="339" t="s">
        <v>175</v>
      </c>
      <c r="I26" s="430"/>
      <c r="J26" s="430"/>
      <c r="K26" s="430"/>
    </row>
    <row r="27" spans="1:11" ht="14.65" thickBot="1" x14ac:dyDescent="0.5">
      <c r="A27" s="331" t="e">
        <f>A17</f>
        <v>#REF!</v>
      </c>
      <c r="B27" s="340">
        <f>Formule!AA395</f>
        <v>0</v>
      </c>
      <c r="C27" s="341">
        <f>D38</f>
        <v>0</v>
      </c>
      <c r="D27" s="342">
        <f>B27-C27</f>
        <v>0</v>
      </c>
      <c r="E27" s="332">
        <f>Formule!AF395</f>
        <v>1098</v>
      </c>
      <c r="F27" s="332"/>
      <c r="G27" s="343"/>
      <c r="H27" s="332"/>
      <c r="I27" s="332"/>
      <c r="J27" s="332"/>
      <c r="K27" s="332"/>
    </row>
    <row r="32" spans="1:11" x14ac:dyDescent="0.45">
      <c r="A32" s="334" t="s">
        <v>182</v>
      </c>
    </row>
    <row r="34" spans="1:5" x14ac:dyDescent="0.45">
      <c r="A34" s="361" t="s">
        <v>183</v>
      </c>
      <c r="B34" s="361" t="s">
        <v>184</v>
      </c>
      <c r="C34" s="361" t="s">
        <v>185</v>
      </c>
      <c r="D34" s="361" t="s">
        <v>99</v>
      </c>
      <c r="E34" s="361" t="s">
        <v>186</v>
      </c>
    </row>
    <row r="35" spans="1:5" x14ac:dyDescent="0.45">
      <c r="A35" s="362" t="s">
        <v>149</v>
      </c>
      <c r="B35" s="1">
        <f>COUNTIF(Formule!J7:J394,"FOURNITURES")</f>
        <v>0</v>
      </c>
      <c r="C35" s="363">
        <f>B35/$B$38*100</f>
        <v>0</v>
      </c>
      <c r="D35" s="305">
        <f>SUMIFS(Formule!BA7:BA394,Formule!J7:J394,"Fournitures")</f>
        <v>0</v>
      </c>
      <c r="E35" s="363" t="e">
        <f>D35/$D$38*100</f>
        <v>#DIV/0!</v>
      </c>
    </row>
    <row r="36" spans="1:5" x14ac:dyDescent="0.45">
      <c r="A36" s="362" t="s">
        <v>147</v>
      </c>
      <c r="B36" s="1">
        <f>COUNTIF(Formule!J7:J394,"Prestations")</f>
        <v>1</v>
      </c>
      <c r="C36" s="363">
        <f>B36/$B$38*100</f>
        <v>100</v>
      </c>
      <c r="D36" s="305">
        <f>SUMIFS(Formule!BA7:BA394,Formule!J7:J394,"Prestations")</f>
        <v>0</v>
      </c>
      <c r="E36" s="363" t="e">
        <f>D36/$D$38*100</f>
        <v>#DIV/0!</v>
      </c>
    </row>
    <row r="37" spans="1:5" x14ac:dyDescent="0.45">
      <c r="A37" s="362" t="s">
        <v>150</v>
      </c>
      <c r="B37" s="1">
        <f>COUNTIF(Formule!J7:J394,"Travaux")</f>
        <v>0</v>
      </c>
      <c r="C37" s="363">
        <f>B37/$B$38*100</f>
        <v>0</v>
      </c>
      <c r="D37" s="305">
        <f>SUMIFS(Formule!BA7:BA394,Formule!J7:J394,"Travaux")</f>
        <v>0</v>
      </c>
      <c r="E37" s="363" t="e">
        <f>D37/$D$38*100</f>
        <v>#DIV/0!</v>
      </c>
    </row>
    <row r="38" spans="1:5" x14ac:dyDescent="0.45">
      <c r="A38" s="364" t="s">
        <v>177</v>
      </c>
      <c r="B38" s="1">
        <f>SUM(B35:B37)</f>
        <v>1</v>
      </c>
      <c r="C38" s="1">
        <f>SUM(C35:C37)</f>
        <v>100</v>
      </c>
      <c r="D38" s="365">
        <f>Formule!BA395</f>
        <v>0</v>
      </c>
      <c r="E38" s="1" t="e">
        <f>SUM(E35:E37)</f>
        <v>#DIV/0!</v>
      </c>
    </row>
  </sheetData>
  <mergeCells count="20">
    <mergeCell ref="B3:C3"/>
    <mergeCell ref="D3:E3"/>
    <mergeCell ref="F3:G3"/>
    <mergeCell ref="A9:A10"/>
    <mergeCell ref="B9:C9"/>
    <mergeCell ref="D9:E9"/>
    <mergeCell ref="F9:G9"/>
    <mergeCell ref="A15:A16"/>
    <mergeCell ref="B15:C15"/>
    <mergeCell ref="D15:E15"/>
    <mergeCell ref="B23:B26"/>
    <mergeCell ref="C23:C26"/>
    <mergeCell ref="D23:D26"/>
    <mergeCell ref="E23:I24"/>
    <mergeCell ref="J23:K24"/>
    <mergeCell ref="E25:E26"/>
    <mergeCell ref="F25:F26"/>
    <mergeCell ref="I25:I26"/>
    <mergeCell ref="J25:J26"/>
    <mergeCell ref="K25:K26"/>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DA4E52-A88A-4849-9C85-E4C50617C33A}">
  <sheetPr codeName="Feuil1"/>
  <dimension ref="A1:F34"/>
  <sheetViews>
    <sheetView workbookViewId="0">
      <selection activeCell="D6" sqref="D6"/>
    </sheetView>
  </sheetViews>
  <sheetFormatPr baseColWidth="10" defaultColWidth="8.86328125" defaultRowHeight="14.25" x14ac:dyDescent="0.45"/>
  <cols>
    <col min="1" max="1" width="5.59765625" customWidth="1"/>
    <col min="2" max="2" width="19.59765625" customWidth="1"/>
    <col min="3" max="3" width="47.3984375" customWidth="1"/>
    <col min="4" max="4" width="16.3984375" customWidth="1"/>
    <col min="5" max="5" width="18.59765625" customWidth="1"/>
    <col min="6" max="6" width="19.3984375" customWidth="1"/>
  </cols>
  <sheetData>
    <row r="1" spans="1:6" ht="52.5" x14ac:dyDescent="0.45">
      <c r="A1" s="10" t="s">
        <v>78</v>
      </c>
      <c r="B1" s="10" t="s">
        <v>32</v>
      </c>
      <c r="C1" s="10" t="s">
        <v>30</v>
      </c>
      <c r="D1" s="10" t="s">
        <v>75</v>
      </c>
      <c r="E1" s="10" t="s">
        <v>76</v>
      </c>
      <c r="F1" s="10" t="s">
        <v>77</v>
      </c>
    </row>
    <row r="2" spans="1:6" x14ac:dyDescent="0.45">
      <c r="A2" s="7" t="s">
        <v>42</v>
      </c>
      <c r="B2" s="8"/>
      <c r="C2" s="9" t="s">
        <v>33</v>
      </c>
      <c r="D2" s="8">
        <v>1</v>
      </c>
      <c r="E2" s="8"/>
      <c r="F2" s="8"/>
    </row>
    <row r="3" spans="1:6" x14ac:dyDescent="0.45">
      <c r="A3" s="7" t="s">
        <v>43</v>
      </c>
      <c r="B3" s="8"/>
      <c r="C3" s="9" t="s">
        <v>34</v>
      </c>
      <c r="D3" s="8">
        <v>2</v>
      </c>
      <c r="E3" s="8"/>
      <c r="F3" s="8"/>
    </row>
    <row r="4" spans="1:6" x14ac:dyDescent="0.45">
      <c r="A4" s="7" t="s">
        <v>44</v>
      </c>
      <c r="B4" s="8"/>
      <c r="C4" s="9" t="s">
        <v>35</v>
      </c>
      <c r="D4" s="8">
        <v>4</v>
      </c>
      <c r="E4" s="8"/>
      <c r="F4" s="8"/>
    </row>
    <row r="5" spans="1:6" x14ac:dyDescent="0.45">
      <c r="A5" s="7" t="s">
        <v>45</v>
      </c>
      <c r="B5" s="8"/>
      <c r="C5" s="9" t="s">
        <v>36</v>
      </c>
      <c r="D5" s="8">
        <v>2</v>
      </c>
      <c r="E5" s="8"/>
      <c r="F5" s="8"/>
    </row>
    <row r="6" spans="1:6" x14ac:dyDescent="0.45">
      <c r="A6" s="7" t="s">
        <v>46</v>
      </c>
      <c r="B6" s="8"/>
      <c r="C6" s="9" t="s">
        <v>37</v>
      </c>
      <c r="D6" s="8"/>
      <c r="E6" s="8"/>
      <c r="F6" s="8"/>
    </row>
    <row r="7" spans="1:6" x14ac:dyDescent="0.45">
      <c r="A7" s="7" t="s">
        <v>47</v>
      </c>
      <c r="B7" s="8"/>
      <c r="C7" s="9" t="s">
        <v>40</v>
      </c>
      <c r="D7" s="8"/>
      <c r="E7" s="8"/>
      <c r="F7" s="8"/>
    </row>
    <row r="8" spans="1:6" x14ac:dyDescent="0.45">
      <c r="A8" s="7" t="s">
        <v>48</v>
      </c>
      <c r="B8" s="8"/>
      <c r="C8" s="9" t="s">
        <v>38</v>
      </c>
      <c r="D8" s="8"/>
      <c r="E8" s="8"/>
      <c r="F8" s="8"/>
    </row>
    <row r="9" spans="1:6" x14ac:dyDescent="0.45">
      <c r="A9" s="7" t="s">
        <v>49</v>
      </c>
      <c r="B9" s="8"/>
      <c r="C9" s="9" t="s">
        <v>39</v>
      </c>
      <c r="D9" s="8"/>
      <c r="E9" s="8"/>
      <c r="F9" s="8"/>
    </row>
    <row r="10" spans="1:6" x14ac:dyDescent="0.45">
      <c r="A10" s="7" t="s">
        <v>50</v>
      </c>
      <c r="B10" s="8"/>
      <c r="C10" s="9" t="s">
        <v>41</v>
      </c>
      <c r="D10" s="8"/>
      <c r="E10" s="8"/>
      <c r="F10" s="8"/>
    </row>
    <row r="11" spans="1:6" x14ac:dyDescent="0.45">
      <c r="A11" s="6" t="s">
        <v>51</v>
      </c>
      <c r="B11" s="2" t="s">
        <v>24</v>
      </c>
      <c r="C11" s="3" t="s">
        <v>0</v>
      </c>
      <c r="D11" s="1"/>
      <c r="E11" s="1"/>
      <c r="F11" s="1"/>
    </row>
    <row r="12" spans="1:6" x14ac:dyDescent="0.45">
      <c r="A12" s="6" t="s">
        <v>52</v>
      </c>
      <c r="B12" s="2" t="s">
        <v>25</v>
      </c>
      <c r="C12" s="4" t="s">
        <v>1</v>
      </c>
      <c r="D12" s="1"/>
      <c r="E12" s="1"/>
      <c r="F12" s="1"/>
    </row>
    <row r="13" spans="1:6" x14ac:dyDescent="0.45">
      <c r="A13" s="6" t="s">
        <v>53</v>
      </c>
      <c r="B13" s="2" t="s">
        <v>26</v>
      </c>
      <c r="C13" s="4" t="s">
        <v>2</v>
      </c>
      <c r="D13" s="1"/>
      <c r="E13" s="1"/>
      <c r="F13" s="1"/>
    </row>
    <row r="14" spans="1:6" ht="25.5" x14ac:dyDescent="0.45">
      <c r="A14" s="6" t="s">
        <v>54</v>
      </c>
      <c r="B14" s="2" t="s">
        <v>27</v>
      </c>
      <c r="C14" s="4" t="s">
        <v>3</v>
      </c>
      <c r="D14" s="1"/>
      <c r="E14" s="1"/>
      <c r="F14" s="1"/>
    </row>
    <row r="15" spans="1:6" ht="25.5" x14ac:dyDescent="0.45">
      <c r="A15" s="6" t="s">
        <v>55</v>
      </c>
      <c r="B15" s="2" t="s">
        <v>27</v>
      </c>
      <c r="C15" s="4" t="s">
        <v>4</v>
      </c>
      <c r="D15" s="1"/>
      <c r="E15" s="1"/>
      <c r="F15" s="1"/>
    </row>
    <row r="16" spans="1:6" x14ac:dyDescent="0.45">
      <c r="A16" s="6" t="s">
        <v>56</v>
      </c>
      <c r="B16" s="2" t="s">
        <v>28</v>
      </c>
      <c r="C16" s="4" t="s">
        <v>5</v>
      </c>
      <c r="D16" s="1"/>
      <c r="E16" s="1"/>
      <c r="F16" s="1"/>
    </row>
    <row r="17" spans="1:6" x14ac:dyDescent="0.45">
      <c r="A17" s="6" t="s">
        <v>57</v>
      </c>
      <c r="B17" s="2" t="s">
        <v>27</v>
      </c>
      <c r="C17" s="4" t="s">
        <v>6</v>
      </c>
      <c r="D17" s="1"/>
      <c r="E17" s="1"/>
      <c r="F17" s="1"/>
    </row>
    <row r="18" spans="1:6" ht="18.600000000000001" customHeight="1" x14ac:dyDescent="0.45">
      <c r="A18" s="6" t="s">
        <v>58</v>
      </c>
      <c r="B18" s="2" t="s">
        <v>27</v>
      </c>
      <c r="C18" s="4" t="s">
        <v>7</v>
      </c>
      <c r="D18" s="1"/>
      <c r="E18" s="1"/>
      <c r="F18" s="1"/>
    </row>
    <row r="19" spans="1:6" x14ac:dyDescent="0.45">
      <c r="A19" s="6" t="s">
        <v>59</v>
      </c>
      <c r="B19" s="2" t="s">
        <v>27</v>
      </c>
      <c r="C19" s="4" t="s">
        <v>8</v>
      </c>
      <c r="D19" s="1"/>
      <c r="E19" s="1"/>
      <c r="F19" s="1"/>
    </row>
    <row r="20" spans="1:6" x14ac:dyDescent="0.45">
      <c r="A20" s="6" t="s">
        <v>60</v>
      </c>
      <c r="B20" s="2" t="s">
        <v>27</v>
      </c>
      <c r="C20" s="4" t="s">
        <v>9</v>
      </c>
      <c r="D20" s="1"/>
      <c r="E20" s="1"/>
      <c r="F20" s="1"/>
    </row>
    <row r="21" spans="1:6" x14ac:dyDescent="0.45">
      <c r="A21" s="6" t="s">
        <v>61</v>
      </c>
      <c r="B21" s="2" t="s">
        <v>27</v>
      </c>
      <c r="C21" s="4" t="s">
        <v>10</v>
      </c>
      <c r="D21" s="1"/>
      <c r="E21" s="1"/>
      <c r="F21" s="1"/>
    </row>
    <row r="22" spans="1:6" ht="25.5" x14ac:dyDescent="0.45">
      <c r="A22" s="6" t="s">
        <v>62</v>
      </c>
      <c r="B22" s="2" t="s">
        <v>27</v>
      </c>
      <c r="C22" s="4" t="s">
        <v>11</v>
      </c>
      <c r="D22" s="1"/>
      <c r="E22" s="1"/>
      <c r="F22" s="1"/>
    </row>
    <row r="23" spans="1:6" ht="25.5" x14ac:dyDescent="0.45">
      <c r="A23" s="6" t="s">
        <v>63</v>
      </c>
      <c r="B23" s="2" t="s">
        <v>27</v>
      </c>
      <c r="C23" s="4" t="s">
        <v>12</v>
      </c>
      <c r="D23" s="1"/>
      <c r="E23" s="1"/>
      <c r="F23" s="1"/>
    </row>
    <row r="24" spans="1:6" x14ac:dyDescent="0.45">
      <c r="A24" s="6" t="s">
        <v>64</v>
      </c>
      <c r="B24" s="2" t="s">
        <v>27</v>
      </c>
      <c r="C24" s="4" t="s">
        <v>13</v>
      </c>
      <c r="D24" s="1"/>
      <c r="E24" s="1"/>
      <c r="F24" s="1"/>
    </row>
    <row r="25" spans="1:6" ht="25.5" x14ac:dyDescent="0.45">
      <c r="A25" s="6" t="s">
        <v>65</v>
      </c>
      <c r="B25" s="2" t="s">
        <v>27</v>
      </c>
      <c r="C25" s="4" t="s">
        <v>14</v>
      </c>
      <c r="D25" s="1"/>
      <c r="E25" s="1"/>
      <c r="F25" s="1"/>
    </row>
    <row r="26" spans="1:6" x14ac:dyDescent="0.45">
      <c r="A26" s="6" t="s">
        <v>66</v>
      </c>
      <c r="B26" s="2" t="s">
        <v>27</v>
      </c>
      <c r="C26" s="4" t="s">
        <v>15</v>
      </c>
      <c r="D26" s="1"/>
      <c r="E26" s="1"/>
      <c r="F26" s="1"/>
    </row>
    <row r="27" spans="1:6" x14ac:dyDescent="0.45">
      <c r="A27" s="6" t="s">
        <v>67</v>
      </c>
      <c r="B27" s="2" t="s">
        <v>27</v>
      </c>
      <c r="C27" s="4" t="s">
        <v>16</v>
      </c>
      <c r="D27" s="1"/>
      <c r="E27" s="1"/>
      <c r="F27" s="1"/>
    </row>
    <row r="28" spans="1:6" x14ac:dyDescent="0.45">
      <c r="A28" s="6" t="s">
        <v>68</v>
      </c>
      <c r="B28" s="2"/>
      <c r="C28" s="4" t="s">
        <v>17</v>
      </c>
      <c r="D28" s="1"/>
      <c r="E28" s="1"/>
      <c r="F28" s="1"/>
    </row>
    <row r="29" spans="1:6" x14ac:dyDescent="0.45">
      <c r="A29" s="6" t="s">
        <v>69</v>
      </c>
      <c r="B29" s="2" t="s">
        <v>29</v>
      </c>
      <c r="C29" s="4" t="s">
        <v>18</v>
      </c>
      <c r="D29" s="1"/>
      <c r="E29" s="1"/>
      <c r="F29" s="1"/>
    </row>
    <row r="30" spans="1:6" ht="25.5" x14ac:dyDescent="0.45">
      <c r="A30" s="6" t="s">
        <v>70</v>
      </c>
      <c r="B30" s="2" t="s">
        <v>27</v>
      </c>
      <c r="C30" s="4" t="s">
        <v>19</v>
      </c>
      <c r="D30" s="1"/>
      <c r="E30" s="1"/>
      <c r="F30" s="1"/>
    </row>
    <row r="31" spans="1:6" x14ac:dyDescent="0.45">
      <c r="A31" s="6" t="s">
        <v>71</v>
      </c>
      <c r="B31" s="2" t="s">
        <v>27</v>
      </c>
      <c r="C31" s="4" t="s">
        <v>20</v>
      </c>
      <c r="D31" s="1"/>
      <c r="E31" s="1"/>
      <c r="F31" s="1"/>
    </row>
    <row r="32" spans="1:6" x14ac:dyDescent="0.45">
      <c r="A32" s="6" t="s">
        <v>72</v>
      </c>
      <c r="B32" s="2" t="s">
        <v>27</v>
      </c>
      <c r="C32" s="4" t="s">
        <v>21</v>
      </c>
      <c r="D32" s="1"/>
      <c r="E32" s="1"/>
      <c r="F32" s="1"/>
    </row>
    <row r="33" spans="1:6" x14ac:dyDescent="0.45">
      <c r="A33" s="6" t="s">
        <v>73</v>
      </c>
      <c r="B33" s="5"/>
      <c r="C33" s="4" t="s">
        <v>22</v>
      </c>
      <c r="D33" s="1"/>
      <c r="E33" s="1"/>
      <c r="F33" s="1"/>
    </row>
    <row r="34" spans="1:6" x14ac:dyDescent="0.45">
      <c r="A34" s="6" t="s">
        <v>74</v>
      </c>
      <c r="B34" s="5"/>
      <c r="C34" s="4" t="s">
        <v>23</v>
      </c>
      <c r="D34" s="1"/>
      <c r="E34" s="1"/>
      <c r="F34" s="1"/>
    </row>
  </sheetData>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4</vt:i4>
      </vt:variant>
    </vt:vector>
  </HeadingPairs>
  <TitlesOfParts>
    <vt:vector size="4" baseType="lpstr">
      <vt:lpstr>Saisie</vt:lpstr>
      <vt:lpstr>Formule</vt:lpstr>
      <vt:lpstr>Tableau</vt:lpstr>
      <vt:lpstr>QUESTIONNAIRE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2026-06-22T11:13:17Z</dcterms:modified>
</cp:coreProperties>
</file>